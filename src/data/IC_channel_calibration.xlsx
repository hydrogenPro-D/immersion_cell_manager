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hydrogenpro-my.sharepoint.com/personal/csenger_molnar_hydrogenpro_com/Documents/Dokumenter/GitHub/immersion_cell_manager/src/data/"/>
    </mc:Choice>
  </mc:AlternateContent>
  <xr:revisionPtr revIDLastSave="5716" documentId="13_ncr:1_{E0A9AA1F-FDF3-466A-8655-B89E7C564774}" xr6:coauthVersionLast="47" xr6:coauthVersionMax="47" xr10:uidLastSave="{1A2F316B-1DD5-449F-9CFF-088EBB617A64}"/>
  <bookViews>
    <workbookView xWindow="-120" yWindow="-120" windowWidth="29040" windowHeight="15720" tabRatio="858" activeTab="5" xr2:uid="{00000000-000D-0000-FFFF-FFFF00000000}"/>
  </bookViews>
  <sheets>
    <sheet name="Recent state" sheetId="1" r:id="rId1"/>
    <sheet name="1-1" sheetId="2" r:id="rId2"/>
    <sheet name="1-2" sheetId="3" r:id="rId3"/>
    <sheet name="1-3" sheetId="4" r:id="rId4"/>
    <sheet name="1-6" sheetId="6" r:id="rId5"/>
    <sheet name="1-5" sheetId="5" r:id="rId6"/>
    <sheet name="1-7" sheetId="7" r:id="rId7"/>
    <sheet name="1-8" sheetId="8" r:id="rId8"/>
    <sheet name="2-1" sheetId="9" r:id="rId9"/>
    <sheet name="2-2" sheetId="10" r:id="rId10"/>
    <sheet name="2-3" sheetId="11" r:id="rId11"/>
    <sheet name="2-4" sheetId="12" r:id="rId12"/>
    <sheet name="2-5" sheetId="13" r:id="rId13"/>
    <sheet name="2-6" sheetId="14" r:id="rId14"/>
    <sheet name="2-7" sheetId="15" r:id="rId15"/>
    <sheet name="2-8" sheetId="16" r:id="rId16"/>
    <sheet name="3-1" sheetId="17" r:id="rId17"/>
    <sheet name="3-2" sheetId="18" r:id="rId18"/>
    <sheet name="3-3" sheetId="19" r:id="rId19"/>
    <sheet name="3-4" sheetId="20" r:id="rId20"/>
    <sheet name="3-5" sheetId="21" r:id="rId21"/>
    <sheet name="3-6" sheetId="22" r:id="rId22"/>
    <sheet name="3-7" sheetId="23" r:id="rId23"/>
    <sheet name="3-8" sheetId="24" r:id="rId24"/>
    <sheet name="4-1" sheetId="25" r:id="rId25"/>
    <sheet name="4-2" sheetId="26" r:id="rId26"/>
    <sheet name="4-3" sheetId="27" r:id="rId27"/>
    <sheet name="4-4" sheetId="28" r:id="rId28"/>
    <sheet name="4-5" sheetId="29" r:id="rId29"/>
    <sheet name="4-6" sheetId="30" r:id="rId30"/>
    <sheet name="5-1" sheetId="31" r:id="rId31"/>
    <sheet name="5-3" sheetId="32" r:id="rId32"/>
    <sheet name="5-4" sheetId="33" r:id="rId33"/>
    <sheet name="5-5" sheetId="34" r:id="rId34"/>
    <sheet name="5-7" sheetId="35" r:id="rId35"/>
    <sheet name="5-8" sheetId="36" r:id="rId36"/>
    <sheet name="6-1" sheetId="37" r:id="rId37"/>
    <sheet name="6-2" sheetId="38" r:id="rId38"/>
    <sheet name="6-3" sheetId="39" r:id="rId39"/>
    <sheet name="6-4" sheetId="40" r:id="rId40"/>
    <sheet name="6-5" sheetId="41" r:id="rId41"/>
    <sheet name="6-6" sheetId="42" r:id="rId42"/>
    <sheet name="6-7" sheetId="43" r:id="rId43"/>
    <sheet name="6-8" sheetId="44" r:id="rId44"/>
    <sheet name="7-1" sheetId="45" r:id="rId45"/>
    <sheet name="7-2" sheetId="46" r:id="rId46"/>
    <sheet name="7-3" sheetId="47" r:id="rId47"/>
    <sheet name="7-4" sheetId="48" r:id="rId48"/>
    <sheet name="7-5" sheetId="49" r:id="rId49"/>
    <sheet name="7-6" sheetId="50" r:id="rId50"/>
    <sheet name="7-7" sheetId="51" r:id="rId51"/>
    <sheet name="7-8" sheetId="52" r:id="rId52"/>
    <sheet name="8-1" sheetId="53" r:id="rId53"/>
    <sheet name="8-2" sheetId="54" r:id="rId54"/>
    <sheet name="8-3" sheetId="55" r:id="rId55"/>
    <sheet name="8-4" sheetId="56" r:id="rId56"/>
    <sheet name="8-5" sheetId="57" r:id="rId57"/>
    <sheet name="8-6" sheetId="58" r:id="rId58"/>
    <sheet name="8-7" sheetId="59" r:id="rId59"/>
    <sheet name="8-8" sheetId="60" r:id="rId60"/>
    <sheet name="Lab 1-1" sheetId="61" r:id="rId61"/>
    <sheet name="Lab 1-2" sheetId="62" r:id="rId62"/>
    <sheet name="Lab 1-3" sheetId="63" r:id="rId63"/>
    <sheet name="Lab 1-4" sheetId="64" r:id="rId64"/>
    <sheet name="Lab 1-5" sheetId="65" r:id="rId65"/>
    <sheet name="Lab 1-6" sheetId="66" r:id="rId66"/>
    <sheet name="Lab 1-7" sheetId="70" r:id="rId67"/>
    <sheet name="Lab 1-8 " sheetId="69" r:id="rId68"/>
    <sheet name="Sheet1" sheetId="67" r:id="rId6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5" l="1"/>
  <c r="O11" i="23"/>
  <c r="L11" i="23"/>
  <c r="L8" i="5"/>
  <c r="L9" i="5"/>
  <c r="L6" i="5"/>
  <c r="L7" i="5"/>
  <c r="K4" i="62" l="1"/>
  <c r="L4" i="44"/>
  <c r="K4" i="44"/>
  <c r="Q8" i="6"/>
  <c r="Q7" i="6"/>
  <c r="K9" i="2"/>
  <c r="Q9" i="2" s="1"/>
  <c r="Q6" i="15"/>
  <c r="Q8" i="2"/>
  <c r="Q7" i="4"/>
  <c r="Q8" i="4"/>
  <c r="Q9" i="4"/>
  <c r="Q10" i="4"/>
  <c r="Q10" i="23"/>
  <c r="O7" i="7"/>
  <c r="O6" i="7"/>
  <c r="Q6" i="7"/>
  <c r="Q9" i="3"/>
  <c r="Q10" i="3"/>
  <c r="Q9" i="14"/>
  <c r="Q11" i="23"/>
  <c r="Q11" i="24"/>
  <c r="Q7" i="13"/>
  <c r="Q10" i="24"/>
  <c r="N10" i="24"/>
  <c r="K7" i="10"/>
  <c r="L7" i="10"/>
  <c r="M7" i="10"/>
  <c r="N7" i="10"/>
  <c r="O7" i="10"/>
  <c r="P7" i="10"/>
  <c r="Q7" i="10"/>
  <c r="K4" i="40"/>
  <c r="L4" i="40"/>
  <c r="M4" i="40"/>
  <c r="N4" i="40"/>
  <c r="O4" i="40"/>
  <c r="P4" i="40"/>
  <c r="K5" i="40"/>
  <c r="L5" i="40"/>
  <c r="M5" i="40"/>
  <c r="N5" i="40"/>
  <c r="O5" i="40"/>
  <c r="P5" i="40"/>
  <c r="M4" i="37"/>
  <c r="Q9" i="33"/>
  <c r="Q9" i="22"/>
  <c r="L9" i="22"/>
  <c r="Q3" i="22"/>
  <c r="Q8" i="22"/>
  <c r="K9" i="22"/>
  <c r="M9" i="22"/>
  <c r="N9" i="22"/>
  <c r="O9" i="22"/>
  <c r="P9" i="22"/>
  <c r="Q8" i="5"/>
  <c r="K8" i="5"/>
  <c r="K7" i="5"/>
  <c r="K4" i="55"/>
  <c r="Q11" i="32"/>
  <c r="Q9" i="16"/>
  <c r="Q10" i="16"/>
  <c r="Q11" i="16"/>
  <c r="Q12" i="16"/>
  <c r="Q13" i="16"/>
  <c r="Q14" i="16"/>
  <c r="Q15" i="16"/>
  <c r="Q16" i="16"/>
  <c r="Q7" i="16"/>
  <c r="P12" i="16"/>
  <c r="Q5" i="70"/>
  <c r="Q6" i="70"/>
  <c r="Q7" i="70"/>
  <c r="Q8" i="70"/>
  <c r="Q9" i="70"/>
  <c r="Q10" i="70"/>
  <c r="Q11" i="70"/>
  <c r="Q12" i="70"/>
  <c r="Q13" i="70"/>
  <c r="Q14" i="70"/>
  <c r="Q15" i="70"/>
  <c r="Q16" i="70"/>
  <c r="O3" i="66" l="1"/>
  <c r="N3" i="66"/>
  <c r="P16" i="70"/>
  <c r="O16" i="70"/>
  <c r="N16" i="70"/>
  <c r="M16" i="70"/>
  <c r="L16" i="70"/>
  <c r="K16" i="70"/>
  <c r="P15" i="70"/>
  <c r="O15" i="70"/>
  <c r="N15" i="70"/>
  <c r="M15" i="70"/>
  <c r="L15" i="70"/>
  <c r="K15" i="70"/>
  <c r="P14" i="70"/>
  <c r="O14" i="70"/>
  <c r="N14" i="70"/>
  <c r="M14" i="70"/>
  <c r="L14" i="70"/>
  <c r="K14" i="70"/>
  <c r="P13" i="70"/>
  <c r="O13" i="70"/>
  <c r="N13" i="70"/>
  <c r="M13" i="70"/>
  <c r="L13" i="70"/>
  <c r="K13" i="70"/>
  <c r="P12" i="70"/>
  <c r="O12" i="70"/>
  <c r="N12" i="70"/>
  <c r="M12" i="70"/>
  <c r="L12" i="70"/>
  <c r="K12" i="70"/>
  <c r="P11" i="70"/>
  <c r="O11" i="70"/>
  <c r="N11" i="70"/>
  <c r="M11" i="70"/>
  <c r="L11" i="70"/>
  <c r="K11" i="70"/>
  <c r="P10" i="70"/>
  <c r="O10" i="70"/>
  <c r="N10" i="70"/>
  <c r="M10" i="70"/>
  <c r="L10" i="70"/>
  <c r="K10" i="70"/>
  <c r="P9" i="70"/>
  <c r="O9" i="70"/>
  <c r="N9" i="70"/>
  <c r="M9" i="70"/>
  <c r="L9" i="70"/>
  <c r="K9" i="70"/>
  <c r="P8" i="70"/>
  <c r="O8" i="70"/>
  <c r="N8" i="70"/>
  <c r="M8" i="70"/>
  <c r="L8" i="70"/>
  <c r="K8" i="70"/>
  <c r="P7" i="70"/>
  <c r="O7" i="70"/>
  <c r="N7" i="70"/>
  <c r="M7" i="70"/>
  <c r="L7" i="70"/>
  <c r="K7" i="70"/>
  <c r="P6" i="70"/>
  <c r="O6" i="70"/>
  <c r="N6" i="70"/>
  <c r="M6" i="70"/>
  <c r="L6" i="70"/>
  <c r="K6" i="70"/>
  <c r="P5" i="70"/>
  <c r="O5" i="70"/>
  <c r="N5" i="70"/>
  <c r="M5" i="70"/>
  <c r="L5" i="70"/>
  <c r="K5" i="70"/>
  <c r="P4" i="70"/>
  <c r="O4" i="70"/>
  <c r="N4" i="70"/>
  <c r="M4" i="70"/>
  <c r="L4" i="70"/>
  <c r="K4" i="70"/>
  <c r="Q4" i="70" s="1"/>
  <c r="P3" i="70"/>
  <c r="O3" i="70"/>
  <c r="N3" i="70"/>
  <c r="M3" i="70"/>
  <c r="L3" i="70"/>
  <c r="Q3" i="70" s="1"/>
  <c r="K3" i="70"/>
  <c r="Q16" i="69"/>
  <c r="P16" i="69"/>
  <c r="O16" i="69"/>
  <c r="N16" i="69"/>
  <c r="M16" i="69"/>
  <c r="L16" i="69"/>
  <c r="K16" i="69"/>
  <c r="Q15" i="69"/>
  <c r="P15" i="69"/>
  <c r="O15" i="69"/>
  <c r="N15" i="69"/>
  <c r="M15" i="69"/>
  <c r="L15" i="69"/>
  <c r="K15" i="69"/>
  <c r="Q14" i="69"/>
  <c r="P14" i="69"/>
  <c r="O14" i="69"/>
  <c r="N14" i="69"/>
  <c r="M14" i="69"/>
  <c r="L14" i="69"/>
  <c r="K14" i="69"/>
  <c r="Q13" i="69"/>
  <c r="P13" i="69"/>
  <c r="O13" i="69"/>
  <c r="N13" i="69"/>
  <c r="M13" i="69"/>
  <c r="L13" i="69"/>
  <c r="K13" i="69"/>
  <c r="Q12" i="69"/>
  <c r="P12" i="69"/>
  <c r="O12" i="69"/>
  <c r="N12" i="69"/>
  <c r="M12" i="69"/>
  <c r="L12" i="69"/>
  <c r="K12" i="69"/>
  <c r="Q11" i="69"/>
  <c r="P11" i="69"/>
  <c r="O11" i="69"/>
  <c r="N11" i="69"/>
  <c r="M11" i="69"/>
  <c r="L11" i="69"/>
  <c r="K11" i="69"/>
  <c r="Q10" i="69"/>
  <c r="P10" i="69"/>
  <c r="O10" i="69"/>
  <c r="N10" i="69"/>
  <c r="M10" i="69"/>
  <c r="L10" i="69"/>
  <c r="K10" i="69"/>
  <c r="Q9" i="69"/>
  <c r="P9" i="69"/>
  <c r="O9" i="69"/>
  <c r="N9" i="69"/>
  <c r="M9" i="69"/>
  <c r="L9" i="69"/>
  <c r="K9" i="69"/>
  <c r="Q8" i="69"/>
  <c r="P8" i="69"/>
  <c r="O8" i="69"/>
  <c r="N8" i="69"/>
  <c r="M8" i="69"/>
  <c r="L8" i="69"/>
  <c r="K8" i="69"/>
  <c r="Q7" i="69"/>
  <c r="P7" i="69"/>
  <c r="O7" i="69"/>
  <c r="N7" i="69"/>
  <c r="M7" i="69"/>
  <c r="L7" i="69"/>
  <c r="K7" i="69"/>
  <c r="Q6" i="69"/>
  <c r="P6" i="69"/>
  <c r="O6" i="69"/>
  <c r="N6" i="69"/>
  <c r="M6" i="69"/>
  <c r="L6" i="69"/>
  <c r="K6" i="69"/>
  <c r="Q5" i="69"/>
  <c r="P5" i="69"/>
  <c r="O5" i="69"/>
  <c r="N5" i="69"/>
  <c r="M5" i="69"/>
  <c r="L5" i="69"/>
  <c r="K5" i="69"/>
  <c r="P4" i="69"/>
  <c r="O4" i="69"/>
  <c r="N4" i="69"/>
  <c r="M4" i="69"/>
  <c r="L4" i="69"/>
  <c r="K4" i="69"/>
  <c r="P3" i="69"/>
  <c r="O3" i="69"/>
  <c r="N3" i="69"/>
  <c r="M3" i="69"/>
  <c r="L3" i="69"/>
  <c r="Q3" i="69" s="1"/>
  <c r="K3" i="69"/>
  <c r="P16" i="66"/>
  <c r="O16" i="66"/>
  <c r="N16" i="66"/>
  <c r="M16" i="66"/>
  <c r="L16" i="66"/>
  <c r="K16" i="66"/>
  <c r="Q16" i="66" s="1"/>
  <c r="P15" i="66"/>
  <c r="O15" i="66"/>
  <c r="N15" i="66"/>
  <c r="M15" i="66"/>
  <c r="L15" i="66"/>
  <c r="K15" i="66"/>
  <c r="Q15" i="66" s="1"/>
  <c r="P14" i="66"/>
  <c r="O14" i="66"/>
  <c r="N14" i="66"/>
  <c r="M14" i="66"/>
  <c r="L14" i="66"/>
  <c r="K14" i="66"/>
  <c r="Q14" i="66" s="1"/>
  <c r="P13" i="66"/>
  <c r="O13" i="66"/>
  <c r="N13" i="66"/>
  <c r="M13" i="66"/>
  <c r="L13" i="66"/>
  <c r="K13" i="66"/>
  <c r="Q13" i="66" s="1"/>
  <c r="P12" i="66"/>
  <c r="O12" i="66"/>
  <c r="N12" i="66"/>
  <c r="M12" i="66"/>
  <c r="L12" i="66"/>
  <c r="K12" i="66"/>
  <c r="Q12" i="66" s="1"/>
  <c r="P11" i="66"/>
  <c r="O11" i="66"/>
  <c r="N11" i="66"/>
  <c r="M11" i="66"/>
  <c r="L11" i="66"/>
  <c r="K11" i="66"/>
  <c r="Q11" i="66" s="1"/>
  <c r="P10" i="66"/>
  <c r="O10" i="66"/>
  <c r="N10" i="66"/>
  <c r="M10" i="66"/>
  <c r="L10" i="66"/>
  <c r="K10" i="66"/>
  <c r="Q10" i="66" s="1"/>
  <c r="P9" i="66"/>
  <c r="O9" i="66"/>
  <c r="N9" i="66"/>
  <c r="M9" i="66"/>
  <c r="L9" i="66"/>
  <c r="K9" i="66"/>
  <c r="Q9" i="66" s="1"/>
  <c r="P8" i="66"/>
  <c r="O8" i="66"/>
  <c r="N8" i="66"/>
  <c r="M8" i="66"/>
  <c r="L8" i="66"/>
  <c r="K8" i="66"/>
  <c r="Q8" i="66" s="1"/>
  <c r="P7" i="66"/>
  <c r="O7" i="66"/>
  <c r="N7" i="66"/>
  <c r="M7" i="66"/>
  <c r="L7" i="66"/>
  <c r="K7" i="66"/>
  <c r="Q7" i="66" s="1"/>
  <c r="P6" i="66"/>
  <c r="O6" i="66"/>
  <c r="N6" i="66"/>
  <c r="M6" i="66"/>
  <c r="L6" i="66"/>
  <c r="K6" i="66"/>
  <c r="Q6" i="66" s="1"/>
  <c r="P5" i="66"/>
  <c r="O5" i="66"/>
  <c r="N5" i="66"/>
  <c r="M5" i="66"/>
  <c r="L5" i="66"/>
  <c r="K5" i="66"/>
  <c r="Q5" i="66" s="1"/>
  <c r="P4" i="66"/>
  <c r="O4" i="66"/>
  <c r="N4" i="66"/>
  <c r="M4" i="66"/>
  <c r="L4" i="66"/>
  <c r="K4" i="66"/>
  <c r="Q4" i="66" s="1"/>
  <c r="P3" i="66"/>
  <c r="M3" i="66"/>
  <c r="L3" i="66"/>
  <c r="K3" i="66"/>
  <c r="P16" i="65"/>
  <c r="O16" i="65"/>
  <c r="N16" i="65"/>
  <c r="M16" i="65"/>
  <c r="L16" i="65"/>
  <c r="K16" i="65"/>
  <c r="Q16" i="65" s="1"/>
  <c r="P15" i="65"/>
  <c r="O15" i="65"/>
  <c r="N15" i="65"/>
  <c r="M15" i="65"/>
  <c r="L15" i="65"/>
  <c r="K15" i="65"/>
  <c r="Q15" i="65" s="1"/>
  <c r="P14" i="65"/>
  <c r="O14" i="65"/>
  <c r="N14" i="65"/>
  <c r="M14" i="65"/>
  <c r="L14" i="65"/>
  <c r="K14" i="65"/>
  <c r="Q14" i="65" s="1"/>
  <c r="P13" i="65"/>
  <c r="O13" i="65"/>
  <c r="N13" i="65"/>
  <c r="M13" i="65"/>
  <c r="L13" i="65"/>
  <c r="K13" i="65"/>
  <c r="Q13" i="65" s="1"/>
  <c r="P12" i="65"/>
  <c r="O12" i="65"/>
  <c r="N12" i="65"/>
  <c r="M12" i="65"/>
  <c r="L12" i="65"/>
  <c r="K12" i="65"/>
  <c r="Q12" i="65" s="1"/>
  <c r="P11" i="65"/>
  <c r="O11" i="65"/>
  <c r="N11" i="65"/>
  <c r="M11" i="65"/>
  <c r="L11" i="65"/>
  <c r="K11" i="65"/>
  <c r="Q11" i="65" s="1"/>
  <c r="P10" i="65"/>
  <c r="O10" i="65"/>
  <c r="N10" i="65"/>
  <c r="M10" i="65"/>
  <c r="L10" i="65"/>
  <c r="K10" i="65"/>
  <c r="Q10" i="65" s="1"/>
  <c r="P9" i="65"/>
  <c r="O9" i="65"/>
  <c r="N9" i="65"/>
  <c r="M9" i="65"/>
  <c r="L9" i="65"/>
  <c r="K9" i="65"/>
  <c r="Q9" i="65" s="1"/>
  <c r="P8" i="65"/>
  <c r="O8" i="65"/>
  <c r="N8" i="65"/>
  <c r="M8" i="65"/>
  <c r="L8" i="65"/>
  <c r="K8" i="65"/>
  <c r="Q8" i="65" s="1"/>
  <c r="P7" i="65"/>
  <c r="O7" i="65"/>
  <c r="N7" i="65"/>
  <c r="M7" i="65"/>
  <c r="L7" i="65"/>
  <c r="K7" i="65"/>
  <c r="Q7" i="65" s="1"/>
  <c r="P6" i="65"/>
  <c r="O6" i="65"/>
  <c r="N6" i="65"/>
  <c r="M6" i="65"/>
  <c r="L6" i="65"/>
  <c r="K6" i="65"/>
  <c r="Q6" i="65" s="1"/>
  <c r="P5" i="65"/>
  <c r="O5" i="65"/>
  <c r="N5" i="65"/>
  <c r="M5" i="65"/>
  <c r="L5" i="65"/>
  <c r="K5" i="65"/>
  <c r="Q5" i="65" s="1"/>
  <c r="P4" i="65"/>
  <c r="O4" i="65"/>
  <c r="N4" i="65"/>
  <c r="M4" i="65"/>
  <c r="L4" i="65"/>
  <c r="K4" i="65"/>
  <c r="Q4" i="65" s="1"/>
  <c r="P3" i="65"/>
  <c r="O3" i="65"/>
  <c r="N3" i="65"/>
  <c r="M3" i="65"/>
  <c r="L3" i="65"/>
  <c r="K3" i="65"/>
  <c r="P16" i="64"/>
  <c r="O16" i="64"/>
  <c r="N16" i="64"/>
  <c r="M16" i="64"/>
  <c r="L16" i="64"/>
  <c r="K16" i="64"/>
  <c r="Q16" i="64" s="1"/>
  <c r="P15" i="64"/>
  <c r="O15" i="64"/>
  <c r="N15" i="64"/>
  <c r="M15" i="64"/>
  <c r="L15" i="64"/>
  <c r="K15" i="64"/>
  <c r="Q15" i="64" s="1"/>
  <c r="P14" i="64"/>
  <c r="O14" i="64"/>
  <c r="N14" i="64"/>
  <c r="M14" i="64"/>
  <c r="L14" i="64"/>
  <c r="K14" i="64"/>
  <c r="Q14" i="64" s="1"/>
  <c r="P13" i="64"/>
  <c r="O13" i="64"/>
  <c r="N13" i="64"/>
  <c r="M13" i="64"/>
  <c r="L13" i="64"/>
  <c r="K13" i="64"/>
  <c r="Q13" i="64" s="1"/>
  <c r="P12" i="64"/>
  <c r="O12" i="64"/>
  <c r="N12" i="64"/>
  <c r="M12" i="64"/>
  <c r="L12" i="64"/>
  <c r="K12" i="64"/>
  <c r="Q12" i="64" s="1"/>
  <c r="P11" i="64"/>
  <c r="O11" i="64"/>
  <c r="N11" i="64"/>
  <c r="M11" i="64"/>
  <c r="L11" i="64"/>
  <c r="K11" i="64"/>
  <c r="Q11" i="64" s="1"/>
  <c r="P10" i="64"/>
  <c r="O10" i="64"/>
  <c r="N10" i="64"/>
  <c r="M10" i="64"/>
  <c r="L10" i="64"/>
  <c r="K10" i="64"/>
  <c r="Q10" i="64" s="1"/>
  <c r="P9" i="64"/>
  <c r="O9" i="64"/>
  <c r="N9" i="64"/>
  <c r="M9" i="64"/>
  <c r="L9" i="64"/>
  <c r="K9" i="64"/>
  <c r="Q9" i="64" s="1"/>
  <c r="P8" i="64"/>
  <c r="O8" i="64"/>
  <c r="N8" i="64"/>
  <c r="M8" i="64"/>
  <c r="L8" i="64"/>
  <c r="K8" i="64"/>
  <c r="Q8" i="64" s="1"/>
  <c r="P7" i="64"/>
  <c r="O7" i="64"/>
  <c r="N7" i="64"/>
  <c r="M7" i="64"/>
  <c r="L7" i="64"/>
  <c r="K7" i="64"/>
  <c r="Q7" i="64" s="1"/>
  <c r="P6" i="64"/>
  <c r="O6" i="64"/>
  <c r="N6" i="64"/>
  <c r="M6" i="64"/>
  <c r="L6" i="64"/>
  <c r="K6" i="64"/>
  <c r="Q6" i="64" s="1"/>
  <c r="P5" i="64"/>
  <c r="O5" i="64"/>
  <c r="N5" i="64"/>
  <c r="M5" i="64"/>
  <c r="L5" i="64"/>
  <c r="K5" i="64"/>
  <c r="Q5" i="64" s="1"/>
  <c r="P4" i="64"/>
  <c r="O4" i="64"/>
  <c r="N4" i="64"/>
  <c r="M4" i="64"/>
  <c r="L4" i="64"/>
  <c r="K4" i="64"/>
  <c r="Q4" i="64" s="1"/>
  <c r="P3" i="64"/>
  <c r="O3" i="64"/>
  <c r="N3" i="64"/>
  <c r="M3" i="64"/>
  <c r="L3" i="64"/>
  <c r="K3" i="64"/>
  <c r="P16" i="63"/>
  <c r="O16" i="63"/>
  <c r="N16" i="63"/>
  <c r="M16" i="63"/>
  <c r="L16" i="63"/>
  <c r="K16" i="63"/>
  <c r="Q16" i="63" s="1"/>
  <c r="P15" i="63"/>
  <c r="O15" i="63"/>
  <c r="N15" i="63"/>
  <c r="M15" i="63"/>
  <c r="L15" i="63"/>
  <c r="K15" i="63"/>
  <c r="Q15" i="63" s="1"/>
  <c r="P14" i="63"/>
  <c r="O14" i="63"/>
  <c r="N14" i="63"/>
  <c r="M14" i="63"/>
  <c r="L14" i="63"/>
  <c r="K14" i="63"/>
  <c r="Q14" i="63" s="1"/>
  <c r="P13" i="63"/>
  <c r="O13" i="63"/>
  <c r="N13" i="63"/>
  <c r="M13" i="63"/>
  <c r="L13" i="63"/>
  <c r="K13" i="63"/>
  <c r="Q13" i="63" s="1"/>
  <c r="P12" i="63"/>
  <c r="O12" i="63"/>
  <c r="N12" i="63"/>
  <c r="M12" i="63"/>
  <c r="L12" i="63"/>
  <c r="K12" i="63"/>
  <c r="Q12" i="63" s="1"/>
  <c r="P11" i="63"/>
  <c r="O11" i="63"/>
  <c r="N11" i="63"/>
  <c r="M11" i="63"/>
  <c r="L11" i="63"/>
  <c r="K11" i="63"/>
  <c r="Q11" i="63" s="1"/>
  <c r="P10" i="63"/>
  <c r="O10" i="63"/>
  <c r="N10" i="63"/>
  <c r="M10" i="63"/>
  <c r="L10" i="63"/>
  <c r="K10" i="63"/>
  <c r="Q10" i="63" s="1"/>
  <c r="P9" i="63"/>
  <c r="O9" i="63"/>
  <c r="N9" i="63"/>
  <c r="M9" i="63"/>
  <c r="L9" i="63"/>
  <c r="K9" i="63"/>
  <c r="Q9" i="63" s="1"/>
  <c r="P8" i="63"/>
  <c r="O8" i="63"/>
  <c r="N8" i="63"/>
  <c r="M8" i="63"/>
  <c r="L8" i="63"/>
  <c r="K8" i="63"/>
  <c r="Q8" i="63" s="1"/>
  <c r="P7" i="63"/>
  <c r="O7" i="63"/>
  <c r="N7" i="63"/>
  <c r="M7" i="63"/>
  <c r="L7" i="63"/>
  <c r="K7" i="63"/>
  <c r="Q7" i="63" s="1"/>
  <c r="P6" i="63"/>
  <c r="O6" i="63"/>
  <c r="N6" i="63"/>
  <c r="M6" i="63"/>
  <c r="L6" i="63"/>
  <c r="K6" i="63"/>
  <c r="Q6" i="63" s="1"/>
  <c r="P5" i="63"/>
  <c r="O5" i="63"/>
  <c r="N5" i="63"/>
  <c r="M5" i="63"/>
  <c r="L5" i="63"/>
  <c r="K5" i="63"/>
  <c r="Q5" i="63" s="1"/>
  <c r="P4" i="63"/>
  <c r="O4" i="63"/>
  <c r="N4" i="63"/>
  <c r="M4" i="63"/>
  <c r="L4" i="63"/>
  <c r="K4" i="63"/>
  <c r="Q4" i="63" s="1"/>
  <c r="P3" i="63"/>
  <c r="O3" i="63"/>
  <c r="N3" i="63"/>
  <c r="M3" i="63"/>
  <c r="L3" i="63"/>
  <c r="K3" i="63"/>
  <c r="Q3" i="63" s="1"/>
  <c r="P16" i="61"/>
  <c r="O16" i="61"/>
  <c r="N16" i="61"/>
  <c r="M16" i="61"/>
  <c r="L16" i="61"/>
  <c r="K16" i="61"/>
  <c r="Q16" i="61" s="1"/>
  <c r="P15" i="61"/>
  <c r="O15" i="61"/>
  <c r="N15" i="61"/>
  <c r="M15" i="61"/>
  <c r="L15" i="61"/>
  <c r="K15" i="61"/>
  <c r="Q15" i="61" s="1"/>
  <c r="P14" i="61"/>
  <c r="O14" i="61"/>
  <c r="N14" i="61"/>
  <c r="M14" i="61"/>
  <c r="L14" i="61"/>
  <c r="K14" i="61"/>
  <c r="Q14" i="61" s="1"/>
  <c r="P13" i="61"/>
  <c r="O13" i="61"/>
  <c r="N13" i="61"/>
  <c r="M13" i="61"/>
  <c r="L13" i="61"/>
  <c r="K13" i="61"/>
  <c r="Q13" i="61" s="1"/>
  <c r="P12" i="61"/>
  <c r="O12" i="61"/>
  <c r="N12" i="61"/>
  <c r="M12" i="61"/>
  <c r="L12" i="61"/>
  <c r="K12" i="61"/>
  <c r="Q12" i="61" s="1"/>
  <c r="P11" i="61"/>
  <c r="O11" i="61"/>
  <c r="N11" i="61"/>
  <c r="M11" i="61"/>
  <c r="L11" i="61"/>
  <c r="K11" i="61"/>
  <c r="Q11" i="61" s="1"/>
  <c r="P10" i="61"/>
  <c r="O10" i="61"/>
  <c r="N10" i="61"/>
  <c r="M10" i="61"/>
  <c r="L10" i="61"/>
  <c r="K10" i="61"/>
  <c r="Q10" i="61" s="1"/>
  <c r="P9" i="61"/>
  <c r="O9" i="61"/>
  <c r="N9" i="61"/>
  <c r="M9" i="61"/>
  <c r="L9" i="61"/>
  <c r="K9" i="61"/>
  <c r="Q9" i="61" s="1"/>
  <c r="P8" i="61"/>
  <c r="O8" i="61"/>
  <c r="N8" i="61"/>
  <c r="M8" i="61"/>
  <c r="L8" i="61"/>
  <c r="K8" i="61"/>
  <c r="Q8" i="61" s="1"/>
  <c r="P7" i="61"/>
  <c r="O7" i="61"/>
  <c r="N7" i="61"/>
  <c r="M7" i="61"/>
  <c r="L7" i="61"/>
  <c r="K7" i="61"/>
  <c r="Q7" i="61" s="1"/>
  <c r="P6" i="61"/>
  <c r="O6" i="61"/>
  <c r="N6" i="61"/>
  <c r="M6" i="61"/>
  <c r="L6" i="61"/>
  <c r="K6" i="61"/>
  <c r="Q6" i="61" s="1"/>
  <c r="P5" i="61"/>
  <c r="O5" i="61"/>
  <c r="N5" i="61"/>
  <c r="M5" i="61"/>
  <c r="L5" i="61"/>
  <c r="K5" i="61"/>
  <c r="Q5" i="61" s="1"/>
  <c r="P4" i="61"/>
  <c r="O4" i="61"/>
  <c r="N4" i="61"/>
  <c r="M4" i="61"/>
  <c r="L4" i="61"/>
  <c r="K4" i="61"/>
  <c r="Q4" i="61" s="1"/>
  <c r="P3" i="61"/>
  <c r="O3" i="61"/>
  <c r="N3" i="61"/>
  <c r="M3" i="61"/>
  <c r="L3" i="61"/>
  <c r="K3" i="61"/>
  <c r="Q3" i="61" s="1"/>
  <c r="P16" i="62"/>
  <c r="O16" i="62"/>
  <c r="N16" i="62"/>
  <c r="M16" i="62"/>
  <c r="L16" i="62"/>
  <c r="K16" i="62"/>
  <c r="Q16" i="62" s="1"/>
  <c r="P15" i="62"/>
  <c r="O15" i="62"/>
  <c r="N15" i="62"/>
  <c r="M15" i="62"/>
  <c r="L15" i="62"/>
  <c r="K15" i="62"/>
  <c r="Q15" i="62" s="1"/>
  <c r="P14" i="62"/>
  <c r="O14" i="62"/>
  <c r="N14" i="62"/>
  <c r="M14" i="62"/>
  <c r="L14" i="62"/>
  <c r="K14" i="62"/>
  <c r="Q14" i="62" s="1"/>
  <c r="P13" i="62"/>
  <c r="O13" i="62"/>
  <c r="N13" i="62"/>
  <c r="M13" i="62"/>
  <c r="L13" i="62"/>
  <c r="K13" i="62"/>
  <c r="Q13" i="62" s="1"/>
  <c r="P12" i="62"/>
  <c r="O12" i="62"/>
  <c r="N12" i="62"/>
  <c r="M12" i="62"/>
  <c r="L12" i="62"/>
  <c r="K12" i="62"/>
  <c r="Q12" i="62" s="1"/>
  <c r="P11" i="62"/>
  <c r="O11" i="62"/>
  <c r="N11" i="62"/>
  <c r="M11" i="62"/>
  <c r="L11" i="62"/>
  <c r="K11" i="62"/>
  <c r="Q11" i="62" s="1"/>
  <c r="P10" i="62"/>
  <c r="O10" i="62"/>
  <c r="N10" i="62"/>
  <c r="M10" i="62"/>
  <c r="L10" i="62"/>
  <c r="K10" i="62"/>
  <c r="Q10" i="62" s="1"/>
  <c r="P9" i="62"/>
  <c r="O9" i="62"/>
  <c r="N9" i="62"/>
  <c r="M9" i="62"/>
  <c r="L9" i="62"/>
  <c r="K9" i="62"/>
  <c r="Q9" i="62" s="1"/>
  <c r="P8" i="62"/>
  <c r="O8" i="62"/>
  <c r="N8" i="62"/>
  <c r="M8" i="62"/>
  <c r="L8" i="62"/>
  <c r="K8" i="62"/>
  <c r="Q8" i="62" s="1"/>
  <c r="P7" i="62"/>
  <c r="O7" i="62"/>
  <c r="N7" i="62"/>
  <c r="M7" i="62"/>
  <c r="L7" i="62"/>
  <c r="K7" i="62"/>
  <c r="Q7" i="62" s="1"/>
  <c r="P6" i="62"/>
  <c r="O6" i="62"/>
  <c r="N6" i="62"/>
  <c r="M6" i="62"/>
  <c r="L6" i="62"/>
  <c r="K6" i="62"/>
  <c r="Q6" i="62" s="1"/>
  <c r="P5" i="62"/>
  <c r="O5" i="62"/>
  <c r="N5" i="62"/>
  <c r="M5" i="62"/>
  <c r="L5" i="62"/>
  <c r="K5" i="62"/>
  <c r="Q5" i="62" s="1"/>
  <c r="P4" i="62"/>
  <c r="O4" i="62"/>
  <c r="N4" i="62"/>
  <c r="M4" i="62"/>
  <c r="L4" i="62"/>
  <c r="Q4" i="62"/>
  <c r="P3" i="62"/>
  <c r="O3" i="62"/>
  <c r="N3" i="62"/>
  <c r="M3" i="62"/>
  <c r="L3" i="62"/>
  <c r="K3" i="62"/>
  <c r="Q3" i="62" s="1"/>
  <c r="K9" i="23"/>
  <c r="Q9" i="23"/>
  <c r="Q8" i="23"/>
  <c r="K5" i="55"/>
  <c r="K3" i="55"/>
  <c r="O4" i="46"/>
  <c r="P16" i="60"/>
  <c r="O16" i="60"/>
  <c r="N16" i="60"/>
  <c r="M16" i="60"/>
  <c r="L16" i="60"/>
  <c r="K16" i="60"/>
  <c r="Q16" i="60" s="1"/>
  <c r="P15" i="60"/>
  <c r="O15" i="60"/>
  <c r="N15" i="60"/>
  <c r="M15" i="60"/>
  <c r="L15" i="60"/>
  <c r="K15" i="60"/>
  <c r="Q15" i="60" s="1"/>
  <c r="Q14" i="60"/>
  <c r="P14" i="60"/>
  <c r="O14" i="60"/>
  <c r="N14" i="60"/>
  <c r="M14" i="60"/>
  <c r="L14" i="60"/>
  <c r="K14" i="60"/>
  <c r="P13" i="60"/>
  <c r="O13" i="60"/>
  <c r="N13" i="60"/>
  <c r="M13" i="60"/>
  <c r="L13" i="60"/>
  <c r="K13" i="60"/>
  <c r="Q13" i="60" s="1"/>
  <c r="P12" i="60"/>
  <c r="O12" i="60"/>
  <c r="Q12" i="60" s="1"/>
  <c r="N12" i="60"/>
  <c r="M12" i="60"/>
  <c r="L12" i="60"/>
  <c r="K12" i="60"/>
  <c r="P11" i="60"/>
  <c r="O11" i="60"/>
  <c r="N11" i="60"/>
  <c r="M11" i="60"/>
  <c r="L11" i="60"/>
  <c r="K11" i="60"/>
  <c r="Q11" i="60" s="1"/>
  <c r="P10" i="60"/>
  <c r="O10" i="60"/>
  <c r="N10" i="60"/>
  <c r="M10" i="60"/>
  <c r="L10" i="60"/>
  <c r="Q10" i="60" s="1"/>
  <c r="K10" i="60"/>
  <c r="P9" i="60"/>
  <c r="O9" i="60"/>
  <c r="N9" i="60"/>
  <c r="M9" i="60"/>
  <c r="L9" i="60"/>
  <c r="K9" i="60"/>
  <c r="Q9" i="60" s="1"/>
  <c r="P8" i="60"/>
  <c r="O8" i="60"/>
  <c r="N8" i="60"/>
  <c r="M8" i="60"/>
  <c r="L8" i="60"/>
  <c r="K8" i="60"/>
  <c r="Q8" i="60" s="1"/>
  <c r="Q7" i="60"/>
  <c r="P7" i="60"/>
  <c r="O7" i="60"/>
  <c r="N7" i="60"/>
  <c r="M7" i="60"/>
  <c r="L7" i="60"/>
  <c r="K7" i="60"/>
  <c r="P6" i="60"/>
  <c r="O6" i="60"/>
  <c r="N6" i="60"/>
  <c r="M6" i="60"/>
  <c r="L6" i="60"/>
  <c r="K6" i="60"/>
  <c r="P5" i="60"/>
  <c r="O5" i="60"/>
  <c r="N5" i="60"/>
  <c r="M5" i="60"/>
  <c r="L5" i="60"/>
  <c r="K5" i="60"/>
  <c r="P4" i="60"/>
  <c r="O4" i="60"/>
  <c r="N4" i="60"/>
  <c r="M4" i="60"/>
  <c r="L4" i="60"/>
  <c r="K4" i="60"/>
  <c r="Q4" i="60" s="1"/>
  <c r="P3" i="60"/>
  <c r="O3" i="60"/>
  <c r="N3" i="60"/>
  <c r="M3" i="60"/>
  <c r="Q3" i="60" s="1"/>
  <c r="L3" i="60"/>
  <c r="K3" i="60"/>
  <c r="P16" i="59"/>
  <c r="O16" i="59"/>
  <c r="N16" i="59"/>
  <c r="M16" i="59"/>
  <c r="L16" i="59"/>
  <c r="K16" i="59"/>
  <c r="Q16" i="59" s="1"/>
  <c r="P15" i="59"/>
  <c r="O15" i="59"/>
  <c r="N15" i="59"/>
  <c r="M15" i="59"/>
  <c r="L15" i="59"/>
  <c r="K15" i="59"/>
  <c r="Q15" i="59" s="1"/>
  <c r="P14" i="59"/>
  <c r="Q14" i="59" s="1"/>
  <c r="O14" i="59"/>
  <c r="N14" i="59"/>
  <c r="M14" i="59"/>
  <c r="L14" i="59"/>
  <c r="K14" i="59"/>
  <c r="P13" i="59"/>
  <c r="O13" i="59"/>
  <c r="N13" i="59"/>
  <c r="M13" i="59"/>
  <c r="L13" i="59"/>
  <c r="K13" i="59"/>
  <c r="Q13" i="59" s="1"/>
  <c r="P12" i="59"/>
  <c r="O12" i="59"/>
  <c r="N12" i="59"/>
  <c r="Q12" i="59" s="1"/>
  <c r="M12" i="59"/>
  <c r="L12" i="59"/>
  <c r="K12" i="59"/>
  <c r="P11" i="59"/>
  <c r="O11" i="59"/>
  <c r="N11" i="59"/>
  <c r="M11" i="59"/>
  <c r="L11" i="59"/>
  <c r="K11" i="59"/>
  <c r="Q11" i="59" s="1"/>
  <c r="P10" i="59"/>
  <c r="O10" i="59"/>
  <c r="N10" i="59"/>
  <c r="M10" i="59"/>
  <c r="L10" i="59"/>
  <c r="Q10" i="59" s="1"/>
  <c r="K10" i="59"/>
  <c r="P9" i="59"/>
  <c r="O9" i="59"/>
  <c r="N9" i="59"/>
  <c r="M9" i="59"/>
  <c r="L9" i="59"/>
  <c r="K9" i="59"/>
  <c r="Q9" i="59" s="1"/>
  <c r="P8" i="59"/>
  <c r="O8" i="59"/>
  <c r="N8" i="59"/>
  <c r="M8" i="59"/>
  <c r="L8" i="59"/>
  <c r="K8" i="59"/>
  <c r="Q8" i="59" s="1"/>
  <c r="Q7" i="59"/>
  <c r="P7" i="59"/>
  <c r="O7" i="59"/>
  <c r="N7" i="59"/>
  <c r="M7" i="59"/>
  <c r="L7" i="59"/>
  <c r="K7" i="59"/>
  <c r="P6" i="59"/>
  <c r="O6" i="59"/>
  <c r="N6" i="59"/>
  <c r="M6" i="59"/>
  <c r="L6" i="59"/>
  <c r="K6" i="59"/>
  <c r="Q6" i="59" s="1"/>
  <c r="P5" i="59"/>
  <c r="O5" i="59"/>
  <c r="Q5" i="59" s="1"/>
  <c r="N5" i="59"/>
  <c r="M5" i="59"/>
  <c r="L5" i="59"/>
  <c r="K5" i="59"/>
  <c r="P4" i="59"/>
  <c r="O4" i="59"/>
  <c r="N4" i="59"/>
  <c r="M4" i="59"/>
  <c r="L4" i="59"/>
  <c r="K4" i="59"/>
  <c r="P3" i="59"/>
  <c r="O3" i="59"/>
  <c r="N3" i="59"/>
  <c r="M3" i="59"/>
  <c r="Q3" i="59" s="1"/>
  <c r="L3" i="59"/>
  <c r="K3" i="59"/>
  <c r="P16" i="58"/>
  <c r="O16" i="58"/>
  <c r="N16" i="58"/>
  <c r="M16" i="58"/>
  <c r="L16" i="58"/>
  <c r="K16" i="58"/>
  <c r="Q16" i="58" s="1"/>
  <c r="P15" i="58"/>
  <c r="O15" i="58"/>
  <c r="N15" i="58"/>
  <c r="M15" i="58"/>
  <c r="L15" i="58"/>
  <c r="K15" i="58"/>
  <c r="Q15" i="58" s="1"/>
  <c r="Q14" i="58"/>
  <c r="P14" i="58"/>
  <c r="O14" i="58"/>
  <c r="N14" i="58"/>
  <c r="M14" i="58"/>
  <c r="L14" i="58"/>
  <c r="K14" i="58"/>
  <c r="P13" i="58"/>
  <c r="O13" i="58"/>
  <c r="N13" i="58"/>
  <c r="M13" i="58"/>
  <c r="L13" i="58"/>
  <c r="K13" i="58"/>
  <c r="Q13" i="58" s="1"/>
  <c r="P12" i="58"/>
  <c r="O12" i="58"/>
  <c r="N12" i="58"/>
  <c r="Q12" i="58" s="1"/>
  <c r="M12" i="58"/>
  <c r="L12" i="58"/>
  <c r="K12" i="58"/>
  <c r="P11" i="58"/>
  <c r="O11" i="58"/>
  <c r="N11" i="58"/>
  <c r="M11" i="58"/>
  <c r="L11" i="58"/>
  <c r="K11" i="58"/>
  <c r="Q11" i="58" s="1"/>
  <c r="P10" i="58"/>
  <c r="O10" i="58"/>
  <c r="N10" i="58"/>
  <c r="M10" i="58"/>
  <c r="L10" i="58"/>
  <c r="Q10" i="58" s="1"/>
  <c r="K10" i="58"/>
  <c r="P9" i="58"/>
  <c r="O9" i="58"/>
  <c r="N9" i="58"/>
  <c r="Q9" i="58" s="1"/>
  <c r="M9" i="58"/>
  <c r="L9" i="58"/>
  <c r="K9" i="58"/>
  <c r="P8" i="58"/>
  <c r="O8" i="58"/>
  <c r="N8" i="58"/>
  <c r="M8" i="58"/>
  <c r="L8" i="58"/>
  <c r="K8" i="58"/>
  <c r="Q8" i="58" s="1"/>
  <c r="Q7" i="58"/>
  <c r="P7" i="58"/>
  <c r="O7" i="58"/>
  <c r="N7" i="58"/>
  <c r="M7" i="58"/>
  <c r="L7" i="58"/>
  <c r="K7" i="58"/>
  <c r="P6" i="58"/>
  <c r="O6" i="58"/>
  <c r="N6" i="58"/>
  <c r="M6" i="58"/>
  <c r="L6" i="58"/>
  <c r="K6" i="58"/>
  <c r="Q6" i="58" s="1"/>
  <c r="P5" i="58"/>
  <c r="Q5" i="58" s="1"/>
  <c r="O5" i="58"/>
  <c r="N5" i="58"/>
  <c r="M5" i="58"/>
  <c r="L5" i="58"/>
  <c r="K5" i="58"/>
  <c r="Q4" i="58"/>
  <c r="P4" i="58"/>
  <c r="O4" i="58"/>
  <c r="N4" i="58"/>
  <c r="M4" i="58"/>
  <c r="L4" i="58"/>
  <c r="K4" i="58"/>
  <c r="P3" i="58"/>
  <c r="O3" i="58"/>
  <c r="N3" i="58"/>
  <c r="M3" i="58"/>
  <c r="Q3" i="58" s="1"/>
  <c r="L3" i="58"/>
  <c r="K3" i="58"/>
  <c r="P16" i="57"/>
  <c r="O16" i="57"/>
  <c r="N16" i="57"/>
  <c r="M16" i="57"/>
  <c r="L16" i="57"/>
  <c r="K16" i="57"/>
  <c r="Q16" i="57" s="1"/>
  <c r="P15" i="57"/>
  <c r="O15" i="57"/>
  <c r="N15" i="57"/>
  <c r="M15" i="57"/>
  <c r="L15" i="57"/>
  <c r="K15" i="57"/>
  <c r="Q15" i="57" s="1"/>
  <c r="P14" i="57"/>
  <c r="Q14" i="57" s="1"/>
  <c r="O14" i="57"/>
  <c r="N14" i="57"/>
  <c r="M14" i="57"/>
  <c r="L14" i="57"/>
  <c r="K14" i="57"/>
  <c r="P13" i="57"/>
  <c r="O13" i="57"/>
  <c r="N13" i="57"/>
  <c r="M13" i="57"/>
  <c r="L13" i="57"/>
  <c r="K13" i="57"/>
  <c r="Q13" i="57" s="1"/>
  <c r="P12" i="57"/>
  <c r="O12" i="57"/>
  <c r="N12" i="57"/>
  <c r="Q12" i="57" s="1"/>
  <c r="M12" i="57"/>
  <c r="L12" i="57"/>
  <c r="K12" i="57"/>
  <c r="Q11" i="57"/>
  <c r="P11" i="57"/>
  <c r="O11" i="57"/>
  <c r="N11" i="57"/>
  <c r="M11" i="57"/>
  <c r="L11" i="57"/>
  <c r="K11" i="57"/>
  <c r="P10" i="57"/>
  <c r="O10" i="57"/>
  <c r="N10" i="57"/>
  <c r="M10" i="57"/>
  <c r="L10" i="57"/>
  <c r="Q10" i="57" s="1"/>
  <c r="K10" i="57"/>
  <c r="P9" i="57"/>
  <c r="O9" i="57"/>
  <c r="Q9" i="57" s="1"/>
  <c r="N9" i="57"/>
  <c r="M9" i="57"/>
  <c r="L9" i="57"/>
  <c r="K9" i="57"/>
  <c r="P8" i="57"/>
  <c r="O8" i="57"/>
  <c r="N8" i="57"/>
  <c r="M8" i="57"/>
  <c r="L8" i="57"/>
  <c r="K8" i="57"/>
  <c r="Q8" i="57" s="1"/>
  <c r="Q7" i="57"/>
  <c r="P7" i="57"/>
  <c r="O7" i="57"/>
  <c r="N7" i="57"/>
  <c r="M7" i="57"/>
  <c r="L7" i="57"/>
  <c r="K7" i="57"/>
  <c r="P6" i="57"/>
  <c r="O6" i="57"/>
  <c r="N6" i="57"/>
  <c r="M6" i="57"/>
  <c r="L6" i="57"/>
  <c r="K6" i="57"/>
  <c r="Q6" i="57" s="1"/>
  <c r="P5" i="57"/>
  <c r="O5" i="57"/>
  <c r="Q5" i="57" s="1"/>
  <c r="N5" i="57"/>
  <c r="M5" i="57"/>
  <c r="L5" i="57"/>
  <c r="K5" i="57"/>
  <c r="P4" i="57"/>
  <c r="O4" i="57"/>
  <c r="N4" i="57"/>
  <c r="M4" i="57"/>
  <c r="L4" i="57"/>
  <c r="K4" i="57"/>
  <c r="Q4" i="57" s="1"/>
  <c r="P3" i="57"/>
  <c r="O3" i="57"/>
  <c r="N3" i="57"/>
  <c r="M3" i="57"/>
  <c r="L3" i="57"/>
  <c r="K3" i="57"/>
  <c r="P16" i="56"/>
  <c r="O16" i="56"/>
  <c r="N16" i="56"/>
  <c r="M16" i="56"/>
  <c r="L16" i="56"/>
  <c r="K16" i="56"/>
  <c r="Q16" i="56" s="1"/>
  <c r="P15" i="56"/>
  <c r="O15" i="56"/>
  <c r="N15" i="56"/>
  <c r="M15" i="56"/>
  <c r="L15" i="56"/>
  <c r="K15" i="56"/>
  <c r="Q15" i="56" s="1"/>
  <c r="Q14" i="56"/>
  <c r="P14" i="56"/>
  <c r="O14" i="56"/>
  <c r="N14" i="56"/>
  <c r="M14" i="56"/>
  <c r="L14" i="56"/>
  <c r="K14" i="56"/>
  <c r="P13" i="56"/>
  <c r="O13" i="56"/>
  <c r="N13" i="56"/>
  <c r="M13" i="56"/>
  <c r="L13" i="56"/>
  <c r="K13" i="56"/>
  <c r="Q13" i="56" s="1"/>
  <c r="P12" i="56"/>
  <c r="O12" i="56"/>
  <c r="Q12" i="56" s="1"/>
  <c r="N12" i="56"/>
  <c r="M12" i="56"/>
  <c r="L12" i="56"/>
  <c r="K12" i="56"/>
  <c r="P11" i="56"/>
  <c r="O11" i="56"/>
  <c r="N11" i="56"/>
  <c r="M11" i="56"/>
  <c r="L11" i="56"/>
  <c r="K11" i="56"/>
  <c r="Q11" i="56" s="1"/>
  <c r="P10" i="56"/>
  <c r="O10" i="56"/>
  <c r="N10" i="56"/>
  <c r="M10" i="56"/>
  <c r="L10" i="56"/>
  <c r="Q10" i="56" s="1"/>
  <c r="K10" i="56"/>
  <c r="P9" i="56"/>
  <c r="O9" i="56"/>
  <c r="N9" i="56"/>
  <c r="M9" i="56"/>
  <c r="L9" i="56"/>
  <c r="K9" i="56"/>
  <c r="Q9" i="56" s="1"/>
  <c r="P8" i="56"/>
  <c r="O8" i="56"/>
  <c r="N8" i="56"/>
  <c r="M8" i="56"/>
  <c r="L8" i="56"/>
  <c r="K8" i="56"/>
  <c r="Q8" i="56" s="1"/>
  <c r="Q7" i="56"/>
  <c r="P7" i="56"/>
  <c r="O7" i="56"/>
  <c r="N7" i="56"/>
  <c r="M7" i="56"/>
  <c r="L7" i="56"/>
  <c r="K7" i="56"/>
  <c r="P6" i="56"/>
  <c r="O6" i="56"/>
  <c r="N6" i="56"/>
  <c r="M6" i="56"/>
  <c r="L6" i="56"/>
  <c r="K6" i="56"/>
  <c r="Q6" i="56" s="1"/>
  <c r="P5" i="56"/>
  <c r="O5" i="56"/>
  <c r="Q5" i="56" s="1"/>
  <c r="N5" i="56"/>
  <c r="M5" i="56"/>
  <c r="L5" i="56"/>
  <c r="K5" i="56"/>
  <c r="P4" i="56"/>
  <c r="O4" i="56"/>
  <c r="N4" i="56"/>
  <c r="M4" i="56"/>
  <c r="L4" i="56"/>
  <c r="K4" i="56"/>
  <c r="Q4" i="56" s="1"/>
  <c r="P3" i="56"/>
  <c r="O3" i="56"/>
  <c r="N3" i="56"/>
  <c r="M3" i="56"/>
  <c r="Q3" i="56" s="1"/>
  <c r="L3" i="56"/>
  <c r="K3" i="56"/>
  <c r="P16" i="55"/>
  <c r="O16" i="55"/>
  <c r="N16" i="55"/>
  <c r="M16" i="55"/>
  <c r="L16" i="55"/>
  <c r="K16" i="55"/>
  <c r="Q16" i="55" s="1"/>
  <c r="P15" i="55"/>
  <c r="O15" i="55"/>
  <c r="N15" i="55"/>
  <c r="M15" i="55"/>
  <c r="L15" i="55"/>
  <c r="K15" i="55"/>
  <c r="Q15" i="55" s="1"/>
  <c r="Q14" i="55"/>
  <c r="P14" i="55"/>
  <c r="O14" i="55"/>
  <c r="N14" i="55"/>
  <c r="M14" i="55"/>
  <c r="L14" i="55"/>
  <c r="K14" i="55"/>
  <c r="P13" i="55"/>
  <c r="O13" i="55"/>
  <c r="N13" i="55"/>
  <c r="M13" i="55"/>
  <c r="L13" i="55"/>
  <c r="K13" i="55"/>
  <c r="Q13" i="55" s="1"/>
  <c r="P12" i="55"/>
  <c r="O12" i="55"/>
  <c r="N12" i="55"/>
  <c r="Q12" i="55" s="1"/>
  <c r="M12" i="55"/>
  <c r="L12" i="55"/>
  <c r="K12" i="55"/>
  <c r="P11" i="55"/>
  <c r="Q11" i="55" s="1"/>
  <c r="O11" i="55"/>
  <c r="N11" i="55"/>
  <c r="M11" i="55"/>
  <c r="L11" i="55"/>
  <c r="K11" i="55"/>
  <c r="P10" i="55"/>
  <c r="O10" i="55"/>
  <c r="N10" i="55"/>
  <c r="M10" i="55"/>
  <c r="L10" i="55"/>
  <c r="Q10" i="55" s="1"/>
  <c r="K10" i="55"/>
  <c r="P9" i="55"/>
  <c r="O9" i="55"/>
  <c r="N9" i="55"/>
  <c r="M9" i="55"/>
  <c r="L9" i="55"/>
  <c r="K9" i="55"/>
  <c r="Q9" i="55" s="1"/>
  <c r="P8" i="55"/>
  <c r="O8" i="55"/>
  <c r="N8" i="55"/>
  <c r="M8" i="55"/>
  <c r="L8" i="55"/>
  <c r="K8" i="55"/>
  <c r="Q8" i="55" s="1"/>
  <c r="P7" i="55"/>
  <c r="O7" i="55"/>
  <c r="N7" i="55"/>
  <c r="M7" i="55"/>
  <c r="L7" i="55"/>
  <c r="K7" i="55"/>
  <c r="Q7" i="55" s="1"/>
  <c r="P6" i="55"/>
  <c r="O6" i="55"/>
  <c r="N6" i="55"/>
  <c r="M6" i="55"/>
  <c r="L6" i="55"/>
  <c r="K6" i="55"/>
  <c r="Q6" i="55" s="1"/>
  <c r="P5" i="55"/>
  <c r="O5" i="55"/>
  <c r="Q5" i="55" s="1"/>
  <c r="N5" i="55"/>
  <c r="M5" i="55"/>
  <c r="L5" i="55"/>
  <c r="P4" i="55"/>
  <c r="O4" i="55"/>
  <c r="N4" i="55"/>
  <c r="M4" i="55"/>
  <c r="L4" i="55"/>
  <c r="Q4" i="55" s="1"/>
  <c r="P3" i="55"/>
  <c r="O3" i="55"/>
  <c r="N3" i="55"/>
  <c r="M3" i="55"/>
  <c r="L3" i="55"/>
  <c r="P16" i="54"/>
  <c r="O16" i="54"/>
  <c r="N16" i="54"/>
  <c r="M16" i="54"/>
  <c r="L16" i="54"/>
  <c r="K16" i="54"/>
  <c r="Q16" i="54" s="1"/>
  <c r="P15" i="54"/>
  <c r="O15" i="54"/>
  <c r="N15" i="54"/>
  <c r="M15" i="54"/>
  <c r="L15" i="54"/>
  <c r="K15" i="54"/>
  <c r="Q15" i="54" s="1"/>
  <c r="Q14" i="54"/>
  <c r="P14" i="54"/>
  <c r="O14" i="54"/>
  <c r="N14" i="54"/>
  <c r="M14" i="54"/>
  <c r="L14" i="54"/>
  <c r="K14" i="54"/>
  <c r="P13" i="54"/>
  <c r="O13" i="54"/>
  <c r="N13" i="54"/>
  <c r="M13" i="54"/>
  <c r="L13" i="54"/>
  <c r="K13" i="54"/>
  <c r="Q13" i="54" s="1"/>
  <c r="P12" i="54"/>
  <c r="O12" i="54"/>
  <c r="N12" i="54"/>
  <c r="Q12" i="54" s="1"/>
  <c r="M12" i="54"/>
  <c r="L12" i="54"/>
  <c r="K12" i="54"/>
  <c r="P11" i="54"/>
  <c r="O11" i="54"/>
  <c r="N11" i="54"/>
  <c r="M11" i="54"/>
  <c r="L11" i="54"/>
  <c r="K11" i="54"/>
  <c r="Q11" i="54" s="1"/>
  <c r="P10" i="54"/>
  <c r="O10" i="54"/>
  <c r="N10" i="54"/>
  <c r="M10" i="54"/>
  <c r="L10" i="54"/>
  <c r="Q10" i="54" s="1"/>
  <c r="K10" i="54"/>
  <c r="P9" i="54"/>
  <c r="O9" i="54"/>
  <c r="N9" i="54"/>
  <c r="M9" i="54"/>
  <c r="L9" i="54"/>
  <c r="K9" i="54"/>
  <c r="Q9" i="54" s="1"/>
  <c r="P8" i="54"/>
  <c r="O8" i="54"/>
  <c r="N8" i="54"/>
  <c r="M8" i="54"/>
  <c r="L8" i="54"/>
  <c r="K8" i="54"/>
  <c r="Q8" i="54" s="1"/>
  <c r="Q7" i="54"/>
  <c r="P7" i="54"/>
  <c r="O7" i="54"/>
  <c r="N7" i="54"/>
  <c r="M7" i="54"/>
  <c r="L7" i="54"/>
  <c r="K7" i="54"/>
  <c r="Q6" i="54"/>
  <c r="P6" i="54"/>
  <c r="O6" i="54"/>
  <c r="N6" i="54"/>
  <c r="M6" i="54"/>
  <c r="L6" i="54"/>
  <c r="K6" i="54"/>
  <c r="P5" i="54"/>
  <c r="Q5" i="54" s="1"/>
  <c r="O5" i="54"/>
  <c r="N5" i="54"/>
  <c r="M5" i="54"/>
  <c r="L5" i="54"/>
  <c r="K5" i="54"/>
  <c r="P4" i="54"/>
  <c r="O4" i="54"/>
  <c r="N4" i="54"/>
  <c r="M4" i="54"/>
  <c r="L4" i="54"/>
  <c r="K4" i="54"/>
  <c r="Q4" i="54" s="1"/>
  <c r="P3" i="54"/>
  <c r="O3" i="54"/>
  <c r="N3" i="54"/>
  <c r="M3" i="54"/>
  <c r="L3" i="54"/>
  <c r="K3" i="54"/>
  <c r="P16" i="53"/>
  <c r="O16" i="53"/>
  <c r="N16" i="53"/>
  <c r="M16" i="53"/>
  <c r="L16" i="53"/>
  <c r="K16" i="53"/>
  <c r="Q16" i="53" s="1"/>
  <c r="P15" i="53"/>
  <c r="O15" i="53"/>
  <c r="N15" i="53"/>
  <c r="M15" i="53"/>
  <c r="L15" i="53"/>
  <c r="K15" i="53"/>
  <c r="Q15" i="53" s="1"/>
  <c r="Q14" i="53"/>
  <c r="P14" i="53"/>
  <c r="O14" i="53"/>
  <c r="N14" i="53"/>
  <c r="M14" i="53"/>
  <c r="L14" i="53"/>
  <c r="K14" i="53"/>
  <c r="P13" i="53"/>
  <c r="O13" i="53"/>
  <c r="N13" i="53"/>
  <c r="M13" i="53"/>
  <c r="L13" i="53"/>
  <c r="K13" i="53"/>
  <c r="Q13" i="53" s="1"/>
  <c r="Q12" i="53"/>
  <c r="P12" i="53"/>
  <c r="O12" i="53"/>
  <c r="N12" i="53"/>
  <c r="M12" i="53"/>
  <c r="L12" i="53"/>
  <c r="K12" i="53"/>
  <c r="P11" i="53"/>
  <c r="O11" i="53"/>
  <c r="N11" i="53"/>
  <c r="M11" i="53"/>
  <c r="L11" i="53"/>
  <c r="K11" i="53"/>
  <c r="Q11" i="53" s="1"/>
  <c r="P10" i="53"/>
  <c r="O10" i="53"/>
  <c r="N10" i="53"/>
  <c r="M10" i="53"/>
  <c r="L10" i="53"/>
  <c r="Q10" i="53" s="1"/>
  <c r="K10" i="53"/>
  <c r="P9" i="53"/>
  <c r="O9" i="53"/>
  <c r="N9" i="53"/>
  <c r="M9" i="53"/>
  <c r="L9" i="53"/>
  <c r="K9" i="53"/>
  <c r="Q9" i="53" s="1"/>
  <c r="P8" i="53"/>
  <c r="O8" i="53"/>
  <c r="N8" i="53"/>
  <c r="M8" i="53"/>
  <c r="L8" i="53"/>
  <c r="K8" i="53"/>
  <c r="Q8" i="53" s="1"/>
  <c r="Q7" i="53"/>
  <c r="P7" i="53"/>
  <c r="O7" i="53"/>
  <c r="N7" i="53"/>
  <c r="M7" i="53"/>
  <c r="L7" i="53"/>
  <c r="K7" i="53"/>
  <c r="P6" i="53"/>
  <c r="O6" i="53"/>
  <c r="N6" i="53"/>
  <c r="M6" i="53"/>
  <c r="L6" i="53"/>
  <c r="K6" i="53"/>
  <c r="Q6" i="53" s="1"/>
  <c r="P5" i="53"/>
  <c r="O5" i="53"/>
  <c r="Q5" i="53" s="1"/>
  <c r="N5" i="53"/>
  <c r="M5" i="53"/>
  <c r="L5" i="53"/>
  <c r="K5" i="53"/>
  <c r="P4" i="53"/>
  <c r="O4" i="53"/>
  <c r="N4" i="53"/>
  <c r="M4" i="53"/>
  <c r="L4" i="53"/>
  <c r="K4" i="53"/>
  <c r="Q4" i="53" s="1"/>
  <c r="P3" i="53"/>
  <c r="O3" i="53"/>
  <c r="N3" i="53"/>
  <c r="M3" i="53"/>
  <c r="L3" i="53"/>
  <c r="K3" i="53"/>
  <c r="P16" i="52"/>
  <c r="O16" i="52"/>
  <c r="N16" i="52"/>
  <c r="M16" i="52"/>
  <c r="L16" i="52"/>
  <c r="K16" i="52"/>
  <c r="Q16" i="52" s="1"/>
  <c r="P15" i="52"/>
  <c r="O15" i="52"/>
  <c r="N15" i="52"/>
  <c r="M15" i="52"/>
  <c r="L15" i="52"/>
  <c r="K15" i="52"/>
  <c r="Q15" i="52" s="1"/>
  <c r="Q14" i="52"/>
  <c r="P14" i="52"/>
  <c r="O14" i="52"/>
  <c r="N14" i="52"/>
  <c r="M14" i="52"/>
  <c r="L14" i="52"/>
  <c r="K14" i="52"/>
  <c r="P13" i="52"/>
  <c r="O13" i="52"/>
  <c r="N13" i="52"/>
  <c r="M13" i="52"/>
  <c r="L13" i="52"/>
  <c r="K13" i="52"/>
  <c r="Q13" i="52" s="1"/>
  <c r="P12" i="52"/>
  <c r="O12" i="52"/>
  <c r="N12" i="52"/>
  <c r="Q12" i="52" s="1"/>
  <c r="M12" i="52"/>
  <c r="L12" i="52"/>
  <c r="K12" i="52"/>
  <c r="P11" i="52"/>
  <c r="O11" i="52"/>
  <c r="N11" i="52"/>
  <c r="M11" i="52"/>
  <c r="L11" i="52"/>
  <c r="K11" i="52"/>
  <c r="Q11" i="52" s="1"/>
  <c r="P10" i="52"/>
  <c r="O10" i="52"/>
  <c r="N10" i="52"/>
  <c r="M10" i="52"/>
  <c r="L10" i="52"/>
  <c r="Q10" i="52" s="1"/>
  <c r="K10" i="52"/>
  <c r="P9" i="52"/>
  <c r="O9" i="52"/>
  <c r="N9" i="52"/>
  <c r="M9" i="52"/>
  <c r="L9" i="52"/>
  <c r="K9" i="52"/>
  <c r="Q9" i="52" s="1"/>
  <c r="P8" i="52"/>
  <c r="O8" i="52"/>
  <c r="N8" i="52"/>
  <c r="M8" i="52"/>
  <c r="L8" i="52"/>
  <c r="K8" i="52"/>
  <c r="Q8" i="52" s="1"/>
  <c r="Q7" i="52"/>
  <c r="P7" i="52"/>
  <c r="O7" i="52"/>
  <c r="N7" i="52"/>
  <c r="M7" i="52"/>
  <c r="L7" i="52"/>
  <c r="K7" i="52"/>
  <c r="P6" i="52"/>
  <c r="O6" i="52"/>
  <c r="N6" i="52"/>
  <c r="M6" i="52"/>
  <c r="L6" i="52"/>
  <c r="K6" i="52"/>
  <c r="Q6" i="52" s="1"/>
  <c r="P5" i="52"/>
  <c r="Q5" i="52" s="1"/>
  <c r="O5" i="52"/>
  <c r="N5" i="52"/>
  <c r="M5" i="52"/>
  <c r="L5" i="52"/>
  <c r="K5" i="52"/>
  <c r="P4" i="52"/>
  <c r="O4" i="52"/>
  <c r="N4" i="52"/>
  <c r="M4" i="52"/>
  <c r="L4" i="52"/>
  <c r="K4" i="52"/>
  <c r="Q4" i="52" s="1"/>
  <c r="P3" i="52"/>
  <c r="O3" i="52"/>
  <c r="N3" i="52"/>
  <c r="M3" i="52"/>
  <c r="L3" i="52"/>
  <c r="K3" i="52"/>
  <c r="P16" i="51"/>
  <c r="O16" i="51"/>
  <c r="N16" i="51"/>
  <c r="M16" i="51"/>
  <c r="L16" i="51"/>
  <c r="K16" i="51"/>
  <c r="Q16" i="51" s="1"/>
  <c r="P15" i="51"/>
  <c r="O15" i="51"/>
  <c r="N15" i="51"/>
  <c r="M15" i="51"/>
  <c r="L15" i="51"/>
  <c r="K15" i="51"/>
  <c r="Q15" i="51" s="1"/>
  <c r="Q14" i="51"/>
  <c r="P14" i="51"/>
  <c r="O14" i="51"/>
  <c r="N14" i="51"/>
  <c r="M14" i="51"/>
  <c r="L14" i="51"/>
  <c r="K14" i="51"/>
  <c r="P13" i="51"/>
  <c r="O13" i="51"/>
  <c r="N13" i="51"/>
  <c r="M13" i="51"/>
  <c r="L13" i="51"/>
  <c r="K13" i="51"/>
  <c r="Q13" i="51" s="1"/>
  <c r="P12" i="51"/>
  <c r="O12" i="51"/>
  <c r="N12" i="51"/>
  <c r="Q12" i="51" s="1"/>
  <c r="M12" i="51"/>
  <c r="L12" i="51"/>
  <c r="K12" i="51"/>
  <c r="P11" i="51"/>
  <c r="O11" i="51"/>
  <c r="N11" i="51"/>
  <c r="M11" i="51"/>
  <c r="L11" i="51"/>
  <c r="K11" i="51"/>
  <c r="Q11" i="51" s="1"/>
  <c r="P10" i="51"/>
  <c r="O10" i="51"/>
  <c r="N10" i="51"/>
  <c r="M10" i="51"/>
  <c r="L10" i="51"/>
  <c r="Q10" i="51" s="1"/>
  <c r="K10" i="51"/>
  <c r="P9" i="51"/>
  <c r="O9" i="51"/>
  <c r="N9" i="51"/>
  <c r="M9" i="51"/>
  <c r="L9" i="51"/>
  <c r="K9" i="51"/>
  <c r="Q9" i="51" s="1"/>
  <c r="P8" i="51"/>
  <c r="O8" i="51"/>
  <c r="N8" i="51"/>
  <c r="M8" i="51"/>
  <c r="L8" i="51"/>
  <c r="K8" i="51"/>
  <c r="Q8" i="51" s="1"/>
  <c r="Q7" i="51"/>
  <c r="P7" i="51"/>
  <c r="O7" i="51"/>
  <c r="N7" i="51"/>
  <c r="M7" i="51"/>
  <c r="L7" i="51"/>
  <c r="K7" i="51"/>
  <c r="P6" i="51"/>
  <c r="O6" i="51"/>
  <c r="N6" i="51"/>
  <c r="M6" i="51"/>
  <c r="L6" i="51"/>
  <c r="K6" i="51"/>
  <c r="Q6" i="51" s="1"/>
  <c r="P5" i="51"/>
  <c r="Q5" i="51" s="1"/>
  <c r="O5" i="51"/>
  <c r="N5" i="51"/>
  <c r="M5" i="51"/>
  <c r="L5" i="51"/>
  <c r="K5" i="51"/>
  <c r="P4" i="51"/>
  <c r="O4" i="51"/>
  <c r="N4" i="51"/>
  <c r="M4" i="51"/>
  <c r="L4" i="51"/>
  <c r="K4" i="51"/>
  <c r="Q4" i="51" s="1"/>
  <c r="P3" i="51"/>
  <c r="O3" i="51"/>
  <c r="N3" i="51"/>
  <c r="M3" i="51"/>
  <c r="L3" i="51"/>
  <c r="K3" i="51"/>
  <c r="P16" i="50"/>
  <c r="O16" i="50"/>
  <c r="N16" i="50"/>
  <c r="M16" i="50"/>
  <c r="L16" i="50"/>
  <c r="K16" i="50"/>
  <c r="Q16" i="50" s="1"/>
  <c r="P15" i="50"/>
  <c r="O15" i="50"/>
  <c r="N15" i="50"/>
  <c r="M15" i="50"/>
  <c r="L15" i="50"/>
  <c r="K15" i="50"/>
  <c r="Q15" i="50" s="1"/>
  <c r="Q14" i="50"/>
  <c r="P14" i="50"/>
  <c r="O14" i="50"/>
  <c r="N14" i="50"/>
  <c r="M14" i="50"/>
  <c r="L14" i="50"/>
  <c r="K14" i="50"/>
  <c r="P13" i="50"/>
  <c r="O13" i="50"/>
  <c r="N13" i="50"/>
  <c r="M13" i="50"/>
  <c r="L13" i="50"/>
  <c r="K13" i="50"/>
  <c r="Q13" i="50" s="1"/>
  <c r="P12" i="50"/>
  <c r="O12" i="50"/>
  <c r="N12" i="50"/>
  <c r="Q12" i="50" s="1"/>
  <c r="M12" i="50"/>
  <c r="L12" i="50"/>
  <c r="K12" i="50"/>
  <c r="P11" i="50"/>
  <c r="O11" i="50"/>
  <c r="N11" i="50"/>
  <c r="M11" i="50"/>
  <c r="L11" i="50"/>
  <c r="K11" i="50"/>
  <c r="Q11" i="50" s="1"/>
  <c r="P10" i="50"/>
  <c r="O10" i="50"/>
  <c r="N10" i="50"/>
  <c r="M10" i="50"/>
  <c r="L10" i="50"/>
  <c r="Q10" i="50" s="1"/>
  <c r="K10" i="50"/>
  <c r="P9" i="50"/>
  <c r="O9" i="50"/>
  <c r="N9" i="50"/>
  <c r="M9" i="50"/>
  <c r="L9" i="50"/>
  <c r="Q9" i="50" s="1"/>
  <c r="K9" i="50"/>
  <c r="P8" i="50"/>
  <c r="O8" i="50"/>
  <c r="N8" i="50"/>
  <c r="M8" i="50"/>
  <c r="L8" i="50"/>
  <c r="K8" i="50"/>
  <c r="Q8" i="50" s="1"/>
  <c r="Q7" i="50"/>
  <c r="P7" i="50"/>
  <c r="O7" i="50"/>
  <c r="N7" i="50"/>
  <c r="M7" i="50"/>
  <c r="L7" i="50"/>
  <c r="K7" i="50"/>
  <c r="P6" i="50"/>
  <c r="O6" i="50"/>
  <c r="N6" i="50"/>
  <c r="M6" i="50"/>
  <c r="L6" i="50"/>
  <c r="K6" i="50"/>
  <c r="Q6" i="50" s="1"/>
  <c r="P5" i="50"/>
  <c r="Q5" i="50" s="1"/>
  <c r="O5" i="50"/>
  <c r="N5" i="50"/>
  <c r="M5" i="50"/>
  <c r="L5" i="50"/>
  <c r="K5" i="50"/>
  <c r="P4" i="50"/>
  <c r="O4" i="50"/>
  <c r="N4" i="50"/>
  <c r="M4" i="50"/>
  <c r="L4" i="50"/>
  <c r="K4" i="50"/>
  <c r="Q4" i="50" s="1"/>
  <c r="P3" i="50"/>
  <c r="O3" i="50"/>
  <c r="N3" i="50"/>
  <c r="M3" i="50"/>
  <c r="L3" i="50"/>
  <c r="K3" i="50"/>
  <c r="P16" i="49"/>
  <c r="O16" i="49"/>
  <c r="N16" i="49"/>
  <c r="M16" i="49"/>
  <c r="L16" i="49"/>
  <c r="K16" i="49"/>
  <c r="Q16" i="49" s="1"/>
  <c r="P15" i="49"/>
  <c r="O15" i="49"/>
  <c r="N15" i="49"/>
  <c r="M15" i="49"/>
  <c r="L15" i="49"/>
  <c r="K15" i="49"/>
  <c r="Q15" i="49" s="1"/>
  <c r="P14" i="49"/>
  <c r="Q14" i="49" s="1"/>
  <c r="O14" i="49"/>
  <c r="N14" i="49"/>
  <c r="M14" i="49"/>
  <c r="L14" i="49"/>
  <c r="K14" i="49"/>
  <c r="P13" i="49"/>
  <c r="O13" i="49"/>
  <c r="N13" i="49"/>
  <c r="M13" i="49"/>
  <c r="L13" i="49"/>
  <c r="K13" i="49"/>
  <c r="Q13" i="49" s="1"/>
  <c r="Q12" i="49"/>
  <c r="P12" i="49"/>
  <c r="O12" i="49"/>
  <c r="N12" i="49"/>
  <c r="M12" i="49"/>
  <c r="L12" i="49"/>
  <c r="K12" i="49"/>
  <c r="P11" i="49"/>
  <c r="O11" i="49"/>
  <c r="N11" i="49"/>
  <c r="M11" i="49"/>
  <c r="L11" i="49"/>
  <c r="K11" i="49"/>
  <c r="Q11" i="49" s="1"/>
  <c r="P10" i="49"/>
  <c r="O10" i="49"/>
  <c r="Q10" i="49" s="1"/>
  <c r="N10" i="49"/>
  <c r="M10" i="49"/>
  <c r="L10" i="49"/>
  <c r="K10" i="49"/>
  <c r="P9" i="49"/>
  <c r="O9" i="49"/>
  <c r="N9" i="49"/>
  <c r="M9" i="49"/>
  <c r="L9" i="49"/>
  <c r="K9" i="49"/>
  <c r="Q9" i="49" s="1"/>
  <c r="P8" i="49"/>
  <c r="O8" i="49"/>
  <c r="N8" i="49"/>
  <c r="M8" i="49"/>
  <c r="L8" i="49"/>
  <c r="K8" i="49"/>
  <c r="Q8" i="49" s="1"/>
  <c r="Q7" i="49"/>
  <c r="P7" i="49"/>
  <c r="O7" i="49"/>
  <c r="N7" i="49"/>
  <c r="M7" i="49"/>
  <c r="L7" i="49"/>
  <c r="K7" i="49"/>
  <c r="P6" i="49"/>
  <c r="O6" i="49"/>
  <c r="N6" i="49"/>
  <c r="M6" i="49"/>
  <c r="L6" i="49"/>
  <c r="K6" i="49"/>
  <c r="Q6" i="49" s="1"/>
  <c r="P5" i="49"/>
  <c r="O5" i="49"/>
  <c r="Q5" i="49" s="1"/>
  <c r="N5" i="49"/>
  <c r="M5" i="49"/>
  <c r="L5" i="49"/>
  <c r="K5" i="49"/>
  <c r="P4" i="49"/>
  <c r="O4" i="49"/>
  <c r="N4" i="49"/>
  <c r="M4" i="49"/>
  <c r="L4" i="49"/>
  <c r="K4" i="49"/>
  <c r="Q4" i="49" s="1"/>
  <c r="P3" i="49"/>
  <c r="O3" i="49"/>
  <c r="N3" i="49"/>
  <c r="M3" i="49"/>
  <c r="L3" i="49"/>
  <c r="K3" i="49"/>
  <c r="P16" i="48"/>
  <c r="O16" i="48"/>
  <c r="N16" i="48"/>
  <c r="M16" i="48"/>
  <c r="L16" i="48"/>
  <c r="K16" i="48"/>
  <c r="Q16" i="48" s="1"/>
  <c r="P15" i="48"/>
  <c r="O15" i="48"/>
  <c r="N15" i="48"/>
  <c r="M15" i="48"/>
  <c r="L15" i="48"/>
  <c r="K15" i="48"/>
  <c r="Q15" i="48" s="1"/>
  <c r="Q14" i="48"/>
  <c r="P14" i="48"/>
  <c r="O14" i="48"/>
  <c r="N14" i="48"/>
  <c r="M14" i="48"/>
  <c r="L14" i="48"/>
  <c r="K14" i="48"/>
  <c r="P13" i="48"/>
  <c r="O13" i="48"/>
  <c r="N13" i="48"/>
  <c r="M13" i="48"/>
  <c r="L13" i="48"/>
  <c r="K13" i="48"/>
  <c r="Q13" i="48" s="1"/>
  <c r="P12" i="48"/>
  <c r="O12" i="48"/>
  <c r="Q12" i="48" s="1"/>
  <c r="N12" i="48"/>
  <c r="M12" i="48"/>
  <c r="L12" i="48"/>
  <c r="K12" i="48"/>
  <c r="P11" i="48"/>
  <c r="O11" i="48"/>
  <c r="N11" i="48"/>
  <c r="M11" i="48"/>
  <c r="L11" i="48"/>
  <c r="K11" i="48"/>
  <c r="Q11" i="48" s="1"/>
  <c r="P10" i="48"/>
  <c r="O10" i="48"/>
  <c r="N10" i="48"/>
  <c r="M10" i="48"/>
  <c r="L10" i="48"/>
  <c r="Q10" i="48" s="1"/>
  <c r="K10" i="48"/>
  <c r="P9" i="48"/>
  <c r="O9" i="48"/>
  <c r="N9" i="48"/>
  <c r="Q9" i="48" s="1"/>
  <c r="M9" i="48"/>
  <c r="L9" i="48"/>
  <c r="K9" i="48"/>
  <c r="P8" i="48"/>
  <c r="O8" i="48"/>
  <c r="N8" i="48"/>
  <c r="M8" i="48"/>
  <c r="L8" i="48"/>
  <c r="K8" i="48"/>
  <c r="Q8" i="48" s="1"/>
  <c r="Q7" i="48"/>
  <c r="P7" i="48"/>
  <c r="O7" i="48"/>
  <c r="N7" i="48"/>
  <c r="M7" i="48"/>
  <c r="L7" i="48"/>
  <c r="K7" i="48"/>
  <c r="P6" i="48"/>
  <c r="O6" i="48"/>
  <c r="N6" i="48"/>
  <c r="M6" i="48"/>
  <c r="L6" i="48"/>
  <c r="K6" i="48"/>
  <c r="Q6" i="48" s="1"/>
  <c r="P5" i="48"/>
  <c r="O5" i="48"/>
  <c r="N5" i="48"/>
  <c r="M5" i="48"/>
  <c r="L5" i="48"/>
  <c r="K5" i="48"/>
  <c r="Q5" i="48" s="1"/>
  <c r="P4" i="48"/>
  <c r="O4" i="48"/>
  <c r="N4" i="48"/>
  <c r="M4" i="48"/>
  <c r="L4" i="48"/>
  <c r="K4" i="48"/>
  <c r="P3" i="48"/>
  <c r="O3" i="48"/>
  <c r="N3" i="48"/>
  <c r="M3" i="48"/>
  <c r="L3" i="48"/>
  <c r="K3" i="48"/>
  <c r="P16" i="47"/>
  <c r="O16" i="47"/>
  <c r="N16" i="47"/>
  <c r="M16" i="47"/>
  <c r="L16" i="47"/>
  <c r="K16" i="47"/>
  <c r="Q16" i="47" s="1"/>
  <c r="P15" i="47"/>
  <c r="O15" i="47"/>
  <c r="N15" i="47"/>
  <c r="M15" i="47"/>
  <c r="L15" i="47"/>
  <c r="K15" i="47"/>
  <c r="Q15" i="47" s="1"/>
  <c r="Q14" i="47"/>
  <c r="P14" i="47"/>
  <c r="O14" i="47"/>
  <c r="N14" i="47"/>
  <c r="M14" i="47"/>
  <c r="L14" i="47"/>
  <c r="K14" i="47"/>
  <c r="P13" i="47"/>
  <c r="O13" i="47"/>
  <c r="N13" i="47"/>
  <c r="M13" i="47"/>
  <c r="L13" i="47"/>
  <c r="K13" i="47"/>
  <c r="Q13" i="47" s="1"/>
  <c r="Q12" i="47"/>
  <c r="P12" i="47"/>
  <c r="O12" i="47"/>
  <c r="N12" i="47"/>
  <c r="M12" i="47"/>
  <c r="L12" i="47"/>
  <c r="K12" i="47"/>
  <c r="P11" i="47"/>
  <c r="O11" i="47"/>
  <c r="N11" i="47"/>
  <c r="M11" i="47"/>
  <c r="L11" i="47"/>
  <c r="K11" i="47"/>
  <c r="Q11" i="47" s="1"/>
  <c r="P10" i="47"/>
  <c r="O10" i="47"/>
  <c r="N10" i="47"/>
  <c r="M10" i="47"/>
  <c r="L10" i="47"/>
  <c r="Q10" i="47" s="1"/>
  <c r="K10" i="47"/>
  <c r="P9" i="47"/>
  <c r="O9" i="47"/>
  <c r="N9" i="47"/>
  <c r="M9" i="47"/>
  <c r="L9" i="47"/>
  <c r="K9" i="47"/>
  <c r="Q9" i="47" s="1"/>
  <c r="P8" i="47"/>
  <c r="O8" i="47"/>
  <c r="N8" i="47"/>
  <c r="M8" i="47"/>
  <c r="L8" i="47"/>
  <c r="K8" i="47"/>
  <c r="Q8" i="47" s="1"/>
  <c r="Q7" i="47"/>
  <c r="P7" i="47"/>
  <c r="O7" i="47"/>
  <c r="N7" i="47"/>
  <c r="M7" i="47"/>
  <c r="L7" i="47"/>
  <c r="K7" i="47"/>
  <c r="P6" i="47"/>
  <c r="O6" i="47"/>
  <c r="N6" i="47"/>
  <c r="M6" i="47"/>
  <c r="L6" i="47"/>
  <c r="K6" i="47"/>
  <c r="Q6" i="47" s="1"/>
  <c r="P5" i="47"/>
  <c r="O5" i="47"/>
  <c r="Q5" i="47" s="1"/>
  <c r="N5" i="47"/>
  <c r="M5" i="47"/>
  <c r="L5" i="47"/>
  <c r="K5" i="47"/>
  <c r="P4" i="47"/>
  <c r="O4" i="47"/>
  <c r="N4" i="47"/>
  <c r="M4" i="47"/>
  <c r="L4" i="47"/>
  <c r="K4" i="47"/>
  <c r="Q4" i="47" s="1"/>
  <c r="P3" i="47"/>
  <c r="O3" i="47"/>
  <c r="N3" i="47"/>
  <c r="M3" i="47"/>
  <c r="L3" i="47"/>
  <c r="K3" i="47"/>
  <c r="P16" i="46"/>
  <c r="O16" i="46"/>
  <c r="N16" i="46"/>
  <c r="M16" i="46"/>
  <c r="L16" i="46"/>
  <c r="K16" i="46"/>
  <c r="Q16" i="46" s="1"/>
  <c r="P15" i="46"/>
  <c r="O15" i="46"/>
  <c r="N15" i="46"/>
  <c r="M15" i="46"/>
  <c r="L15" i="46"/>
  <c r="K15" i="46"/>
  <c r="Q15" i="46" s="1"/>
  <c r="P14" i="46"/>
  <c r="Q14" i="46" s="1"/>
  <c r="O14" i="46"/>
  <c r="N14" i="46"/>
  <c r="M14" i="46"/>
  <c r="L14" i="46"/>
  <c r="K14" i="46"/>
  <c r="P13" i="46"/>
  <c r="O13" i="46"/>
  <c r="N13" i="46"/>
  <c r="M13" i="46"/>
  <c r="L13" i="46"/>
  <c r="K13" i="46"/>
  <c r="Q13" i="46" s="1"/>
  <c r="Q12" i="46"/>
  <c r="P12" i="46"/>
  <c r="O12" i="46"/>
  <c r="N12" i="46"/>
  <c r="M12" i="46"/>
  <c r="L12" i="46"/>
  <c r="K12" i="46"/>
  <c r="P11" i="46"/>
  <c r="O11" i="46"/>
  <c r="N11" i="46"/>
  <c r="M11" i="46"/>
  <c r="L11" i="46"/>
  <c r="K11" i="46"/>
  <c r="Q11" i="46" s="1"/>
  <c r="Q10" i="46"/>
  <c r="P10" i="46"/>
  <c r="O10" i="46"/>
  <c r="N10" i="46"/>
  <c r="M10" i="46"/>
  <c r="L10" i="46"/>
  <c r="K10" i="46"/>
  <c r="P9" i="46"/>
  <c r="O9" i="46"/>
  <c r="N9" i="46"/>
  <c r="M9" i="46"/>
  <c r="L9" i="46"/>
  <c r="K9" i="46"/>
  <c r="Q9" i="46" s="1"/>
  <c r="P8" i="46"/>
  <c r="O8" i="46"/>
  <c r="N8" i="46"/>
  <c r="M8" i="46"/>
  <c r="L8" i="46"/>
  <c r="K8" i="46"/>
  <c r="Q8" i="46" s="1"/>
  <c r="Q7" i="46"/>
  <c r="P7" i="46"/>
  <c r="O7" i="46"/>
  <c r="N7" i="46"/>
  <c r="M7" i="46"/>
  <c r="L7" i="46"/>
  <c r="K7" i="46"/>
  <c r="P6" i="46"/>
  <c r="O6" i="46"/>
  <c r="N6" i="46"/>
  <c r="M6" i="46"/>
  <c r="L6" i="46"/>
  <c r="K6" i="46"/>
  <c r="Q6" i="46" s="1"/>
  <c r="P5" i="46"/>
  <c r="O5" i="46"/>
  <c r="Q5" i="46" s="1"/>
  <c r="N5" i="46"/>
  <c r="M5" i="46"/>
  <c r="L5" i="46"/>
  <c r="K5" i="46"/>
  <c r="P4" i="46"/>
  <c r="N4" i="46"/>
  <c r="M4" i="46"/>
  <c r="L4" i="46"/>
  <c r="K4" i="46"/>
  <c r="Q4" i="46" s="1"/>
  <c r="P3" i="46"/>
  <c r="O3" i="46"/>
  <c r="N3" i="46"/>
  <c r="M3" i="46"/>
  <c r="L3" i="46"/>
  <c r="K3" i="46"/>
  <c r="P16" i="45"/>
  <c r="O16" i="45"/>
  <c r="N16" i="45"/>
  <c r="M16" i="45"/>
  <c r="L16" i="45"/>
  <c r="K16" i="45"/>
  <c r="Q16" i="45" s="1"/>
  <c r="P15" i="45"/>
  <c r="O15" i="45"/>
  <c r="N15" i="45"/>
  <c r="M15" i="45"/>
  <c r="L15" i="45"/>
  <c r="K15" i="45"/>
  <c r="Q15" i="45" s="1"/>
  <c r="Q14" i="45"/>
  <c r="P14" i="45"/>
  <c r="O14" i="45"/>
  <c r="N14" i="45"/>
  <c r="M14" i="45"/>
  <c r="L14" i="45"/>
  <c r="K14" i="45"/>
  <c r="P13" i="45"/>
  <c r="O13" i="45"/>
  <c r="N13" i="45"/>
  <c r="M13" i="45"/>
  <c r="L13" i="45"/>
  <c r="K13" i="45"/>
  <c r="Q13" i="45" s="1"/>
  <c r="P12" i="45"/>
  <c r="O12" i="45"/>
  <c r="Q12" i="45" s="1"/>
  <c r="N12" i="45"/>
  <c r="M12" i="45"/>
  <c r="L12" i="45"/>
  <c r="K12" i="45"/>
  <c r="P11" i="45"/>
  <c r="O11" i="45"/>
  <c r="N11" i="45"/>
  <c r="M11" i="45"/>
  <c r="L11" i="45"/>
  <c r="K11" i="45"/>
  <c r="Q11" i="45" s="1"/>
  <c r="P10" i="45"/>
  <c r="O10" i="45"/>
  <c r="N10" i="45"/>
  <c r="M10" i="45"/>
  <c r="L10" i="45"/>
  <c r="Q10" i="45" s="1"/>
  <c r="K10" i="45"/>
  <c r="P9" i="45"/>
  <c r="O9" i="45"/>
  <c r="N9" i="45"/>
  <c r="M9" i="45"/>
  <c r="L9" i="45"/>
  <c r="K9" i="45"/>
  <c r="Q9" i="45" s="1"/>
  <c r="P8" i="45"/>
  <c r="O8" i="45"/>
  <c r="N8" i="45"/>
  <c r="M8" i="45"/>
  <c r="L8" i="45"/>
  <c r="K8" i="45"/>
  <c r="Q8" i="45" s="1"/>
  <c r="Q7" i="45"/>
  <c r="P7" i="45"/>
  <c r="O7" i="45"/>
  <c r="N7" i="45"/>
  <c r="M7" i="45"/>
  <c r="L7" i="45"/>
  <c r="K7" i="45"/>
  <c r="P6" i="45"/>
  <c r="O6" i="45"/>
  <c r="N6" i="45"/>
  <c r="M6" i="45"/>
  <c r="L6" i="45"/>
  <c r="K6" i="45"/>
  <c r="Q6" i="45" s="1"/>
  <c r="P5" i="45"/>
  <c r="O5" i="45"/>
  <c r="Q5" i="45" s="1"/>
  <c r="N5" i="45"/>
  <c r="M5" i="45"/>
  <c r="L5" i="45"/>
  <c r="K5" i="45"/>
  <c r="P4" i="45"/>
  <c r="O4" i="45"/>
  <c r="N4" i="45"/>
  <c r="M4" i="45"/>
  <c r="L4" i="45"/>
  <c r="K4" i="45"/>
  <c r="Q4" i="45" s="1"/>
  <c r="P3" i="45"/>
  <c r="O3" i="45"/>
  <c r="N3" i="45"/>
  <c r="M3" i="45"/>
  <c r="L3" i="45"/>
  <c r="K3" i="45"/>
  <c r="P16" i="44"/>
  <c r="O16" i="44"/>
  <c r="N16" i="44"/>
  <c r="M16" i="44"/>
  <c r="L16" i="44"/>
  <c r="K16" i="44"/>
  <c r="Q16" i="44" s="1"/>
  <c r="P15" i="44"/>
  <c r="O15" i="44"/>
  <c r="N15" i="44"/>
  <c r="M15" i="44"/>
  <c r="L15" i="44"/>
  <c r="K15" i="44"/>
  <c r="Q15" i="44" s="1"/>
  <c r="Q14" i="44"/>
  <c r="P14" i="44"/>
  <c r="O14" i="44"/>
  <c r="N14" i="44"/>
  <c r="M14" i="44"/>
  <c r="L14" i="44"/>
  <c r="K14" i="44"/>
  <c r="P13" i="44"/>
  <c r="O13" i="44"/>
  <c r="N13" i="44"/>
  <c r="M13" i="44"/>
  <c r="L13" i="44"/>
  <c r="K13" i="44"/>
  <c r="Q13" i="44" s="1"/>
  <c r="P12" i="44"/>
  <c r="O12" i="44"/>
  <c r="Q12" i="44" s="1"/>
  <c r="N12" i="44"/>
  <c r="M12" i="44"/>
  <c r="L12" i="44"/>
  <c r="K12" i="44"/>
  <c r="P11" i="44"/>
  <c r="O11" i="44"/>
  <c r="N11" i="44"/>
  <c r="M11" i="44"/>
  <c r="L11" i="44"/>
  <c r="K11" i="44"/>
  <c r="Q11" i="44" s="1"/>
  <c r="P10" i="44"/>
  <c r="O10" i="44"/>
  <c r="N10" i="44"/>
  <c r="M10" i="44"/>
  <c r="L10" i="44"/>
  <c r="Q10" i="44" s="1"/>
  <c r="K10" i="44"/>
  <c r="P9" i="44"/>
  <c r="O9" i="44"/>
  <c r="N9" i="44"/>
  <c r="M9" i="44"/>
  <c r="L9" i="44"/>
  <c r="K9" i="44"/>
  <c r="Q9" i="44" s="1"/>
  <c r="P8" i="44"/>
  <c r="O8" i="44"/>
  <c r="N8" i="44"/>
  <c r="M8" i="44"/>
  <c r="L8" i="44"/>
  <c r="K8" i="44"/>
  <c r="Q8" i="44" s="1"/>
  <c r="Q7" i="44"/>
  <c r="P7" i="44"/>
  <c r="O7" i="44"/>
  <c r="N7" i="44"/>
  <c r="M7" i="44"/>
  <c r="L7" i="44"/>
  <c r="K7" i="44"/>
  <c r="P6" i="44"/>
  <c r="O6" i="44"/>
  <c r="N6" i="44"/>
  <c r="M6" i="44"/>
  <c r="L6" i="44"/>
  <c r="K6" i="44"/>
  <c r="Q6" i="44" s="1"/>
  <c r="P5" i="44"/>
  <c r="O5" i="44"/>
  <c r="Q5" i="44" s="1"/>
  <c r="N5" i="44"/>
  <c r="M5" i="44"/>
  <c r="L5" i="44"/>
  <c r="K5" i="44"/>
  <c r="P4" i="44"/>
  <c r="O4" i="44"/>
  <c r="N4" i="44"/>
  <c r="M4" i="44"/>
  <c r="P3" i="44"/>
  <c r="O3" i="44"/>
  <c r="N3" i="44"/>
  <c r="Q3" i="44" s="1"/>
  <c r="M3" i="44"/>
  <c r="L3" i="44"/>
  <c r="K3" i="44"/>
  <c r="P16" i="43"/>
  <c r="O16" i="43"/>
  <c r="N16" i="43"/>
  <c r="M16" i="43"/>
  <c r="L16" i="43"/>
  <c r="K16" i="43"/>
  <c r="Q16" i="43" s="1"/>
  <c r="P15" i="43"/>
  <c r="O15" i="43"/>
  <c r="N15" i="43"/>
  <c r="M15" i="43"/>
  <c r="L15" i="43"/>
  <c r="K15" i="43"/>
  <c r="Q15" i="43" s="1"/>
  <c r="P14" i="43"/>
  <c r="Q14" i="43" s="1"/>
  <c r="O14" i="43"/>
  <c r="N14" i="43"/>
  <c r="M14" i="43"/>
  <c r="L14" i="43"/>
  <c r="K14" i="43"/>
  <c r="P13" i="43"/>
  <c r="O13" i="43"/>
  <c r="N13" i="43"/>
  <c r="M13" i="43"/>
  <c r="L13" i="43"/>
  <c r="K13" i="43"/>
  <c r="Q13" i="43" s="1"/>
  <c r="Q12" i="43"/>
  <c r="P12" i="43"/>
  <c r="O12" i="43"/>
  <c r="N12" i="43"/>
  <c r="M12" i="43"/>
  <c r="L12" i="43"/>
  <c r="K12" i="43"/>
  <c r="Q11" i="43"/>
  <c r="P11" i="43"/>
  <c r="O11" i="43"/>
  <c r="N11" i="43"/>
  <c r="M11" i="43"/>
  <c r="L11" i="43"/>
  <c r="K11" i="43"/>
  <c r="P10" i="43"/>
  <c r="O10" i="43"/>
  <c r="N10" i="43"/>
  <c r="M10" i="43"/>
  <c r="L10" i="43"/>
  <c r="Q10" i="43" s="1"/>
  <c r="K10" i="43"/>
  <c r="P9" i="43"/>
  <c r="O9" i="43"/>
  <c r="N9" i="43"/>
  <c r="M9" i="43"/>
  <c r="L9" i="43"/>
  <c r="K9" i="43"/>
  <c r="Q9" i="43" s="1"/>
  <c r="P8" i="43"/>
  <c r="O8" i="43"/>
  <c r="N8" i="43"/>
  <c r="M8" i="43"/>
  <c r="L8" i="43"/>
  <c r="K8" i="43"/>
  <c r="Q8" i="43" s="1"/>
  <c r="Q7" i="43"/>
  <c r="P7" i="43"/>
  <c r="O7" i="43"/>
  <c r="N7" i="43"/>
  <c r="M7" i="43"/>
  <c r="L7" i="43"/>
  <c r="K7" i="43"/>
  <c r="P6" i="43"/>
  <c r="O6" i="43"/>
  <c r="N6" i="43"/>
  <c r="M6" i="43"/>
  <c r="L6" i="43"/>
  <c r="K6" i="43"/>
  <c r="Q6" i="43" s="1"/>
  <c r="P5" i="43"/>
  <c r="O5" i="43"/>
  <c r="N5" i="43"/>
  <c r="M5" i="43"/>
  <c r="L5" i="43"/>
  <c r="K5" i="43"/>
  <c r="Q5" i="43" s="1"/>
  <c r="P4" i="43"/>
  <c r="O4" i="43"/>
  <c r="N4" i="43"/>
  <c r="M4" i="43"/>
  <c r="L4" i="43"/>
  <c r="K4" i="43"/>
  <c r="Q4" i="43" s="1"/>
  <c r="P3" i="43"/>
  <c r="O3" i="43"/>
  <c r="N3" i="43"/>
  <c r="M3" i="43"/>
  <c r="L3" i="43"/>
  <c r="K3" i="43"/>
  <c r="P16" i="42"/>
  <c r="O16" i="42"/>
  <c r="N16" i="42"/>
  <c r="M16" i="42"/>
  <c r="L16" i="42"/>
  <c r="K16" i="42"/>
  <c r="Q16" i="42" s="1"/>
  <c r="P15" i="42"/>
  <c r="O15" i="42"/>
  <c r="N15" i="42"/>
  <c r="M15" i="42"/>
  <c r="L15" i="42"/>
  <c r="K15" i="42"/>
  <c r="Q15" i="42" s="1"/>
  <c r="Q14" i="42"/>
  <c r="P14" i="42"/>
  <c r="O14" i="42"/>
  <c r="N14" i="42"/>
  <c r="M14" i="42"/>
  <c r="L14" i="42"/>
  <c r="K14" i="42"/>
  <c r="P13" i="42"/>
  <c r="O13" i="42"/>
  <c r="N13" i="42"/>
  <c r="M13" i="42"/>
  <c r="L13" i="42"/>
  <c r="K13" i="42"/>
  <c r="Q13" i="42" s="1"/>
  <c r="P12" i="42"/>
  <c r="O12" i="42"/>
  <c r="N12" i="42"/>
  <c r="Q12" i="42" s="1"/>
  <c r="M12" i="42"/>
  <c r="L12" i="42"/>
  <c r="K12" i="42"/>
  <c r="P11" i="42"/>
  <c r="O11" i="42"/>
  <c r="N11" i="42"/>
  <c r="M11" i="42"/>
  <c r="L11" i="42"/>
  <c r="K11" i="42"/>
  <c r="Q11" i="42" s="1"/>
  <c r="P10" i="42"/>
  <c r="O10" i="42"/>
  <c r="N10" i="42"/>
  <c r="M10" i="42"/>
  <c r="Q10" i="42" s="1"/>
  <c r="L10" i="42"/>
  <c r="K10" i="42"/>
  <c r="P9" i="42"/>
  <c r="O9" i="42"/>
  <c r="N9" i="42"/>
  <c r="M9" i="42"/>
  <c r="L9" i="42"/>
  <c r="K9" i="42"/>
  <c r="Q9" i="42" s="1"/>
  <c r="P8" i="42"/>
  <c r="O8" i="42"/>
  <c r="N8" i="42"/>
  <c r="M8" i="42"/>
  <c r="L8" i="42"/>
  <c r="K8" i="42"/>
  <c r="Q8" i="42" s="1"/>
  <c r="Q7" i="42"/>
  <c r="P7" i="42"/>
  <c r="O7" i="42"/>
  <c r="N7" i="42"/>
  <c r="M7" i="42"/>
  <c r="L7" i="42"/>
  <c r="K7" i="42"/>
  <c r="P6" i="42"/>
  <c r="O6" i="42"/>
  <c r="N6" i="42"/>
  <c r="M6" i="42"/>
  <c r="L6" i="42"/>
  <c r="K6" i="42"/>
  <c r="Q6" i="42" s="1"/>
  <c r="P5" i="42"/>
  <c r="Q5" i="42" s="1"/>
  <c r="O5" i="42"/>
  <c r="N5" i="42"/>
  <c r="M5" i="42"/>
  <c r="L5" i="42"/>
  <c r="K5" i="42"/>
  <c r="P4" i="42"/>
  <c r="O4" i="42"/>
  <c r="N4" i="42"/>
  <c r="M4" i="42"/>
  <c r="L4" i="42"/>
  <c r="K4" i="42"/>
  <c r="Q4" i="42" s="1"/>
  <c r="P3" i="42"/>
  <c r="O3" i="42"/>
  <c r="N3" i="42"/>
  <c r="M3" i="42"/>
  <c r="L3" i="42"/>
  <c r="K3" i="42"/>
  <c r="P16" i="41"/>
  <c r="O16" i="41"/>
  <c r="N16" i="41"/>
  <c r="M16" i="41"/>
  <c r="L16" i="41"/>
  <c r="K16" i="41"/>
  <c r="Q16" i="41" s="1"/>
  <c r="P15" i="41"/>
  <c r="O15" i="41"/>
  <c r="N15" i="41"/>
  <c r="M15" i="41"/>
  <c r="L15" i="41"/>
  <c r="K15" i="41"/>
  <c r="Q15" i="41" s="1"/>
  <c r="Q14" i="41"/>
  <c r="P14" i="41"/>
  <c r="O14" i="41"/>
  <c r="N14" i="41"/>
  <c r="M14" i="41"/>
  <c r="L14" i="41"/>
  <c r="K14" i="41"/>
  <c r="P13" i="41"/>
  <c r="O13" i="41"/>
  <c r="N13" i="41"/>
  <c r="M13" i="41"/>
  <c r="L13" i="41"/>
  <c r="K13" i="41"/>
  <c r="Q13" i="41" s="1"/>
  <c r="P12" i="41"/>
  <c r="O12" i="41"/>
  <c r="N12" i="41"/>
  <c r="Q12" i="41" s="1"/>
  <c r="M12" i="41"/>
  <c r="L12" i="41"/>
  <c r="K12" i="41"/>
  <c r="P11" i="41"/>
  <c r="O11" i="41"/>
  <c r="N11" i="41"/>
  <c r="M11" i="41"/>
  <c r="L11" i="41"/>
  <c r="Q11" i="41" s="1"/>
  <c r="K11" i="41"/>
  <c r="P10" i="41"/>
  <c r="O10" i="41"/>
  <c r="N10" i="41"/>
  <c r="M10" i="41"/>
  <c r="L10" i="41"/>
  <c r="Q10" i="41" s="1"/>
  <c r="K10" i="41"/>
  <c r="P9" i="41"/>
  <c r="O9" i="41"/>
  <c r="N9" i="41"/>
  <c r="M9" i="41"/>
  <c r="L9" i="41"/>
  <c r="Q9" i="41" s="1"/>
  <c r="K9" i="41"/>
  <c r="P8" i="41"/>
  <c r="O8" i="41"/>
  <c r="N8" i="41"/>
  <c r="M8" i="41"/>
  <c r="L8" i="41"/>
  <c r="K8" i="41"/>
  <c r="Q8" i="41" s="1"/>
  <c r="Q7" i="41"/>
  <c r="P7" i="41"/>
  <c r="O7" i="41"/>
  <c r="N7" i="41"/>
  <c r="M7" i="41"/>
  <c r="L7" i="41"/>
  <c r="K7" i="41"/>
  <c r="P6" i="41"/>
  <c r="O6" i="41"/>
  <c r="N6" i="41"/>
  <c r="M6" i="41"/>
  <c r="L6" i="41"/>
  <c r="K6" i="41"/>
  <c r="Q6" i="41" s="1"/>
  <c r="P5" i="41"/>
  <c r="O5" i="41"/>
  <c r="Q5" i="41" s="1"/>
  <c r="N5" i="41"/>
  <c r="M5" i="41"/>
  <c r="L5" i="41"/>
  <c r="K5" i="41"/>
  <c r="P4" i="41"/>
  <c r="O4" i="41"/>
  <c r="N4" i="41"/>
  <c r="M4" i="41"/>
  <c r="L4" i="41"/>
  <c r="K4" i="41"/>
  <c r="Q4" i="41" s="1"/>
  <c r="P3" i="41"/>
  <c r="O3" i="41"/>
  <c r="N3" i="41"/>
  <c r="M3" i="41"/>
  <c r="L3" i="41"/>
  <c r="K3" i="41"/>
  <c r="P16" i="40"/>
  <c r="O16" i="40"/>
  <c r="N16" i="40"/>
  <c r="M16" i="40"/>
  <c r="L16" i="40"/>
  <c r="K16" i="40"/>
  <c r="Q16" i="40" s="1"/>
  <c r="P15" i="40"/>
  <c r="O15" i="40"/>
  <c r="N15" i="40"/>
  <c r="M15" i="40"/>
  <c r="L15" i="40"/>
  <c r="K15" i="40"/>
  <c r="Q15" i="40" s="1"/>
  <c r="P14" i="40"/>
  <c r="O14" i="40"/>
  <c r="N14" i="40"/>
  <c r="M14" i="40"/>
  <c r="L14" i="40"/>
  <c r="K14" i="40"/>
  <c r="Q14" i="40" s="1"/>
  <c r="P13" i="40"/>
  <c r="O13" i="40"/>
  <c r="N13" i="40"/>
  <c r="M13" i="40"/>
  <c r="L13" i="40"/>
  <c r="K13" i="40"/>
  <c r="Q13" i="40" s="1"/>
  <c r="P12" i="40"/>
  <c r="O12" i="40"/>
  <c r="N12" i="40"/>
  <c r="M12" i="40"/>
  <c r="L12" i="40"/>
  <c r="K12" i="40"/>
  <c r="P11" i="40"/>
  <c r="O11" i="40"/>
  <c r="N11" i="40"/>
  <c r="M11" i="40"/>
  <c r="L11" i="40"/>
  <c r="K11" i="40"/>
  <c r="Q11" i="40" s="1"/>
  <c r="P10" i="40"/>
  <c r="O10" i="40"/>
  <c r="N10" i="40"/>
  <c r="M10" i="40"/>
  <c r="L10" i="40"/>
  <c r="K10" i="40"/>
  <c r="P9" i="40"/>
  <c r="O9" i="40"/>
  <c r="N9" i="40"/>
  <c r="M9" i="40"/>
  <c r="L9" i="40"/>
  <c r="K9" i="40"/>
  <c r="Q9" i="40" s="1"/>
  <c r="P8" i="40"/>
  <c r="O8" i="40"/>
  <c r="N8" i="40"/>
  <c r="M8" i="40"/>
  <c r="L8" i="40"/>
  <c r="K8" i="40"/>
  <c r="Q8" i="40" s="1"/>
  <c r="P7" i="40"/>
  <c r="O7" i="40"/>
  <c r="N7" i="40"/>
  <c r="M7" i="40"/>
  <c r="L7" i="40"/>
  <c r="K7" i="40"/>
  <c r="Q7" i="40" s="1"/>
  <c r="P6" i="40"/>
  <c r="O6" i="40"/>
  <c r="N6" i="40"/>
  <c r="M6" i="40"/>
  <c r="L6" i="40"/>
  <c r="K6" i="40"/>
  <c r="Q6" i="40" s="1"/>
  <c r="Q4" i="40"/>
  <c r="P3" i="40"/>
  <c r="O3" i="40"/>
  <c r="N3" i="40"/>
  <c r="M3" i="40"/>
  <c r="L3" i="40"/>
  <c r="K3" i="40"/>
  <c r="K3" i="39"/>
  <c r="L3" i="39"/>
  <c r="M3" i="39"/>
  <c r="N3" i="39"/>
  <c r="O3" i="39"/>
  <c r="P3" i="39"/>
  <c r="K4" i="39"/>
  <c r="L4" i="39"/>
  <c r="M4" i="39"/>
  <c r="N4" i="39"/>
  <c r="O4" i="39"/>
  <c r="P4" i="39"/>
  <c r="K5" i="39"/>
  <c r="L5" i="39"/>
  <c r="M5" i="39"/>
  <c r="N5" i="39"/>
  <c r="O5" i="39"/>
  <c r="P5" i="39"/>
  <c r="K6" i="39"/>
  <c r="L6" i="39"/>
  <c r="M6" i="39"/>
  <c r="N6" i="39"/>
  <c r="O6" i="39"/>
  <c r="P6" i="39"/>
  <c r="K7" i="39"/>
  <c r="L7" i="39"/>
  <c r="M7" i="39"/>
  <c r="N7" i="39"/>
  <c r="O7" i="39"/>
  <c r="P7" i="39"/>
  <c r="Q7" i="39"/>
  <c r="K8" i="39"/>
  <c r="L8" i="39"/>
  <c r="M8" i="39"/>
  <c r="N8" i="39"/>
  <c r="O8" i="39"/>
  <c r="P8" i="39"/>
  <c r="K9" i="39"/>
  <c r="L9" i="39"/>
  <c r="M9" i="39"/>
  <c r="N9" i="39"/>
  <c r="O9" i="39"/>
  <c r="P9" i="39"/>
  <c r="Q9" i="39"/>
  <c r="K10" i="39"/>
  <c r="L10" i="39"/>
  <c r="M10" i="39"/>
  <c r="N10" i="39"/>
  <c r="O10" i="39"/>
  <c r="P10" i="39"/>
  <c r="K11" i="39"/>
  <c r="L11" i="39"/>
  <c r="M11" i="39"/>
  <c r="N11" i="39"/>
  <c r="O11" i="39"/>
  <c r="P11" i="39"/>
  <c r="Q11" i="39"/>
  <c r="K12" i="39"/>
  <c r="L12" i="39"/>
  <c r="M12" i="39"/>
  <c r="N12" i="39"/>
  <c r="O12" i="39"/>
  <c r="P12" i="39"/>
  <c r="K13" i="39"/>
  <c r="L13" i="39"/>
  <c r="M13" i="39"/>
  <c r="N13" i="39"/>
  <c r="O13" i="39"/>
  <c r="P13" i="39"/>
  <c r="K14" i="39"/>
  <c r="L14" i="39"/>
  <c r="M14" i="39"/>
  <c r="N14" i="39"/>
  <c r="O14" i="39"/>
  <c r="P14" i="39"/>
  <c r="K15" i="39"/>
  <c r="L15" i="39"/>
  <c r="M15" i="39"/>
  <c r="N15" i="39"/>
  <c r="O15" i="39"/>
  <c r="P15" i="39"/>
  <c r="K16" i="39"/>
  <c r="L16" i="39"/>
  <c r="M16" i="39"/>
  <c r="N16" i="39"/>
  <c r="O16" i="39"/>
  <c r="P16" i="39"/>
  <c r="Q16" i="39" s="1"/>
  <c r="K3" i="38"/>
  <c r="L3" i="38"/>
  <c r="M3" i="38"/>
  <c r="N3" i="38"/>
  <c r="O3" i="38"/>
  <c r="P3" i="38"/>
  <c r="K4" i="38"/>
  <c r="L4" i="38"/>
  <c r="M4" i="38"/>
  <c r="N4" i="38"/>
  <c r="O4" i="38"/>
  <c r="P4" i="38"/>
  <c r="Q4" i="38" s="1"/>
  <c r="K5" i="38"/>
  <c r="Q5" i="38" s="1"/>
  <c r="L5" i="38"/>
  <c r="M5" i="38"/>
  <c r="N5" i="38"/>
  <c r="O5" i="38"/>
  <c r="P5" i="38"/>
  <c r="K6" i="38"/>
  <c r="Q6" i="38" s="1"/>
  <c r="L6" i="38"/>
  <c r="M6" i="38"/>
  <c r="N6" i="38"/>
  <c r="O6" i="38"/>
  <c r="P6" i="38"/>
  <c r="K7" i="38"/>
  <c r="Q7" i="38" s="1"/>
  <c r="L7" i="38"/>
  <c r="M7" i="38"/>
  <c r="N7" i="38"/>
  <c r="O7" i="38"/>
  <c r="P7" i="38"/>
  <c r="K8" i="38"/>
  <c r="Q8" i="38" s="1"/>
  <c r="L8" i="38"/>
  <c r="M8" i="38"/>
  <c r="N8" i="38"/>
  <c r="O8" i="38"/>
  <c r="P8" i="38"/>
  <c r="K9" i="38"/>
  <c r="L9" i="38"/>
  <c r="M9" i="38"/>
  <c r="N9" i="38"/>
  <c r="O9" i="38"/>
  <c r="P9" i="38"/>
  <c r="Q9" i="38"/>
  <c r="K10" i="38"/>
  <c r="L10" i="38"/>
  <c r="M10" i="38"/>
  <c r="N10" i="38"/>
  <c r="O10" i="38"/>
  <c r="Q10" i="38" s="1"/>
  <c r="P10" i="38"/>
  <c r="K11" i="38"/>
  <c r="L11" i="38"/>
  <c r="M11" i="38"/>
  <c r="N11" i="38"/>
  <c r="O11" i="38"/>
  <c r="P11" i="38"/>
  <c r="Q11" i="38"/>
  <c r="K12" i="38"/>
  <c r="Q12" i="38" s="1"/>
  <c r="L12" i="38"/>
  <c r="M12" i="38"/>
  <c r="N12" i="38"/>
  <c r="O12" i="38"/>
  <c r="P12" i="38"/>
  <c r="K13" i="38"/>
  <c r="L13" i="38"/>
  <c r="M13" i="38"/>
  <c r="N13" i="38"/>
  <c r="O13" i="38"/>
  <c r="P13" i="38"/>
  <c r="Q13" i="38"/>
  <c r="K14" i="38"/>
  <c r="Q14" i="38" s="1"/>
  <c r="L14" i="38"/>
  <c r="M14" i="38"/>
  <c r="N14" i="38"/>
  <c r="O14" i="38"/>
  <c r="P14" i="38"/>
  <c r="K15" i="38"/>
  <c r="L15" i="38"/>
  <c r="Q15" i="38" s="1"/>
  <c r="M15" i="38"/>
  <c r="N15" i="38"/>
  <c r="O15" i="38"/>
  <c r="P15" i="38"/>
  <c r="K16" i="38"/>
  <c r="L16" i="38"/>
  <c r="Q16" i="38" s="1"/>
  <c r="M16" i="38"/>
  <c r="N16" i="38"/>
  <c r="O16" i="38"/>
  <c r="P16" i="38"/>
  <c r="P7" i="37"/>
  <c r="P8" i="37"/>
  <c r="P9" i="37"/>
  <c r="P10" i="37"/>
  <c r="P11" i="37"/>
  <c r="P12" i="37"/>
  <c r="P13" i="37"/>
  <c r="P14" i="37"/>
  <c r="P15" i="37"/>
  <c r="P16" i="37"/>
  <c r="O7" i="37"/>
  <c r="O8" i="37"/>
  <c r="O9" i="37"/>
  <c r="O10" i="37"/>
  <c r="O11" i="37"/>
  <c r="O12" i="37"/>
  <c r="O13" i="37"/>
  <c r="O14" i="37"/>
  <c r="O15" i="37"/>
  <c r="O16" i="37"/>
  <c r="N7" i="37"/>
  <c r="N8" i="37"/>
  <c r="N9" i="37"/>
  <c r="N10" i="37"/>
  <c r="N11" i="37"/>
  <c r="N12" i="37"/>
  <c r="N13" i="37"/>
  <c r="N14" i="37"/>
  <c r="N15" i="37"/>
  <c r="N16" i="37"/>
  <c r="L16" i="37"/>
  <c r="M7" i="37"/>
  <c r="M8" i="37"/>
  <c r="M9" i="37"/>
  <c r="M10" i="37"/>
  <c r="M11" i="37"/>
  <c r="M12" i="37"/>
  <c r="M13" i="37"/>
  <c r="M14" i="37"/>
  <c r="M15" i="37"/>
  <c r="M16" i="37"/>
  <c r="Q16" i="37" s="1"/>
  <c r="L7" i="37"/>
  <c r="L8" i="37"/>
  <c r="L9" i="37"/>
  <c r="L10" i="37"/>
  <c r="L11" i="37"/>
  <c r="L12" i="37"/>
  <c r="L13" i="37"/>
  <c r="L14" i="37"/>
  <c r="L15" i="37"/>
  <c r="K7" i="37"/>
  <c r="K8" i="37"/>
  <c r="K9" i="37"/>
  <c r="K10" i="37"/>
  <c r="K11" i="37"/>
  <c r="K12" i="37"/>
  <c r="K13" i="37"/>
  <c r="K14" i="37"/>
  <c r="K15" i="37"/>
  <c r="K16" i="37"/>
  <c r="Q9" i="37"/>
  <c r="Q7" i="37"/>
  <c r="P6" i="37"/>
  <c r="O6" i="37"/>
  <c r="N6" i="37"/>
  <c r="M6" i="37"/>
  <c r="L6" i="37"/>
  <c r="K6" i="37"/>
  <c r="P5" i="37"/>
  <c r="O5" i="37"/>
  <c r="N5" i="37"/>
  <c r="M5" i="37"/>
  <c r="L5" i="37"/>
  <c r="K5" i="37"/>
  <c r="P4" i="37"/>
  <c r="O4" i="37"/>
  <c r="N4" i="37"/>
  <c r="L4" i="37"/>
  <c r="K4" i="37"/>
  <c r="Q4" i="37" s="1"/>
  <c r="P3" i="37"/>
  <c r="O3" i="37"/>
  <c r="N3" i="37"/>
  <c r="M3" i="37"/>
  <c r="L3" i="37"/>
  <c r="K3" i="37"/>
  <c r="Q10" i="20"/>
  <c r="Q9" i="20"/>
  <c r="Q11" i="20"/>
  <c r="Q12" i="20"/>
  <c r="Q13" i="20"/>
  <c r="Q14" i="20"/>
  <c r="Q15" i="20"/>
  <c r="Q16" i="20"/>
  <c r="Q5" i="17"/>
  <c r="Q6" i="17"/>
  <c r="Q7" i="17"/>
  <c r="Q8" i="17"/>
  <c r="Q9" i="17"/>
  <c r="Q10" i="17"/>
  <c r="Q11" i="17"/>
  <c r="Q12" i="17"/>
  <c r="Q13" i="17"/>
  <c r="Q14" i="17"/>
  <c r="Q15" i="17"/>
  <c r="Q16" i="17"/>
  <c r="Q8" i="20"/>
  <c r="Q4" i="17"/>
  <c r="O8" i="20"/>
  <c r="K8" i="20"/>
  <c r="L8" i="20"/>
  <c r="M8" i="20"/>
  <c r="N8" i="20"/>
  <c r="P8" i="20"/>
  <c r="L4" i="18"/>
  <c r="M4" i="18"/>
  <c r="N4" i="18"/>
  <c r="O4" i="18"/>
  <c r="P4" i="18"/>
  <c r="M4" i="17"/>
  <c r="M3" i="17"/>
  <c r="N4" i="17"/>
  <c r="M6" i="10"/>
  <c r="K6" i="34"/>
  <c r="Q8" i="21"/>
  <c r="Q6" i="21"/>
  <c r="Q7" i="21"/>
  <c r="Q6" i="23"/>
  <c r="Q7" i="23"/>
  <c r="Q7" i="26"/>
  <c r="Q8" i="26"/>
  <c r="Q9" i="26"/>
  <c r="Q7" i="25"/>
  <c r="Q8" i="25"/>
  <c r="Q9" i="25"/>
  <c r="Q6" i="19"/>
  <c r="Q7" i="19"/>
  <c r="Q8" i="19"/>
  <c r="Q9" i="19"/>
  <c r="Q10" i="19"/>
  <c r="Q11" i="19"/>
  <c r="Q12" i="19"/>
  <c r="Q13" i="19"/>
  <c r="Q14" i="19"/>
  <c r="Q15" i="19"/>
  <c r="Q16" i="19"/>
  <c r="Q5" i="19"/>
  <c r="Q6" i="30"/>
  <c r="Q7" i="30"/>
  <c r="Q8" i="30"/>
  <c r="Q9" i="30"/>
  <c r="Q7" i="31"/>
  <c r="Q8" i="31"/>
  <c r="Q9" i="31"/>
  <c r="Q7" i="32"/>
  <c r="K8" i="32"/>
  <c r="L8" i="32"/>
  <c r="M8" i="32"/>
  <c r="N8" i="32"/>
  <c r="O8" i="32"/>
  <c r="P8" i="32"/>
  <c r="Q8" i="32" s="1"/>
  <c r="Q6" i="22"/>
  <c r="Q7" i="22"/>
  <c r="O5" i="19"/>
  <c r="Q4" i="19"/>
  <c r="K5" i="19"/>
  <c r="L5" i="19"/>
  <c r="M5" i="19"/>
  <c r="N5" i="19"/>
  <c r="P5" i="19"/>
  <c r="K6" i="13"/>
  <c r="K8" i="4"/>
  <c r="Q7" i="20"/>
  <c r="Q9" i="24"/>
  <c r="Q8" i="24"/>
  <c r="N9" i="24"/>
  <c r="O7" i="32"/>
  <c r="K8" i="26"/>
  <c r="L8" i="26"/>
  <c r="M8" i="26"/>
  <c r="N8" i="26"/>
  <c r="O8" i="26"/>
  <c r="P8" i="26"/>
  <c r="M6" i="24"/>
  <c r="K6" i="24"/>
  <c r="P6" i="24"/>
  <c r="O6" i="24"/>
  <c r="N6" i="24"/>
  <c r="L6" i="24"/>
  <c r="P6" i="23"/>
  <c r="O6" i="23"/>
  <c r="N6" i="23"/>
  <c r="M6" i="23"/>
  <c r="L6" i="23"/>
  <c r="K6" i="23"/>
  <c r="P6" i="21"/>
  <c r="O6" i="21"/>
  <c r="N6" i="21"/>
  <c r="M6" i="21"/>
  <c r="L6" i="21"/>
  <c r="K6" i="21"/>
  <c r="N6" i="22"/>
  <c r="M6" i="22"/>
  <c r="O6" i="22"/>
  <c r="L6" i="22"/>
  <c r="P6" i="22"/>
  <c r="K6" i="22"/>
  <c r="Q6" i="32"/>
  <c r="Q6" i="31"/>
  <c r="Q6" i="27"/>
  <c r="Q10" i="27"/>
  <c r="Q11" i="27"/>
  <c r="Q12" i="27"/>
  <c r="Q13" i="27"/>
  <c r="Q14" i="27"/>
  <c r="Q15" i="27"/>
  <c r="Q7" i="28"/>
  <c r="Q12" i="28"/>
  <c r="Q13" i="28"/>
  <c r="Q14" i="28"/>
  <c r="Q15" i="28"/>
  <c r="Q16" i="28"/>
  <c r="Q5" i="2"/>
  <c r="Q3" i="8"/>
  <c r="K3" i="8"/>
  <c r="Q5" i="36"/>
  <c r="Q5" i="35"/>
  <c r="O5" i="33"/>
  <c r="N5" i="32"/>
  <c r="M5" i="32"/>
  <c r="O5" i="22"/>
  <c r="K5" i="22"/>
  <c r="N5" i="23"/>
  <c r="Q9" i="12"/>
  <c r="Q10" i="12"/>
  <c r="Q11" i="12"/>
  <c r="Q12" i="12"/>
  <c r="Q13" i="12"/>
  <c r="Q14" i="12"/>
  <c r="Q15" i="12"/>
  <c r="Q5" i="12"/>
  <c r="K5" i="14"/>
  <c r="N5" i="16"/>
  <c r="P5" i="5"/>
  <c r="N4" i="34"/>
  <c r="N10" i="34"/>
  <c r="N4" i="32"/>
  <c r="K3" i="10"/>
  <c r="K4" i="10"/>
  <c r="K5" i="10"/>
  <c r="K6" i="10"/>
  <c r="K8" i="10"/>
  <c r="K9" i="10"/>
  <c r="K10" i="10"/>
  <c r="K11" i="10"/>
  <c r="K12" i="10"/>
  <c r="K13" i="10"/>
  <c r="K14" i="10"/>
  <c r="K15" i="10"/>
  <c r="K16" i="10"/>
  <c r="N4" i="16"/>
  <c r="K4" i="16"/>
  <c r="K5" i="16"/>
  <c r="K6" i="16"/>
  <c r="K7" i="16"/>
  <c r="K8" i="16"/>
  <c r="K9" i="16"/>
  <c r="K10" i="16"/>
  <c r="K11" i="16"/>
  <c r="K12" i="16"/>
  <c r="K13" i="16"/>
  <c r="K14" i="16"/>
  <c r="K15" i="16"/>
  <c r="K16" i="16"/>
  <c r="P4" i="2"/>
  <c r="P3" i="7"/>
  <c r="N3" i="7"/>
  <c r="O3" i="7"/>
  <c r="K4" i="6"/>
  <c r="P4" i="12"/>
  <c r="K4" i="31"/>
  <c r="L4" i="31"/>
  <c r="M4" i="31"/>
  <c r="N4" i="31"/>
  <c r="O4" i="31"/>
  <c r="P4" i="31"/>
  <c r="K5" i="31"/>
  <c r="L5" i="31"/>
  <c r="M5" i="31"/>
  <c r="N5" i="31"/>
  <c r="O5" i="31"/>
  <c r="P5" i="31"/>
  <c r="K6" i="31"/>
  <c r="L6" i="31"/>
  <c r="M6" i="31"/>
  <c r="N6" i="31"/>
  <c r="O6" i="31"/>
  <c r="P6" i="31"/>
  <c r="K7" i="31"/>
  <c r="L7" i="31"/>
  <c r="M7" i="31"/>
  <c r="N7" i="31"/>
  <c r="O7" i="31"/>
  <c r="P7" i="31"/>
  <c r="K8" i="31"/>
  <c r="L8" i="31"/>
  <c r="M8" i="31"/>
  <c r="N8" i="31"/>
  <c r="O8" i="31"/>
  <c r="P8" i="31"/>
  <c r="K9" i="31"/>
  <c r="L9" i="31"/>
  <c r="M9" i="31"/>
  <c r="N9" i="31"/>
  <c r="O9" i="31"/>
  <c r="P9" i="31"/>
  <c r="K10" i="31"/>
  <c r="L10" i="31"/>
  <c r="M10" i="31"/>
  <c r="N10" i="31"/>
  <c r="O10" i="31"/>
  <c r="P10" i="31"/>
  <c r="K11" i="31"/>
  <c r="L11" i="31"/>
  <c r="M11" i="31"/>
  <c r="N11" i="31"/>
  <c r="O11" i="31"/>
  <c r="P11" i="31"/>
  <c r="K12" i="31"/>
  <c r="L12" i="31"/>
  <c r="M12" i="31"/>
  <c r="Q12" i="31" s="1"/>
  <c r="N12" i="31"/>
  <c r="O12" i="31"/>
  <c r="P12" i="31"/>
  <c r="K13" i="31"/>
  <c r="Q13" i="31" s="1"/>
  <c r="L13" i="31"/>
  <c r="M13" i="31"/>
  <c r="N13" i="31"/>
  <c r="O13" i="31"/>
  <c r="P13" i="31"/>
  <c r="K14" i="31"/>
  <c r="L14" i="31"/>
  <c r="M14" i="31"/>
  <c r="N14" i="31"/>
  <c r="Q14" i="31" s="1"/>
  <c r="O14" i="31"/>
  <c r="P14" i="31"/>
  <c r="K15" i="31"/>
  <c r="Q15" i="31" s="1"/>
  <c r="L15" i="31"/>
  <c r="M15" i="31"/>
  <c r="N15" i="31"/>
  <c r="O15" i="31"/>
  <c r="P15" i="31"/>
  <c r="K16" i="31"/>
  <c r="L16" i="31"/>
  <c r="M16" i="31"/>
  <c r="N16" i="31"/>
  <c r="Q16" i="31" s="1"/>
  <c r="O16" i="31"/>
  <c r="P16" i="31"/>
  <c r="N5" i="3"/>
  <c r="N6" i="3"/>
  <c r="N7" i="3"/>
  <c r="N8" i="3"/>
  <c r="N9" i="3"/>
  <c r="N10" i="3"/>
  <c r="N11" i="3"/>
  <c r="N12" i="3"/>
  <c r="N13" i="3"/>
  <c r="N14" i="3"/>
  <c r="N15" i="3"/>
  <c r="N16" i="3"/>
  <c r="K3" i="30"/>
  <c r="L4" i="3"/>
  <c r="K4" i="3"/>
  <c r="M4" i="3"/>
  <c r="N4" i="3"/>
  <c r="O4" i="3"/>
  <c r="P4" i="3"/>
  <c r="P16" i="36"/>
  <c r="O16" i="36"/>
  <c r="N16" i="36"/>
  <c r="M16" i="36"/>
  <c r="L16" i="36"/>
  <c r="K16" i="36"/>
  <c r="Q16" i="36" s="1"/>
  <c r="P15" i="36"/>
  <c r="O15" i="36"/>
  <c r="N15" i="36"/>
  <c r="M15" i="36"/>
  <c r="L15" i="36"/>
  <c r="K15" i="36"/>
  <c r="Q15" i="36" s="1"/>
  <c r="P14" i="36"/>
  <c r="Q14" i="36" s="1"/>
  <c r="O14" i="36"/>
  <c r="N14" i="36"/>
  <c r="M14" i="36"/>
  <c r="L14" i="36"/>
  <c r="K14" i="36"/>
  <c r="P13" i="36"/>
  <c r="O13" i="36"/>
  <c r="N13" i="36"/>
  <c r="M13" i="36"/>
  <c r="L13" i="36"/>
  <c r="K13" i="36"/>
  <c r="Q13" i="36" s="1"/>
  <c r="P12" i="36"/>
  <c r="O12" i="36"/>
  <c r="N12" i="36"/>
  <c r="Q12" i="36" s="1"/>
  <c r="M12" i="36"/>
  <c r="L12" i="36"/>
  <c r="K12" i="36"/>
  <c r="P11" i="36"/>
  <c r="O11" i="36"/>
  <c r="N11" i="36"/>
  <c r="M11" i="36"/>
  <c r="L11" i="36"/>
  <c r="K11" i="36"/>
  <c r="Q11" i="36" s="1"/>
  <c r="P10" i="36"/>
  <c r="O10" i="36"/>
  <c r="N10" i="36"/>
  <c r="M10" i="36"/>
  <c r="L10" i="36"/>
  <c r="Q10" i="36" s="1"/>
  <c r="K10" i="36"/>
  <c r="P9" i="36"/>
  <c r="O9" i="36"/>
  <c r="N9" i="36"/>
  <c r="M9" i="36"/>
  <c r="L9" i="36"/>
  <c r="K9" i="36"/>
  <c r="Q9" i="36" s="1"/>
  <c r="P8" i="36"/>
  <c r="O8" i="36"/>
  <c r="N8" i="36"/>
  <c r="M8" i="36"/>
  <c r="L8" i="36"/>
  <c r="K8" i="36"/>
  <c r="Q8" i="36" s="1"/>
  <c r="Q7" i="36"/>
  <c r="P7" i="36"/>
  <c r="O7" i="36"/>
  <c r="N7" i="36"/>
  <c r="M7" i="36"/>
  <c r="L7" i="36"/>
  <c r="K7" i="36"/>
  <c r="P6" i="36"/>
  <c r="O6" i="36"/>
  <c r="N6" i="36"/>
  <c r="M6" i="36"/>
  <c r="L6" i="36"/>
  <c r="K6" i="36"/>
  <c r="Q6" i="36" s="1"/>
  <c r="P5" i="36"/>
  <c r="O5" i="36"/>
  <c r="N5" i="36"/>
  <c r="M5" i="36"/>
  <c r="L5" i="36"/>
  <c r="K5" i="36"/>
  <c r="P4" i="36"/>
  <c r="O4" i="36"/>
  <c r="N4" i="36"/>
  <c r="M4" i="36"/>
  <c r="L4" i="36"/>
  <c r="K4" i="36"/>
  <c r="P3" i="36"/>
  <c r="O3" i="36"/>
  <c r="N3" i="36"/>
  <c r="M3" i="36"/>
  <c r="Q3" i="36" s="1"/>
  <c r="L3" i="36"/>
  <c r="K3" i="36"/>
  <c r="P16" i="35"/>
  <c r="O16" i="35"/>
  <c r="N16" i="35"/>
  <c r="M16" i="35"/>
  <c r="Q16" i="35" s="1"/>
  <c r="L16" i="35"/>
  <c r="K16" i="35"/>
  <c r="P15" i="35"/>
  <c r="O15" i="35"/>
  <c r="N15" i="35"/>
  <c r="M15" i="35"/>
  <c r="L15" i="35"/>
  <c r="K15" i="35"/>
  <c r="Q15" i="35" s="1"/>
  <c r="P14" i="35"/>
  <c r="O14" i="35"/>
  <c r="N14" i="35"/>
  <c r="M14" i="35"/>
  <c r="L14" i="35"/>
  <c r="K14" i="35"/>
  <c r="Q14" i="35" s="1"/>
  <c r="P13" i="35"/>
  <c r="O13" i="35"/>
  <c r="N13" i="35"/>
  <c r="M13" i="35"/>
  <c r="L13" i="35"/>
  <c r="K13" i="35"/>
  <c r="Q13" i="35" s="1"/>
  <c r="P12" i="35"/>
  <c r="Q12" i="35" s="1"/>
  <c r="O12" i="35"/>
  <c r="N12" i="35"/>
  <c r="M12" i="35"/>
  <c r="L12" i="35"/>
  <c r="K12" i="35"/>
  <c r="P11" i="35"/>
  <c r="O11" i="35"/>
  <c r="N11" i="35"/>
  <c r="M11" i="35"/>
  <c r="L11" i="35"/>
  <c r="K11" i="35"/>
  <c r="Q11" i="35" s="1"/>
  <c r="P10" i="35"/>
  <c r="O10" i="35"/>
  <c r="N10" i="35"/>
  <c r="Q10" i="35" s="1"/>
  <c r="M10" i="35"/>
  <c r="L10" i="35"/>
  <c r="K10" i="35"/>
  <c r="P9" i="35"/>
  <c r="O9" i="35"/>
  <c r="N9" i="35"/>
  <c r="M9" i="35"/>
  <c r="L9" i="35"/>
  <c r="K9" i="35"/>
  <c r="Q9" i="35" s="1"/>
  <c r="P8" i="35"/>
  <c r="O8" i="35"/>
  <c r="N8" i="35"/>
  <c r="M8" i="35"/>
  <c r="L8" i="35"/>
  <c r="Q8" i="35" s="1"/>
  <c r="K8" i="35"/>
  <c r="P7" i="35"/>
  <c r="O7" i="35"/>
  <c r="N7" i="35"/>
  <c r="M7" i="35"/>
  <c r="L7" i="35"/>
  <c r="K7" i="35"/>
  <c r="Q7" i="35" s="1"/>
  <c r="P6" i="35"/>
  <c r="O6" i="35"/>
  <c r="N6" i="35"/>
  <c r="M6" i="35"/>
  <c r="L6" i="35"/>
  <c r="K6" i="35"/>
  <c r="P5" i="35"/>
  <c r="O5" i="35"/>
  <c r="N5" i="35"/>
  <c r="M5" i="35"/>
  <c r="L5" i="35"/>
  <c r="K5" i="35"/>
  <c r="P4" i="35"/>
  <c r="O4" i="35"/>
  <c r="N4" i="35"/>
  <c r="M4" i="35"/>
  <c r="L4" i="35"/>
  <c r="K4" i="35"/>
  <c r="P3" i="35"/>
  <c r="O3" i="35"/>
  <c r="N3" i="35"/>
  <c r="M3" i="35"/>
  <c r="L3" i="35"/>
  <c r="Q3" i="35" s="1"/>
  <c r="K3" i="35"/>
  <c r="P16" i="34"/>
  <c r="O16" i="34"/>
  <c r="N16" i="34"/>
  <c r="M16" i="34"/>
  <c r="L16" i="34"/>
  <c r="K16" i="34"/>
  <c r="Q16" i="34" s="1"/>
  <c r="P15" i="34"/>
  <c r="O15" i="34"/>
  <c r="N15" i="34"/>
  <c r="M15" i="34"/>
  <c r="L15" i="34"/>
  <c r="K15" i="34"/>
  <c r="P14" i="34"/>
  <c r="O14" i="34"/>
  <c r="N14" i="34"/>
  <c r="M14" i="34"/>
  <c r="L14" i="34"/>
  <c r="K14" i="34"/>
  <c r="P13" i="34"/>
  <c r="O13" i="34"/>
  <c r="N13" i="34"/>
  <c r="M13" i="34"/>
  <c r="L13" i="34"/>
  <c r="K13" i="34"/>
  <c r="Q13" i="34" s="1"/>
  <c r="P12" i="34"/>
  <c r="O12" i="34"/>
  <c r="N12" i="34"/>
  <c r="M12" i="34"/>
  <c r="L12" i="34"/>
  <c r="K12" i="34"/>
  <c r="Q12" i="34" s="1"/>
  <c r="P11" i="34"/>
  <c r="O11" i="34"/>
  <c r="N11" i="34"/>
  <c r="M11" i="34"/>
  <c r="L11" i="34"/>
  <c r="K11" i="34"/>
  <c r="P10" i="34"/>
  <c r="O10" i="34"/>
  <c r="M10" i="34"/>
  <c r="L10" i="34"/>
  <c r="K10" i="34"/>
  <c r="P9" i="34"/>
  <c r="O9" i="34"/>
  <c r="N9" i="34"/>
  <c r="M9" i="34"/>
  <c r="L9" i="34"/>
  <c r="K9" i="34"/>
  <c r="P8" i="34"/>
  <c r="O8" i="34"/>
  <c r="N8" i="34"/>
  <c r="M8" i="34"/>
  <c r="L8" i="34"/>
  <c r="K8" i="34"/>
  <c r="Q8" i="34" s="1"/>
  <c r="P7" i="34"/>
  <c r="O7" i="34"/>
  <c r="N7" i="34"/>
  <c r="M7" i="34"/>
  <c r="L7" i="34"/>
  <c r="K7" i="34"/>
  <c r="Q7" i="34" s="1"/>
  <c r="P6" i="34"/>
  <c r="O6" i="34"/>
  <c r="N6" i="34"/>
  <c r="M6" i="34"/>
  <c r="L6" i="34"/>
  <c r="P5" i="34"/>
  <c r="O5" i="34"/>
  <c r="N5" i="34"/>
  <c r="M5" i="34"/>
  <c r="L5" i="34"/>
  <c r="K5" i="34"/>
  <c r="Q5" i="34" s="1"/>
  <c r="P4" i="34"/>
  <c r="O4" i="34"/>
  <c r="M4" i="34"/>
  <c r="L4" i="34"/>
  <c r="K4" i="34"/>
  <c r="P3" i="34"/>
  <c r="O3" i="34"/>
  <c r="N3" i="34"/>
  <c r="M3" i="34"/>
  <c r="L3" i="34"/>
  <c r="K3" i="34"/>
  <c r="Q3" i="34" s="1"/>
  <c r="P16" i="33"/>
  <c r="O16" i="33"/>
  <c r="N16" i="33"/>
  <c r="M16" i="33"/>
  <c r="L16" i="33"/>
  <c r="K16" i="33"/>
  <c r="Q16" i="33" s="1"/>
  <c r="P15" i="33"/>
  <c r="O15" i="33"/>
  <c r="N15" i="33"/>
  <c r="M15" i="33"/>
  <c r="L15" i="33"/>
  <c r="K15" i="33"/>
  <c r="Q15" i="33" s="1"/>
  <c r="P14" i="33"/>
  <c r="O14" i="33"/>
  <c r="N14" i="33"/>
  <c r="M14" i="33"/>
  <c r="L14" i="33"/>
  <c r="K14" i="33"/>
  <c r="Q14" i="33" s="1"/>
  <c r="P13" i="33"/>
  <c r="O13" i="33"/>
  <c r="N13" i="33"/>
  <c r="M13" i="33"/>
  <c r="L13" i="33"/>
  <c r="K13" i="33"/>
  <c r="Q13" i="33" s="1"/>
  <c r="P12" i="33"/>
  <c r="O12" i="33"/>
  <c r="N12" i="33"/>
  <c r="M12" i="33"/>
  <c r="L12" i="33"/>
  <c r="K12" i="33"/>
  <c r="Q12" i="33" s="1"/>
  <c r="P11" i="33"/>
  <c r="O11" i="33"/>
  <c r="N11" i="33"/>
  <c r="M11" i="33"/>
  <c r="L11" i="33"/>
  <c r="K11" i="33"/>
  <c r="Q11" i="33" s="1"/>
  <c r="P10" i="33"/>
  <c r="O10" i="33"/>
  <c r="N10" i="33"/>
  <c r="M10" i="33"/>
  <c r="L10" i="33"/>
  <c r="K10" i="33"/>
  <c r="Q10" i="33" s="1"/>
  <c r="P9" i="33"/>
  <c r="O9" i="33"/>
  <c r="N9" i="33"/>
  <c r="M9" i="33"/>
  <c r="L9" i="33"/>
  <c r="K9" i="33"/>
  <c r="P8" i="33"/>
  <c r="O8" i="33"/>
  <c r="N8" i="33"/>
  <c r="M8" i="33"/>
  <c r="L8" i="33"/>
  <c r="K8" i="33"/>
  <c r="Q8" i="33" s="1"/>
  <c r="P7" i="33"/>
  <c r="O7" i="33"/>
  <c r="N7" i="33"/>
  <c r="M7" i="33"/>
  <c r="L7" i="33"/>
  <c r="K7" i="33"/>
  <c r="Q7" i="33" s="1"/>
  <c r="P6" i="33"/>
  <c r="O6" i="33"/>
  <c r="N6" i="33"/>
  <c r="M6" i="33"/>
  <c r="L6" i="33"/>
  <c r="K6" i="33"/>
  <c r="Q6" i="33" s="1"/>
  <c r="P5" i="33"/>
  <c r="N5" i="33"/>
  <c r="M5" i="33"/>
  <c r="L5" i="33"/>
  <c r="K5" i="33"/>
  <c r="Q5" i="33" s="1"/>
  <c r="P4" i="33"/>
  <c r="O4" i="33"/>
  <c r="N4" i="33"/>
  <c r="M4" i="33"/>
  <c r="L4" i="33"/>
  <c r="K4" i="33"/>
  <c r="P3" i="33"/>
  <c r="O3" i="33"/>
  <c r="N3" i="33"/>
  <c r="M3" i="33"/>
  <c r="L3" i="33"/>
  <c r="K3" i="33"/>
  <c r="Q3" i="33" s="1"/>
  <c r="P16" i="32"/>
  <c r="O16" i="32"/>
  <c r="N16" i="32"/>
  <c r="M16" i="32"/>
  <c r="L16" i="32"/>
  <c r="K16" i="32"/>
  <c r="Q15" i="32"/>
  <c r="P15" i="32"/>
  <c r="O15" i="32"/>
  <c r="N15" i="32"/>
  <c r="M15" i="32"/>
  <c r="L15" i="32"/>
  <c r="K15" i="32"/>
  <c r="P14" i="32"/>
  <c r="O14" i="32"/>
  <c r="N14" i="32"/>
  <c r="M14" i="32"/>
  <c r="L14" i="32"/>
  <c r="K14" i="32"/>
  <c r="Q14" i="32" s="1"/>
  <c r="P13" i="32"/>
  <c r="O13" i="32"/>
  <c r="N13" i="32"/>
  <c r="M13" i="32"/>
  <c r="L13" i="32"/>
  <c r="K13" i="32"/>
  <c r="P12" i="32"/>
  <c r="O12" i="32"/>
  <c r="N12" i="32"/>
  <c r="M12" i="32"/>
  <c r="L12" i="32"/>
  <c r="K12" i="32"/>
  <c r="Q12" i="32" s="1"/>
  <c r="P11" i="32"/>
  <c r="O11" i="32"/>
  <c r="N11" i="32"/>
  <c r="M11" i="32"/>
  <c r="L11" i="32"/>
  <c r="K11" i="32"/>
  <c r="P10" i="32"/>
  <c r="O10" i="32"/>
  <c r="N10" i="32"/>
  <c r="M10" i="32"/>
  <c r="L10" i="32"/>
  <c r="K10" i="32"/>
  <c r="P9" i="32"/>
  <c r="O9" i="32"/>
  <c r="N9" i="32"/>
  <c r="M9" i="32"/>
  <c r="L9" i="32"/>
  <c r="K9" i="32"/>
  <c r="Q9" i="32" s="1"/>
  <c r="P7" i="32"/>
  <c r="N7" i="32"/>
  <c r="M7" i="32"/>
  <c r="L7" i="32"/>
  <c r="K7" i="32"/>
  <c r="P6" i="32"/>
  <c r="O6" i="32"/>
  <c r="N6" i="32"/>
  <c r="M6" i="32"/>
  <c r="L6" i="32"/>
  <c r="K6" i="32"/>
  <c r="P5" i="32"/>
  <c r="O5" i="32"/>
  <c r="L5" i="32"/>
  <c r="K5" i="32"/>
  <c r="P4" i="32"/>
  <c r="O4" i="32"/>
  <c r="M4" i="32"/>
  <c r="L4" i="32"/>
  <c r="K4" i="32"/>
  <c r="P3" i="32"/>
  <c r="O3" i="32"/>
  <c r="N3" i="32"/>
  <c r="M3" i="32"/>
  <c r="L3" i="32"/>
  <c r="K3" i="32"/>
  <c r="Q5" i="31"/>
  <c r="P3" i="31"/>
  <c r="O3" i="31"/>
  <c r="N3" i="31"/>
  <c r="M3" i="31"/>
  <c r="L3" i="31"/>
  <c r="K3" i="31"/>
  <c r="Q3" i="31" s="1"/>
  <c r="P15" i="30"/>
  <c r="O15" i="30"/>
  <c r="N15" i="30"/>
  <c r="M15" i="30"/>
  <c r="L15" i="30"/>
  <c r="K15" i="30"/>
  <c r="Q15" i="30" s="1"/>
  <c r="P14" i="30"/>
  <c r="O14" i="30"/>
  <c r="N14" i="30"/>
  <c r="M14" i="30"/>
  <c r="L14" i="30"/>
  <c r="K14" i="30"/>
  <c r="Q14" i="30" s="1"/>
  <c r="P13" i="30"/>
  <c r="O13" i="30"/>
  <c r="N13" i="30"/>
  <c r="M13" i="30"/>
  <c r="L13" i="30"/>
  <c r="Q13" i="30" s="1"/>
  <c r="K13" i="30"/>
  <c r="P12" i="30"/>
  <c r="O12" i="30"/>
  <c r="N12" i="30"/>
  <c r="M12" i="30"/>
  <c r="L12" i="30"/>
  <c r="K12" i="30"/>
  <c r="Q12" i="30" s="1"/>
  <c r="P11" i="30"/>
  <c r="O11" i="30"/>
  <c r="N11" i="30"/>
  <c r="M11" i="30"/>
  <c r="L11" i="30"/>
  <c r="K11" i="30"/>
  <c r="P10" i="30"/>
  <c r="O10" i="30"/>
  <c r="N10" i="30"/>
  <c r="M10" i="30"/>
  <c r="L10" i="30"/>
  <c r="K10" i="30"/>
  <c r="Q10" i="30" s="1"/>
  <c r="P9" i="30"/>
  <c r="O9" i="30"/>
  <c r="N9" i="30"/>
  <c r="M9" i="30"/>
  <c r="L9" i="30"/>
  <c r="K9" i="30"/>
  <c r="P8" i="30"/>
  <c r="O8" i="30"/>
  <c r="N8" i="30"/>
  <c r="M8" i="30"/>
  <c r="L8" i="30"/>
  <c r="K8" i="30"/>
  <c r="P7" i="30"/>
  <c r="O7" i="30"/>
  <c r="N7" i="30"/>
  <c r="M7" i="30"/>
  <c r="L7" i="30"/>
  <c r="K7" i="30"/>
  <c r="P6" i="30"/>
  <c r="O6" i="30"/>
  <c r="N6" i="30"/>
  <c r="M6" i="30"/>
  <c r="L6" i="30"/>
  <c r="K6" i="30"/>
  <c r="P5" i="30"/>
  <c r="O5" i="30"/>
  <c r="N5" i="30"/>
  <c r="M5" i="30"/>
  <c r="L5" i="30"/>
  <c r="K5" i="30"/>
  <c r="P4" i="30"/>
  <c r="O4" i="30"/>
  <c r="N4" i="30"/>
  <c r="M4" i="30"/>
  <c r="L4" i="30"/>
  <c r="K4" i="30"/>
  <c r="P3" i="30"/>
  <c r="O3" i="30"/>
  <c r="N3" i="30"/>
  <c r="M3" i="30"/>
  <c r="L3" i="30"/>
  <c r="Q3" i="30"/>
  <c r="P15" i="29"/>
  <c r="O15" i="29"/>
  <c r="N15" i="29"/>
  <c r="M15" i="29"/>
  <c r="L15" i="29"/>
  <c r="K15" i="29"/>
  <c r="P14" i="29"/>
  <c r="O14" i="29"/>
  <c r="N14" i="29"/>
  <c r="M14" i="29"/>
  <c r="L14" i="29"/>
  <c r="K14" i="29"/>
  <c r="Q14" i="29" s="1"/>
  <c r="P13" i="29"/>
  <c r="O13" i="29"/>
  <c r="N13" i="29"/>
  <c r="M13" i="29"/>
  <c r="L13" i="29"/>
  <c r="K13" i="29"/>
  <c r="P12" i="29"/>
  <c r="O12" i="29"/>
  <c r="N12" i="29"/>
  <c r="M12" i="29"/>
  <c r="L12" i="29"/>
  <c r="K12" i="29"/>
  <c r="Q12" i="29" s="1"/>
  <c r="P11" i="29"/>
  <c r="Q11" i="29" s="1"/>
  <c r="O11" i="29"/>
  <c r="N11" i="29"/>
  <c r="M11" i="29"/>
  <c r="L11" i="29"/>
  <c r="K11" i="29"/>
  <c r="P10" i="29"/>
  <c r="O10" i="29"/>
  <c r="N10" i="29"/>
  <c r="M10" i="29"/>
  <c r="L10" i="29"/>
  <c r="K10" i="29"/>
  <c r="P9" i="29"/>
  <c r="O9" i="29"/>
  <c r="N9" i="29"/>
  <c r="M9" i="29"/>
  <c r="L9" i="29"/>
  <c r="K9" i="29"/>
  <c r="P8" i="29"/>
  <c r="O8" i="29"/>
  <c r="N8" i="29"/>
  <c r="M8" i="29"/>
  <c r="L8" i="29"/>
  <c r="K8" i="29"/>
  <c r="P7" i="29"/>
  <c r="O7" i="29"/>
  <c r="N7" i="29"/>
  <c r="M7" i="29"/>
  <c r="L7" i="29"/>
  <c r="K7" i="29"/>
  <c r="P6" i="29"/>
  <c r="O6" i="29"/>
  <c r="N6" i="29"/>
  <c r="M6" i="29"/>
  <c r="L6" i="29"/>
  <c r="K6" i="29"/>
  <c r="Q6" i="29" s="1"/>
  <c r="P5" i="29"/>
  <c r="O5" i="29"/>
  <c r="N5" i="29"/>
  <c r="M5" i="29"/>
  <c r="L5" i="29"/>
  <c r="K5" i="29"/>
  <c r="P4" i="29"/>
  <c r="O4" i="29"/>
  <c r="N4" i="29"/>
  <c r="M4" i="29"/>
  <c r="L4" i="29"/>
  <c r="K4" i="29"/>
  <c r="P3" i="29"/>
  <c r="O3" i="29"/>
  <c r="N3" i="29"/>
  <c r="M3" i="29"/>
  <c r="L3" i="29"/>
  <c r="K3" i="29"/>
  <c r="P16" i="28"/>
  <c r="O16" i="28"/>
  <c r="N16" i="28"/>
  <c r="M16" i="28"/>
  <c r="L16" i="28"/>
  <c r="K16" i="28"/>
  <c r="P15" i="28"/>
  <c r="O15" i="28"/>
  <c r="N15" i="28"/>
  <c r="M15" i="28"/>
  <c r="L15" i="28"/>
  <c r="K15" i="28"/>
  <c r="P14" i="28"/>
  <c r="O14" i="28"/>
  <c r="N14" i="28"/>
  <c r="M14" i="28"/>
  <c r="L14" i="28"/>
  <c r="K14" i="28"/>
  <c r="P13" i="28"/>
  <c r="O13" i="28"/>
  <c r="N13" i="28"/>
  <c r="M13" i="28"/>
  <c r="L13" i="28"/>
  <c r="K13" i="28"/>
  <c r="P12" i="28"/>
  <c r="O12" i="28"/>
  <c r="N12" i="28"/>
  <c r="M12" i="28"/>
  <c r="L12" i="28"/>
  <c r="K12" i="28"/>
  <c r="P11" i="28"/>
  <c r="O11" i="28"/>
  <c r="N11" i="28"/>
  <c r="M11" i="28"/>
  <c r="L11" i="28"/>
  <c r="K11" i="28"/>
  <c r="P10" i="28"/>
  <c r="O10" i="28"/>
  <c r="N10" i="28"/>
  <c r="M10" i="28"/>
  <c r="L10" i="28"/>
  <c r="K10" i="28"/>
  <c r="P9" i="28"/>
  <c r="O9" i="28"/>
  <c r="N9" i="28"/>
  <c r="M9" i="28"/>
  <c r="L9" i="28"/>
  <c r="K9" i="28"/>
  <c r="P8" i="28"/>
  <c r="O8" i="28"/>
  <c r="N8" i="28"/>
  <c r="M8" i="28"/>
  <c r="L8" i="28"/>
  <c r="K8" i="28"/>
  <c r="Q8" i="28" s="1"/>
  <c r="P7" i="28"/>
  <c r="O7" i="28"/>
  <c r="N7" i="28"/>
  <c r="M7" i="28"/>
  <c r="L7" i="28"/>
  <c r="K7" i="28"/>
  <c r="P6" i="28"/>
  <c r="O6" i="28"/>
  <c r="N6" i="28"/>
  <c r="M6" i="28"/>
  <c r="L6" i="28"/>
  <c r="K6" i="28"/>
  <c r="Q6" i="28" s="1"/>
  <c r="P5" i="28"/>
  <c r="O5" i="28"/>
  <c r="N5" i="28"/>
  <c r="M5" i="28"/>
  <c r="L5" i="28"/>
  <c r="K5" i="28"/>
  <c r="P4" i="28"/>
  <c r="O4" i="28"/>
  <c r="N4" i="28"/>
  <c r="M4" i="28"/>
  <c r="L4" i="28"/>
  <c r="K4" i="28"/>
  <c r="P3" i="28"/>
  <c r="O3" i="28"/>
  <c r="N3" i="28"/>
  <c r="M3" i="28"/>
  <c r="L3" i="28"/>
  <c r="K3" i="28"/>
  <c r="Q3" i="28" s="1"/>
  <c r="P15" i="27"/>
  <c r="O15" i="27"/>
  <c r="N15" i="27"/>
  <c r="M15" i="27"/>
  <c r="L15" i="27"/>
  <c r="K15" i="27"/>
  <c r="P14" i="27"/>
  <c r="O14" i="27"/>
  <c r="N14" i="27"/>
  <c r="M14" i="27"/>
  <c r="L14" i="27"/>
  <c r="K14" i="27"/>
  <c r="P13" i="27"/>
  <c r="O13" i="27"/>
  <c r="N13" i="27"/>
  <c r="M13" i="27"/>
  <c r="L13" i="27"/>
  <c r="K13" i="27"/>
  <c r="P12" i="27"/>
  <c r="O12" i="27"/>
  <c r="N12" i="27"/>
  <c r="M12" i="27"/>
  <c r="L12" i="27"/>
  <c r="K12" i="27"/>
  <c r="P11" i="27"/>
  <c r="O11" i="27"/>
  <c r="N11" i="27"/>
  <c r="M11" i="27"/>
  <c r="L11" i="27"/>
  <c r="K11" i="27"/>
  <c r="P10" i="27"/>
  <c r="O10" i="27"/>
  <c r="N10" i="27"/>
  <c r="M10" i="27"/>
  <c r="L10" i="27"/>
  <c r="K10" i="27"/>
  <c r="P9" i="27"/>
  <c r="Q9" i="27" s="1"/>
  <c r="O9" i="27"/>
  <c r="N9" i="27"/>
  <c r="M9" i="27"/>
  <c r="L9" i="27"/>
  <c r="K9" i="27"/>
  <c r="P8" i="27"/>
  <c r="O8" i="27"/>
  <c r="N8" i="27"/>
  <c r="M8" i="27"/>
  <c r="L8" i="27"/>
  <c r="K8" i="27"/>
  <c r="P7" i="27"/>
  <c r="O7" i="27"/>
  <c r="N7" i="27"/>
  <c r="M7" i="27"/>
  <c r="L7" i="27"/>
  <c r="K7" i="27"/>
  <c r="Q7" i="27" s="1"/>
  <c r="P6" i="27"/>
  <c r="O6" i="27"/>
  <c r="N6" i="27"/>
  <c r="M6" i="27"/>
  <c r="L6" i="27"/>
  <c r="K6" i="27"/>
  <c r="P5" i="27"/>
  <c r="O5" i="27"/>
  <c r="N5" i="27"/>
  <c r="M5" i="27"/>
  <c r="L5" i="27"/>
  <c r="K5" i="27"/>
  <c r="P4" i="27"/>
  <c r="O4" i="27"/>
  <c r="N4" i="27"/>
  <c r="M4" i="27"/>
  <c r="L4" i="27"/>
  <c r="K4" i="27"/>
  <c r="P3" i="27"/>
  <c r="O3" i="27"/>
  <c r="N3" i="27"/>
  <c r="M3" i="27"/>
  <c r="L3" i="27"/>
  <c r="K3" i="27"/>
  <c r="Q3" i="27" s="1"/>
  <c r="P16" i="26"/>
  <c r="O16" i="26"/>
  <c r="N16" i="26"/>
  <c r="M16" i="26"/>
  <c r="L16" i="26"/>
  <c r="K16" i="26"/>
  <c r="Q16" i="26" s="1"/>
  <c r="P15" i="26"/>
  <c r="O15" i="26"/>
  <c r="N15" i="26"/>
  <c r="M15" i="26"/>
  <c r="L15" i="26"/>
  <c r="K15" i="26"/>
  <c r="Q15" i="26" s="1"/>
  <c r="P14" i="26"/>
  <c r="O14" i="26"/>
  <c r="N14" i="26"/>
  <c r="M14" i="26"/>
  <c r="L14" i="26"/>
  <c r="K14" i="26"/>
  <c r="Q14" i="26" s="1"/>
  <c r="P13" i="26"/>
  <c r="O13" i="26"/>
  <c r="N13" i="26"/>
  <c r="M13" i="26"/>
  <c r="L13" i="26"/>
  <c r="K13" i="26"/>
  <c r="Q13" i="26" s="1"/>
  <c r="P12" i="26"/>
  <c r="O12" i="26"/>
  <c r="N12" i="26"/>
  <c r="M12" i="26"/>
  <c r="L12" i="26"/>
  <c r="K12" i="26"/>
  <c r="P11" i="26"/>
  <c r="O11" i="26"/>
  <c r="N11" i="26"/>
  <c r="M11" i="26"/>
  <c r="L11" i="26"/>
  <c r="K11" i="26"/>
  <c r="Q11" i="26" s="1"/>
  <c r="P10" i="26"/>
  <c r="O10" i="26"/>
  <c r="N10" i="26"/>
  <c r="M10" i="26"/>
  <c r="L10" i="26"/>
  <c r="K10" i="26"/>
  <c r="P9" i="26"/>
  <c r="O9" i="26"/>
  <c r="N9" i="26"/>
  <c r="M9" i="26"/>
  <c r="L9" i="26"/>
  <c r="K9" i="26"/>
  <c r="P7" i="26"/>
  <c r="O7" i="26"/>
  <c r="N7" i="26"/>
  <c r="M7" i="26"/>
  <c r="L7" i="26"/>
  <c r="K7" i="26"/>
  <c r="P6" i="26"/>
  <c r="O6" i="26"/>
  <c r="N6" i="26"/>
  <c r="M6" i="26"/>
  <c r="L6" i="26"/>
  <c r="K6" i="26"/>
  <c r="Q6" i="26" s="1"/>
  <c r="P5" i="26"/>
  <c r="O5" i="26"/>
  <c r="N5" i="26"/>
  <c r="M5" i="26"/>
  <c r="L5" i="26"/>
  <c r="K5" i="26"/>
  <c r="P4" i="26"/>
  <c r="O4" i="26"/>
  <c r="N4" i="26"/>
  <c r="M4" i="26"/>
  <c r="L4" i="26"/>
  <c r="K4" i="26"/>
  <c r="P3" i="26"/>
  <c r="O3" i="26"/>
  <c r="N3" i="26"/>
  <c r="M3" i="26"/>
  <c r="L3" i="26"/>
  <c r="K3" i="26"/>
  <c r="P16" i="25"/>
  <c r="O16" i="25"/>
  <c r="N16" i="25"/>
  <c r="M16" i="25"/>
  <c r="L16" i="25"/>
  <c r="K16" i="25"/>
  <c r="Q16" i="25" s="1"/>
  <c r="P15" i="25"/>
  <c r="O15" i="25"/>
  <c r="N15" i="25"/>
  <c r="M15" i="25"/>
  <c r="L15" i="25"/>
  <c r="K15" i="25"/>
  <c r="Q15" i="25" s="1"/>
  <c r="Q14" i="25"/>
  <c r="P14" i="25"/>
  <c r="O14" i="25"/>
  <c r="N14" i="25"/>
  <c r="M14" i="25"/>
  <c r="L14" i="25"/>
  <c r="K14" i="25"/>
  <c r="P13" i="25"/>
  <c r="O13" i="25"/>
  <c r="N13" i="25"/>
  <c r="M13" i="25"/>
  <c r="L13" i="25"/>
  <c r="K13" i="25"/>
  <c r="Q13" i="25" s="1"/>
  <c r="P12" i="25"/>
  <c r="O12" i="25"/>
  <c r="N12" i="25"/>
  <c r="M12" i="25"/>
  <c r="L12" i="25"/>
  <c r="K12" i="25"/>
  <c r="Q12" i="25" s="1"/>
  <c r="P11" i="25"/>
  <c r="O11" i="25"/>
  <c r="N11" i="25"/>
  <c r="M11" i="25"/>
  <c r="L11" i="25"/>
  <c r="K11" i="25"/>
  <c r="Q11" i="25" s="1"/>
  <c r="P10" i="25"/>
  <c r="O10" i="25"/>
  <c r="N10" i="25"/>
  <c r="M10" i="25"/>
  <c r="L10" i="25"/>
  <c r="K10" i="25"/>
  <c r="P9" i="25"/>
  <c r="O9" i="25"/>
  <c r="N9" i="25"/>
  <c r="M9" i="25"/>
  <c r="L9" i="25"/>
  <c r="K9" i="25"/>
  <c r="P8" i="25"/>
  <c r="O8" i="25"/>
  <c r="N8" i="25"/>
  <c r="M8" i="25"/>
  <c r="L8" i="25"/>
  <c r="K8" i="25"/>
  <c r="P7" i="25"/>
  <c r="O7" i="25"/>
  <c r="N7" i="25"/>
  <c r="M7" i="25"/>
  <c r="L7" i="25"/>
  <c r="K7" i="25"/>
  <c r="P6" i="25"/>
  <c r="O6" i="25"/>
  <c r="N6" i="25"/>
  <c r="M6" i="25"/>
  <c r="L6" i="25"/>
  <c r="K6" i="25"/>
  <c r="P5" i="25"/>
  <c r="O5" i="25"/>
  <c r="N5" i="25"/>
  <c r="M5" i="25"/>
  <c r="L5" i="25"/>
  <c r="K5" i="25"/>
  <c r="P4" i="25"/>
  <c r="O4" i="25"/>
  <c r="N4" i="25"/>
  <c r="M4" i="25"/>
  <c r="L4" i="25"/>
  <c r="K4" i="25"/>
  <c r="Q4" i="25" s="1"/>
  <c r="P3" i="25"/>
  <c r="O3" i="25"/>
  <c r="N3" i="25"/>
  <c r="M3" i="25"/>
  <c r="L3" i="25"/>
  <c r="K3" i="25"/>
  <c r="Q3" i="25" s="1"/>
  <c r="P15" i="24"/>
  <c r="O15" i="24"/>
  <c r="N15" i="24"/>
  <c r="M15" i="24"/>
  <c r="L15" i="24"/>
  <c r="K15" i="24"/>
  <c r="P14" i="24"/>
  <c r="O14" i="24"/>
  <c r="N14" i="24"/>
  <c r="M14" i="24"/>
  <c r="L14" i="24"/>
  <c r="K14" i="24"/>
  <c r="P13" i="24"/>
  <c r="O13" i="24"/>
  <c r="N13" i="24"/>
  <c r="M13" i="24"/>
  <c r="L13" i="24"/>
  <c r="K13" i="24"/>
  <c r="Q13" i="24" s="1"/>
  <c r="P12" i="24"/>
  <c r="O12" i="24"/>
  <c r="N12" i="24"/>
  <c r="M12" i="24"/>
  <c r="L12" i="24"/>
  <c r="K12" i="24"/>
  <c r="Q12" i="24" s="1"/>
  <c r="P11" i="24"/>
  <c r="O11" i="24"/>
  <c r="N11" i="24"/>
  <c r="M11" i="24"/>
  <c r="L11" i="24"/>
  <c r="K11" i="24"/>
  <c r="P10" i="24"/>
  <c r="O10" i="24"/>
  <c r="M10" i="24"/>
  <c r="L10" i="24"/>
  <c r="K10" i="24"/>
  <c r="P9" i="24"/>
  <c r="O9" i="24"/>
  <c r="M9" i="24"/>
  <c r="L9" i="24"/>
  <c r="K9" i="24"/>
  <c r="P8" i="24"/>
  <c r="O8" i="24"/>
  <c r="N8" i="24"/>
  <c r="M8" i="24"/>
  <c r="L8" i="24"/>
  <c r="K8" i="24"/>
  <c r="P7" i="24"/>
  <c r="O7" i="24"/>
  <c r="N7" i="24"/>
  <c r="M7" i="24"/>
  <c r="L7" i="24"/>
  <c r="K7" i="24"/>
  <c r="Q7" i="24" s="1"/>
  <c r="P5" i="24"/>
  <c r="O5" i="24"/>
  <c r="N5" i="24"/>
  <c r="M5" i="24"/>
  <c r="L5" i="24"/>
  <c r="K5" i="24"/>
  <c r="Q5" i="24" s="1"/>
  <c r="P4" i="24"/>
  <c r="O4" i="24"/>
  <c r="N4" i="24"/>
  <c r="M4" i="24"/>
  <c r="L4" i="24"/>
  <c r="K4" i="24"/>
  <c r="P3" i="24"/>
  <c r="O3" i="24"/>
  <c r="N3" i="24"/>
  <c r="M3" i="24"/>
  <c r="L3" i="24"/>
  <c r="K3" i="24"/>
  <c r="P15" i="23"/>
  <c r="O15" i="23"/>
  <c r="N15" i="23"/>
  <c r="M15" i="23"/>
  <c r="L15" i="23"/>
  <c r="K15" i="23"/>
  <c r="P14" i="23"/>
  <c r="O14" i="23"/>
  <c r="N14" i="23"/>
  <c r="M14" i="23"/>
  <c r="L14" i="23"/>
  <c r="K14" i="23"/>
  <c r="Q14" i="23" s="1"/>
  <c r="P13" i="23"/>
  <c r="O13" i="23"/>
  <c r="N13" i="23"/>
  <c r="M13" i="23"/>
  <c r="L13" i="23"/>
  <c r="K13" i="23"/>
  <c r="Q13" i="23" s="1"/>
  <c r="P12" i="23"/>
  <c r="O12" i="23"/>
  <c r="N12" i="23"/>
  <c r="M12" i="23"/>
  <c r="L12" i="23"/>
  <c r="K12" i="23"/>
  <c r="P11" i="23"/>
  <c r="N11" i="23"/>
  <c r="M11" i="23"/>
  <c r="K11" i="23"/>
  <c r="P10" i="23"/>
  <c r="O10" i="23"/>
  <c r="N10" i="23"/>
  <c r="M10" i="23"/>
  <c r="L10" i="23"/>
  <c r="K10" i="23"/>
  <c r="P9" i="23"/>
  <c r="O9" i="23"/>
  <c r="N9" i="23"/>
  <c r="M9" i="23"/>
  <c r="L9" i="23"/>
  <c r="P8" i="23"/>
  <c r="O8" i="23"/>
  <c r="N8" i="23"/>
  <c r="M8" i="23"/>
  <c r="L8" i="23"/>
  <c r="K8" i="23"/>
  <c r="P7" i="23"/>
  <c r="O7" i="23"/>
  <c r="N7" i="23"/>
  <c r="M7" i="23"/>
  <c r="L7" i="23"/>
  <c r="K7" i="23"/>
  <c r="P5" i="23"/>
  <c r="O5" i="23"/>
  <c r="M5" i="23"/>
  <c r="L5" i="23"/>
  <c r="K5" i="23"/>
  <c r="Q5" i="23" s="1"/>
  <c r="P4" i="23"/>
  <c r="O4" i="23"/>
  <c r="N4" i="23"/>
  <c r="M4" i="23"/>
  <c r="L4" i="23"/>
  <c r="K4" i="23"/>
  <c r="P3" i="23"/>
  <c r="O3" i="23"/>
  <c r="N3" i="23"/>
  <c r="M3" i="23"/>
  <c r="L3" i="23"/>
  <c r="K3" i="23"/>
  <c r="Q3" i="23" s="1"/>
  <c r="P15" i="22"/>
  <c r="O15" i="22"/>
  <c r="N15" i="22"/>
  <c r="M15" i="22"/>
  <c r="L15" i="22"/>
  <c r="K15" i="22"/>
  <c r="Q15" i="22" s="1"/>
  <c r="P14" i="22"/>
  <c r="O14" i="22"/>
  <c r="N14" i="22"/>
  <c r="M14" i="22"/>
  <c r="L14" i="22"/>
  <c r="K14" i="22"/>
  <c r="Q14" i="22" s="1"/>
  <c r="P13" i="22"/>
  <c r="O13" i="22"/>
  <c r="N13" i="22"/>
  <c r="M13" i="22"/>
  <c r="L13" i="22"/>
  <c r="K13" i="22"/>
  <c r="P12" i="22"/>
  <c r="O12" i="22"/>
  <c r="N12" i="22"/>
  <c r="M12" i="22"/>
  <c r="L12" i="22"/>
  <c r="K12" i="22"/>
  <c r="P11" i="22"/>
  <c r="O11" i="22"/>
  <c r="N11" i="22"/>
  <c r="M11" i="22"/>
  <c r="L11" i="22"/>
  <c r="K11" i="22"/>
  <c r="Q11" i="22" s="1"/>
  <c r="P10" i="22"/>
  <c r="O10" i="22"/>
  <c r="N10" i="22"/>
  <c r="M10" i="22"/>
  <c r="L10" i="22"/>
  <c r="K10" i="22"/>
  <c r="Q10" i="22" s="1"/>
  <c r="P8" i="22"/>
  <c r="O8" i="22"/>
  <c r="N8" i="22"/>
  <c r="M8" i="22"/>
  <c r="L8" i="22"/>
  <c r="K8" i="22"/>
  <c r="P7" i="22"/>
  <c r="O7" i="22"/>
  <c r="N7" i="22"/>
  <c r="M7" i="22"/>
  <c r="L7" i="22"/>
  <c r="K7" i="22"/>
  <c r="P5" i="22"/>
  <c r="N5" i="22"/>
  <c r="M5" i="22"/>
  <c r="L5" i="22"/>
  <c r="Q5" i="22"/>
  <c r="P4" i="22"/>
  <c r="O4" i="22"/>
  <c r="N4" i="22"/>
  <c r="M4" i="22"/>
  <c r="L4" i="22"/>
  <c r="K4" i="22"/>
  <c r="P3" i="22"/>
  <c r="O3" i="22"/>
  <c r="N3" i="22"/>
  <c r="M3" i="22"/>
  <c r="L3" i="22"/>
  <c r="K3" i="22"/>
  <c r="P15" i="21"/>
  <c r="O15" i="21"/>
  <c r="N15" i="21"/>
  <c r="M15" i="21"/>
  <c r="L15" i="21"/>
  <c r="K15" i="21"/>
  <c r="Q15" i="21" s="1"/>
  <c r="P14" i="21"/>
  <c r="O14" i="21"/>
  <c r="N14" i="21"/>
  <c r="M14" i="21"/>
  <c r="L14" i="21"/>
  <c r="K14" i="21"/>
  <c r="P13" i="21"/>
  <c r="O13" i="21"/>
  <c r="N13" i="21"/>
  <c r="M13" i="21"/>
  <c r="L13" i="21"/>
  <c r="K13" i="21"/>
  <c r="Q13" i="21" s="1"/>
  <c r="P12" i="21"/>
  <c r="O12" i="21"/>
  <c r="N12" i="21"/>
  <c r="M12" i="21"/>
  <c r="L12" i="21"/>
  <c r="K12" i="21"/>
  <c r="Q12" i="21" s="1"/>
  <c r="P11" i="21"/>
  <c r="O11" i="21"/>
  <c r="N11" i="21"/>
  <c r="M11" i="21"/>
  <c r="L11" i="21"/>
  <c r="K11" i="21"/>
  <c r="Q11" i="21" s="1"/>
  <c r="P10" i="21"/>
  <c r="O10" i="21"/>
  <c r="N10" i="21"/>
  <c r="M10" i="21"/>
  <c r="L10" i="21"/>
  <c r="K10" i="21"/>
  <c r="P9" i="21"/>
  <c r="O9" i="21"/>
  <c r="N9" i="21"/>
  <c r="M9" i="21"/>
  <c r="L9" i="21"/>
  <c r="K9" i="21"/>
  <c r="P8" i="21"/>
  <c r="O8" i="21"/>
  <c r="N8" i="21"/>
  <c r="M8" i="21"/>
  <c r="L8" i="21"/>
  <c r="K8" i="21"/>
  <c r="P7" i="21"/>
  <c r="O7" i="21"/>
  <c r="N7" i="21"/>
  <c r="M7" i="21"/>
  <c r="L7" i="21"/>
  <c r="K7" i="21"/>
  <c r="P5" i="21"/>
  <c r="O5" i="21"/>
  <c r="N5" i="21"/>
  <c r="M5" i="21"/>
  <c r="L5" i="21"/>
  <c r="K5" i="21"/>
  <c r="P4" i="21"/>
  <c r="O4" i="21"/>
  <c r="N4" i="21"/>
  <c r="M4" i="21"/>
  <c r="L4" i="21"/>
  <c r="K4" i="21"/>
  <c r="P3" i="21"/>
  <c r="O3" i="21"/>
  <c r="N3" i="21"/>
  <c r="M3" i="21"/>
  <c r="L3" i="21"/>
  <c r="K3" i="21"/>
  <c r="P16" i="20"/>
  <c r="O16" i="20"/>
  <c r="N16" i="20"/>
  <c r="M16" i="20"/>
  <c r="L16" i="20"/>
  <c r="K16" i="20"/>
  <c r="P15" i="20"/>
  <c r="O15" i="20"/>
  <c r="N15" i="20"/>
  <c r="M15" i="20"/>
  <c r="L15" i="20"/>
  <c r="K15" i="20"/>
  <c r="P14" i="20"/>
  <c r="O14" i="20"/>
  <c r="N14" i="20"/>
  <c r="M14" i="20"/>
  <c r="L14" i="20"/>
  <c r="K14" i="20"/>
  <c r="P13" i="20"/>
  <c r="O13" i="20"/>
  <c r="N13" i="20"/>
  <c r="M13" i="20"/>
  <c r="L13" i="20"/>
  <c r="K13" i="20"/>
  <c r="P12" i="20"/>
  <c r="O12" i="20"/>
  <c r="N12" i="20"/>
  <c r="M12" i="20"/>
  <c r="L12" i="20"/>
  <c r="K12" i="20"/>
  <c r="P11" i="20"/>
  <c r="O11" i="20"/>
  <c r="N11" i="20"/>
  <c r="M11" i="20"/>
  <c r="L11" i="20"/>
  <c r="K11" i="20"/>
  <c r="P10" i="20"/>
  <c r="O10" i="20"/>
  <c r="N10" i="20"/>
  <c r="M10" i="20"/>
  <c r="L10" i="20"/>
  <c r="K10" i="20"/>
  <c r="P9" i="20"/>
  <c r="O9" i="20"/>
  <c r="N9" i="20"/>
  <c r="M9" i="20"/>
  <c r="L9" i="20"/>
  <c r="K9" i="20"/>
  <c r="P7" i="20"/>
  <c r="O7" i="20"/>
  <c r="N7" i="20"/>
  <c r="M7" i="20"/>
  <c r="L7" i="20"/>
  <c r="K7" i="20"/>
  <c r="P6" i="20"/>
  <c r="O6" i="20"/>
  <c r="N6" i="20"/>
  <c r="M6" i="20"/>
  <c r="L6" i="20"/>
  <c r="K6" i="20"/>
  <c r="Q6" i="20" s="1"/>
  <c r="P5" i="20"/>
  <c r="O5" i="20"/>
  <c r="N5" i="20"/>
  <c r="M5" i="20"/>
  <c r="L5" i="20"/>
  <c r="K5" i="20"/>
  <c r="Q5" i="20" s="1"/>
  <c r="P4" i="20"/>
  <c r="O4" i="20"/>
  <c r="N4" i="20"/>
  <c r="M4" i="20"/>
  <c r="L4" i="20"/>
  <c r="K4" i="20"/>
  <c r="P3" i="20"/>
  <c r="O3" i="20"/>
  <c r="N3" i="20"/>
  <c r="M3" i="20"/>
  <c r="L3" i="20"/>
  <c r="K3" i="20"/>
  <c r="Q3" i="20" s="1"/>
  <c r="P16" i="19"/>
  <c r="O16" i="19"/>
  <c r="N16" i="19"/>
  <c r="M16" i="19"/>
  <c r="L16" i="19"/>
  <c r="K16" i="19"/>
  <c r="P15" i="19"/>
  <c r="O15" i="19"/>
  <c r="N15" i="19"/>
  <c r="M15" i="19"/>
  <c r="L15" i="19"/>
  <c r="K15" i="19"/>
  <c r="P14" i="19"/>
  <c r="O14" i="19"/>
  <c r="N14" i="19"/>
  <c r="M14" i="19"/>
  <c r="L14" i="19"/>
  <c r="K14" i="19"/>
  <c r="P13" i="19"/>
  <c r="O13" i="19"/>
  <c r="N13" i="19"/>
  <c r="M13" i="19"/>
  <c r="L13" i="19"/>
  <c r="K13" i="19"/>
  <c r="P12" i="19"/>
  <c r="O12" i="19"/>
  <c r="N12" i="19"/>
  <c r="M12" i="19"/>
  <c r="L12" i="19"/>
  <c r="K12" i="19"/>
  <c r="P11" i="19"/>
  <c r="O11" i="19"/>
  <c r="N11" i="19"/>
  <c r="M11" i="19"/>
  <c r="L11" i="19"/>
  <c r="K11" i="19"/>
  <c r="P10" i="19"/>
  <c r="O10" i="19"/>
  <c r="N10" i="19"/>
  <c r="M10" i="19"/>
  <c r="L10" i="19"/>
  <c r="K10" i="19"/>
  <c r="P9" i="19"/>
  <c r="O9" i="19"/>
  <c r="N9" i="19"/>
  <c r="M9" i="19"/>
  <c r="L9" i="19"/>
  <c r="K9" i="19"/>
  <c r="P8" i="19"/>
  <c r="O8" i="19"/>
  <c r="N8" i="19"/>
  <c r="M8" i="19"/>
  <c r="L8" i="19"/>
  <c r="K8" i="19"/>
  <c r="P7" i="19"/>
  <c r="O7" i="19"/>
  <c r="N7" i="19"/>
  <c r="M7" i="19"/>
  <c r="L7" i="19"/>
  <c r="K7" i="19"/>
  <c r="P6" i="19"/>
  <c r="O6" i="19"/>
  <c r="N6" i="19"/>
  <c r="M6" i="19"/>
  <c r="L6" i="19"/>
  <c r="K6" i="19"/>
  <c r="P4" i="19"/>
  <c r="O4" i="19"/>
  <c r="N4" i="19"/>
  <c r="M4" i="19"/>
  <c r="L4" i="19"/>
  <c r="K4" i="19"/>
  <c r="P3" i="19"/>
  <c r="O3" i="19"/>
  <c r="N3" i="19"/>
  <c r="M3" i="19"/>
  <c r="L3" i="19"/>
  <c r="K3" i="19"/>
  <c r="Q3" i="19" s="1"/>
  <c r="P16" i="18"/>
  <c r="O16" i="18"/>
  <c r="N16" i="18"/>
  <c r="M16" i="18"/>
  <c r="L16" i="18"/>
  <c r="K16" i="18"/>
  <c r="Q16" i="18" s="1"/>
  <c r="P15" i="18"/>
  <c r="O15" i="18"/>
  <c r="N15" i="18"/>
  <c r="M15" i="18"/>
  <c r="L15" i="18"/>
  <c r="K15" i="18"/>
  <c r="Q15" i="18" s="1"/>
  <c r="P14" i="18"/>
  <c r="O14" i="18"/>
  <c r="N14" i="18"/>
  <c r="M14" i="18"/>
  <c r="L14" i="18"/>
  <c r="K14" i="18"/>
  <c r="Q14" i="18" s="1"/>
  <c r="P13" i="18"/>
  <c r="O13" i="18"/>
  <c r="N13" i="18"/>
  <c r="M13" i="18"/>
  <c r="L13" i="18"/>
  <c r="K13" i="18"/>
  <c r="Q13" i="18" s="1"/>
  <c r="P12" i="18"/>
  <c r="O12" i="18"/>
  <c r="N12" i="18"/>
  <c r="M12" i="18"/>
  <c r="L12" i="18"/>
  <c r="K12" i="18"/>
  <c r="Q12" i="18" s="1"/>
  <c r="P11" i="18"/>
  <c r="O11" i="18"/>
  <c r="N11" i="18"/>
  <c r="M11" i="18"/>
  <c r="L11" i="18"/>
  <c r="K11" i="18"/>
  <c r="P10" i="18"/>
  <c r="O10" i="18"/>
  <c r="N10" i="18"/>
  <c r="M10" i="18"/>
  <c r="L10" i="18"/>
  <c r="K10" i="18"/>
  <c r="Q10" i="18" s="1"/>
  <c r="P9" i="18"/>
  <c r="O9" i="18"/>
  <c r="N9" i="18"/>
  <c r="M9" i="18"/>
  <c r="L9" i="18"/>
  <c r="K9" i="18"/>
  <c r="Q9" i="18" s="1"/>
  <c r="P8" i="18"/>
  <c r="O8" i="18"/>
  <c r="N8" i="18"/>
  <c r="M8" i="18"/>
  <c r="L8" i="18"/>
  <c r="K8" i="18"/>
  <c r="P7" i="18"/>
  <c r="O7" i="18"/>
  <c r="N7" i="18"/>
  <c r="M7" i="18"/>
  <c r="L7" i="18"/>
  <c r="K7" i="18"/>
  <c r="Q7" i="18" s="1"/>
  <c r="P6" i="18"/>
  <c r="O6" i="18"/>
  <c r="N6" i="18"/>
  <c r="M6" i="18"/>
  <c r="L6" i="18"/>
  <c r="K6" i="18"/>
  <c r="Q6" i="18" s="1"/>
  <c r="P5" i="18"/>
  <c r="O5" i="18"/>
  <c r="N5" i="18"/>
  <c r="M5" i="18"/>
  <c r="L5" i="18"/>
  <c r="K5" i="18"/>
  <c r="K4" i="18"/>
  <c r="Q4" i="18" s="1"/>
  <c r="P3" i="18"/>
  <c r="O3" i="18"/>
  <c r="N3" i="18"/>
  <c r="M3" i="18"/>
  <c r="L3" i="18"/>
  <c r="K3" i="18"/>
  <c r="P16" i="17"/>
  <c r="O16" i="17"/>
  <c r="N16" i="17"/>
  <c r="M16" i="17"/>
  <c r="L16" i="17"/>
  <c r="K16" i="17"/>
  <c r="P15" i="17"/>
  <c r="O15" i="17"/>
  <c r="N15" i="17"/>
  <c r="M15" i="17"/>
  <c r="L15" i="17"/>
  <c r="K15" i="17"/>
  <c r="P14" i="17"/>
  <c r="O14" i="17"/>
  <c r="N14" i="17"/>
  <c r="M14" i="17"/>
  <c r="L14" i="17"/>
  <c r="K14" i="17"/>
  <c r="P13" i="17"/>
  <c r="O13" i="17"/>
  <c r="N13" i="17"/>
  <c r="M13" i="17"/>
  <c r="L13" i="17"/>
  <c r="K13" i="17"/>
  <c r="P12" i="17"/>
  <c r="O12" i="17"/>
  <c r="N12" i="17"/>
  <c r="M12" i="17"/>
  <c r="L12" i="17"/>
  <c r="K12" i="17"/>
  <c r="P11" i="17"/>
  <c r="O11" i="17"/>
  <c r="N11" i="17"/>
  <c r="M11" i="17"/>
  <c r="L11" i="17"/>
  <c r="K11" i="17"/>
  <c r="P10" i="17"/>
  <c r="O10" i="17"/>
  <c r="N10" i="17"/>
  <c r="M10" i="17"/>
  <c r="L10" i="17"/>
  <c r="K10" i="17"/>
  <c r="P9" i="17"/>
  <c r="O9" i="17"/>
  <c r="N9" i="17"/>
  <c r="M9" i="17"/>
  <c r="L9" i="17"/>
  <c r="K9" i="17"/>
  <c r="P8" i="17"/>
  <c r="O8" i="17"/>
  <c r="N8" i="17"/>
  <c r="M8" i="17"/>
  <c r="L8" i="17"/>
  <c r="K8" i="17"/>
  <c r="P7" i="17"/>
  <c r="O7" i="17"/>
  <c r="N7" i="17"/>
  <c r="M7" i="17"/>
  <c r="L7" i="17"/>
  <c r="K7" i="17"/>
  <c r="P6" i="17"/>
  <c r="O6" i="17"/>
  <c r="N6" i="17"/>
  <c r="M6" i="17"/>
  <c r="L6" i="17"/>
  <c r="K6" i="17"/>
  <c r="P5" i="17"/>
  <c r="O5" i="17"/>
  <c r="N5" i="17"/>
  <c r="M5" i="17"/>
  <c r="L5" i="17"/>
  <c r="K5" i="17"/>
  <c r="P4" i="17"/>
  <c r="O4" i="17"/>
  <c r="L4" i="17"/>
  <c r="K4" i="17"/>
  <c r="P3" i="17"/>
  <c r="O3" i="17"/>
  <c r="Q3" i="17" s="1"/>
  <c r="N3" i="17"/>
  <c r="L3" i="17"/>
  <c r="K3" i="17"/>
  <c r="P16" i="16"/>
  <c r="O16" i="16"/>
  <c r="N16" i="16"/>
  <c r="M16" i="16"/>
  <c r="L16" i="16"/>
  <c r="P15" i="16"/>
  <c r="O15" i="16"/>
  <c r="N15" i="16"/>
  <c r="M15" i="16"/>
  <c r="L15" i="16"/>
  <c r="P14" i="16"/>
  <c r="O14" i="16"/>
  <c r="N14" i="16"/>
  <c r="M14" i="16"/>
  <c r="L14" i="16"/>
  <c r="P13" i="16"/>
  <c r="O13" i="16"/>
  <c r="N13" i="16"/>
  <c r="M13" i="16"/>
  <c r="L13" i="16"/>
  <c r="O12" i="16"/>
  <c r="N12" i="16"/>
  <c r="M12" i="16"/>
  <c r="L12" i="16"/>
  <c r="P11" i="16"/>
  <c r="O11" i="16"/>
  <c r="N11" i="16"/>
  <c r="M11" i="16"/>
  <c r="L11" i="16"/>
  <c r="P10" i="16"/>
  <c r="O10" i="16"/>
  <c r="N10" i="16"/>
  <c r="M10" i="16"/>
  <c r="L10" i="16"/>
  <c r="P9" i="16"/>
  <c r="O9" i="16"/>
  <c r="N9" i="16"/>
  <c r="M9" i="16"/>
  <c r="L9" i="16"/>
  <c r="P8" i="16"/>
  <c r="O8" i="16"/>
  <c r="N8" i="16"/>
  <c r="M8" i="16"/>
  <c r="L8" i="16"/>
  <c r="P7" i="16"/>
  <c r="O7" i="16"/>
  <c r="N7" i="16"/>
  <c r="M7" i="16"/>
  <c r="L7" i="16"/>
  <c r="P6" i="16"/>
  <c r="O6" i="16"/>
  <c r="N6" i="16"/>
  <c r="M6" i="16"/>
  <c r="L6" i="16"/>
  <c r="P5" i="16"/>
  <c r="O5" i="16"/>
  <c r="M5" i="16"/>
  <c r="L5" i="16"/>
  <c r="P4" i="16"/>
  <c r="O4" i="16"/>
  <c r="M4" i="16"/>
  <c r="L4" i="16"/>
  <c r="Q3" i="16"/>
  <c r="P3" i="16"/>
  <c r="O3" i="16"/>
  <c r="N3" i="16"/>
  <c r="M3" i="16"/>
  <c r="L3" i="16"/>
  <c r="K3" i="16"/>
  <c r="P16" i="15"/>
  <c r="O16" i="15"/>
  <c r="N16" i="15"/>
  <c r="M16" i="15"/>
  <c r="L16" i="15"/>
  <c r="K16" i="15"/>
  <c r="Q16" i="15" s="1"/>
  <c r="P15" i="15"/>
  <c r="O15" i="15"/>
  <c r="N15" i="15"/>
  <c r="M15" i="15"/>
  <c r="L15" i="15"/>
  <c r="K15" i="15"/>
  <c r="Q15" i="15" s="1"/>
  <c r="P14" i="15"/>
  <c r="O14" i="15"/>
  <c r="N14" i="15"/>
  <c r="M14" i="15"/>
  <c r="Q14" i="15" s="1"/>
  <c r="L14" i="15"/>
  <c r="K14" i="15"/>
  <c r="P13" i="15"/>
  <c r="Q13" i="15" s="1"/>
  <c r="O13" i="15"/>
  <c r="N13" i="15"/>
  <c r="M13" i="15"/>
  <c r="L13" i="15"/>
  <c r="K13" i="15"/>
  <c r="P12" i="15"/>
  <c r="O12" i="15"/>
  <c r="N12" i="15"/>
  <c r="M12" i="15"/>
  <c r="L12" i="15"/>
  <c r="K12" i="15"/>
  <c r="Q12" i="15" s="1"/>
  <c r="P11" i="15"/>
  <c r="O11" i="15"/>
  <c r="N11" i="15"/>
  <c r="M11" i="15"/>
  <c r="L11" i="15"/>
  <c r="K11" i="15"/>
  <c r="Q11" i="15" s="1"/>
  <c r="P10" i="15"/>
  <c r="O10" i="15"/>
  <c r="N10" i="15"/>
  <c r="M10" i="15"/>
  <c r="L10" i="15"/>
  <c r="K10" i="15"/>
  <c r="Q10" i="15" s="1"/>
  <c r="P9" i="15"/>
  <c r="O9" i="15"/>
  <c r="N9" i="15"/>
  <c r="M9" i="15"/>
  <c r="L9" i="15"/>
  <c r="K9" i="15"/>
  <c r="Q9" i="15" s="1"/>
  <c r="P8" i="15"/>
  <c r="O8" i="15"/>
  <c r="N8" i="15"/>
  <c r="M8" i="15"/>
  <c r="L8" i="15"/>
  <c r="K8" i="15"/>
  <c r="Q8" i="15" s="1"/>
  <c r="P7" i="15"/>
  <c r="O7" i="15"/>
  <c r="N7" i="15"/>
  <c r="M7" i="15"/>
  <c r="L7" i="15"/>
  <c r="K7" i="15"/>
  <c r="P6" i="15"/>
  <c r="O6" i="15"/>
  <c r="N6" i="15"/>
  <c r="M6" i="15"/>
  <c r="L6" i="15"/>
  <c r="K6" i="15"/>
  <c r="P5" i="15"/>
  <c r="O5" i="15"/>
  <c r="N5" i="15"/>
  <c r="M5" i="15"/>
  <c r="L5" i="15"/>
  <c r="K5" i="15"/>
  <c r="P4" i="15"/>
  <c r="O4" i="15"/>
  <c r="N4" i="15"/>
  <c r="M4" i="15"/>
  <c r="L4" i="15"/>
  <c r="K4" i="15"/>
  <c r="P3" i="15"/>
  <c r="O3" i="15"/>
  <c r="N3" i="15"/>
  <c r="M3" i="15"/>
  <c r="L3" i="15"/>
  <c r="K3" i="15"/>
  <c r="Q3" i="15" s="1"/>
  <c r="P16" i="14"/>
  <c r="O16" i="14"/>
  <c r="N16" i="14"/>
  <c r="M16" i="14"/>
  <c r="Q16" i="14" s="1"/>
  <c r="L16" i="14"/>
  <c r="K16" i="14"/>
  <c r="Q15" i="14"/>
  <c r="P15" i="14"/>
  <c r="O15" i="14"/>
  <c r="N15" i="14"/>
  <c r="M15" i="14"/>
  <c r="L15" i="14"/>
  <c r="K15" i="14"/>
  <c r="P14" i="14"/>
  <c r="O14" i="14"/>
  <c r="N14" i="14"/>
  <c r="M14" i="14"/>
  <c r="L14" i="14"/>
  <c r="K14" i="14"/>
  <c r="Q14" i="14" s="1"/>
  <c r="P13" i="14"/>
  <c r="O13" i="14"/>
  <c r="Q13" i="14" s="1"/>
  <c r="N13" i="14"/>
  <c r="M13" i="14"/>
  <c r="L13" i="14"/>
  <c r="K13" i="14"/>
  <c r="P12" i="14"/>
  <c r="O12" i="14"/>
  <c r="N12" i="14"/>
  <c r="M12" i="14"/>
  <c r="Q12" i="14" s="1"/>
  <c r="L12" i="14"/>
  <c r="K12" i="14"/>
  <c r="P11" i="14"/>
  <c r="Q11" i="14" s="1"/>
  <c r="O11" i="14"/>
  <c r="N11" i="14"/>
  <c r="M11" i="14"/>
  <c r="L11" i="14"/>
  <c r="K11" i="14"/>
  <c r="P10" i="14"/>
  <c r="O10" i="14"/>
  <c r="N10" i="14"/>
  <c r="M10" i="14"/>
  <c r="L10" i="14"/>
  <c r="K10" i="14"/>
  <c r="Q10" i="14" s="1"/>
  <c r="P9" i="14"/>
  <c r="O9" i="14"/>
  <c r="N9" i="14"/>
  <c r="M9" i="14"/>
  <c r="L9" i="14"/>
  <c r="K9" i="14"/>
  <c r="P8" i="14"/>
  <c r="O8" i="14"/>
  <c r="N8" i="14"/>
  <c r="M8" i="14"/>
  <c r="L8" i="14"/>
  <c r="K8" i="14"/>
  <c r="P7" i="14"/>
  <c r="O7" i="14"/>
  <c r="N7" i="14"/>
  <c r="M7" i="14"/>
  <c r="L7" i="14"/>
  <c r="K7" i="14"/>
  <c r="Q7" i="14" s="1"/>
  <c r="P6" i="14"/>
  <c r="O6" i="14"/>
  <c r="N6" i="14"/>
  <c r="M6" i="14"/>
  <c r="L6" i="14"/>
  <c r="K6" i="14"/>
  <c r="Q6" i="14" s="1"/>
  <c r="P5" i="14"/>
  <c r="O5" i="14"/>
  <c r="N5" i="14"/>
  <c r="M5" i="14"/>
  <c r="L5" i="14"/>
  <c r="Q5" i="14"/>
  <c r="P4" i="14"/>
  <c r="O4" i="14"/>
  <c r="N4" i="14"/>
  <c r="M4" i="14"/>
  <c r="L4" i="14"/>
  <c r="K4" i="14"/>
  <c r="P3" i="14"/>
  <c r="O3" i="14"/>
  <c r="N3" i="14"/>
  <c r="M3" i="14"/>
  <c r="L3" i="14"/>
  <c r="Q3" i="14" s="1"/>
  <c r="K3" i="14"/>
  <c r="P16" i="13"/>
  <c r="O16" i="13"/>
  <c r="N16" i="13"/>
  <c r="M16" i="13"/>
  <c r="L16" i="13"/>
  <c r="K16" i="13"/>
  <c r="Q16" i="13" s="1"/>
  <c r="P15" i="13"/>
  <c r="O15" i="13"/>
  <c r="N15" i="13"/>
  <c r="M15" i="13"/>
  <c r="L15" i="13"/>
  <c r="K15" i="13"/>
  <c r="Q15" i="13" s="1"/>
  <c r="P14" i="13"/>
  <c r="O14" i="13"/>
  <c r="N14" i="13"/>
  <c r="M14" i="13"/>
  <c r="Q14" i="13" s="1"/>
  <c r="L14" i="13"/>
  <c r="K14" i="13"/>
  <c r="Q13" i="13"/>
  <c r="P13" i="13"/>
  <c r="O13" i="13"/>
  <c r="N13" i="13"/>
  <c r="M13" i="13"/>
  <c r="L13" i="13"/>
  <c r="K13" i="13"/>
  <c r="P12" i="13"/>
  <c r="O12" i="13"/>
  <c r="N12" i="13"/>
  <c r="M12" i="13"/>
  <c r="L12" i="13"/>
  <c r="K12" i="13"/>
  <c r="Q12" i="13" s="1"/>
  <c r="P11" i="13"/>
  <c r="O11" i="13"/>
  <c r="Q11" i="13" s="1"/>
  <c r="N11" i="13"/>
  <c r="M11" i="13"/>
  <c r="L11" i="13"/>
  <c r="K11" i="13"/>
  <c r="P10" i="13"/>
  <c r="O10" i="13"/>
  <c r="N10" i="13"/>
  <c r="M10" i="13"/>
  <c r="Q10" i="13" s="1"/>
  <c r="L10" i="13"/>
  <c r="K10" i="13"/>
  <c r="P9" i="13"/>
  <c r="O9" i="13"/>
  <c r="N9" i="13"/>
  <c r="M9" i="13"/>
  <c r="L9" i="13"/>
  <c r="K9" i="13"/>
  <c r="P8" i="13"/>
  <c r="O8" i="13"/>
  <c r="N8" i="13"/>
  <c r="M8" i="13"/>
  <c r="L8" i="13"/>
  <c r="K8" i="13"/>
  <c r="Q8" i="13" s="1"/>
  <c r="P7" i="13"/>
  <c r="O7" i="13"/>
  <c r="N7" i="13"/>
  <c r="M7" i="13"/>
  <c r="L7" i="13"/>
  <c r="K7" i="13"/>
  <c r="P6" i="13"/>
  <c r="O6" i="13"/>
  <c r="N6" i="13"/>
  <c r="M6" i="13"/>
  <c r="L6" i="13"/>
  <c r="Q6" i="13"/>
  <c r="P5" i="13"/>
  <c r="O5" i="13"/>
  <c r="N5" i="13"/>
  <c r="M5" i="13"/>
  <c r="L5" i="13"/>
  <c r="K5" i="13"/>
  <c r="Q5" i="13" s="1"/>
  <c r="P4" i="13"/>
  <c r="O4" i="13"/>
  <c r="N4" i="13"/>
  <c r="M4" i="13"/>
  <c r="L4" i="13"/>
  <c r="K4" i="13"/>
  <c r="P3" i="13"/>
  <c r="O3" i="13"/>
  <c r="N3" i="13"/>
  <c r="M3" i="13"/>
  <c r="L3" i="13"/>
  <c r="K3" i="13"/>
  <c r="Q3" i="13" s="1"/>
  <c r="P15" i="12"/>
  <c r="O15" i="12"/>
  <c r="N15" i="12"/>
  <c r="M15" i="12"/>
  <c r="L15" i="12"/>
  <c r="K15" i="12"/>
  <c r="P14" i="12"/>
  <c r="O14" i="12"/>
  <c r="N14" i="12"/>
  <c r="M14" i="12"/>
  <c r="L14" i="12"/>
  <c r="K14" i="12"/>
  <c r="P13" i="12"/>
  <c r="O13" i="12"/>
  <c r="N13" i="12"/>
  <c r="M13" i="12"/>
  <c r="L13" i="12"/>
  <c r="K13" i="12"/>
  <c r="P12" i="12"/>
  <c r="O12" i="12"/>
  <c r="N12" i="12"/>
  <c r="M12" i="12"/>
  <c r="L12" i="12"/>
  <c r="K12" i="12"/>
  <c r="P11" i="12"/>
  <c r="O11" i="12"/>
  <c r="N11" i="12"/>
  <c r="M11" i="12"/>
  <c r="L11" i="12"/>
  <c r="K11" i="12"/>
  <c r="P10" i="12"/>
  <c r="O10" i="12"/>
  <c r="N10" i="12"/>
  <c r="M10" i="12"/>
  <c r="L10" i="12"/>
  <c r="K10" i="12"/>
  <c r="P9" i="12"/>
  <c r="O9" i="12"/>
  <c r="N9" i="12"/>
  <c r="M9" i="12"/>
  <c r="L9" i="12"/>
  <c r="K9" i="12"/>
  <c r="P8" i="12"/>
  <c r="O8" i="12"/>
  <c r="N8" i="12"/>
  <c r="M8" i="12"/>
  <c r="L8" i="12"/>
  <c r="K8" i="12"/>
  <c r="P7" i="12"/>
  <c r="O7" i="12"/>
  <c r="N7" i="12"/>
  <c r="M7" i="12"/>
  <c r="L7" i="12"/>
  <c r="K7" i="12"/>
  <c r="Q7" i="12" s="1"/>
  <c r="P6" i="12"/>
  <c r="O6" i="12"/>
  <c r="N6" i="12"/>
  <c r="M6" i="12"/>
  <c r="L6" i="12"/>
  <c r="Q6" i="12" s="1"/>
  <c r="K6" i="12"/>
  <c r="P5" i="12"/>
  <c r="O5" i="12"/>
  <c r="N5" i="12"/>
  <c r="M5" i="12"/>
  <c r="L5" i="12"/>
  <c r="K5" i="12"/>
  <c r="O4" i="12"/>
  <c r="N4" i="12"/>
  <c r="M4" i="12"/>
  <c r="L4" i="12"/>
  <c r="K4" i="12"/>
  <c r="P3" i="12"/>
  <c r="O3" i="12"/>
  <c r="N3" i="12"/>
  <c r="M3" i="12"/>
  <c r="L3" i="12"/>
  <c r="K3" i="12"/>
  <c r="Q3" i="12" s="1"/>
  <c r="P16" i="11"/>
  <c r="O16" i="11"/>
  <c r="N16" i="11"/>
  <c r="M16" i="11"/>
  <c r="L16" i="11"/>
  <c r="K16" i="11"/>
  <c r="Q16" i="11" s="1"/>
  <c r="P15" i="11"/>
  <c r="O15" i="11"/>
  <c r="N15" i="11"/>
  <c r="M15" i="11"/>
  <c r="L15" i="11"/>
  <c r="K15" i="11"/>
  <c r="Q15" i="11" s="1"/>
  <c r="Q14" i="11"/>
  <c r="P14" i="11"/>
  <c r="O14" i="11"/>
  <c r="N14" i="11"/>
  <c r="M14" i="11"/>
  <c r="L14" i="11"/>
  <c r="K14" i="11"/>
  <c r="P13" i="11"/>
  <c r="O13" i="11"/>
  <c r="N13" i="11"/>
  <c r="M13" i="11"/>
  <c r="L13" i="11"/>
  <c r="Q13" i="11" s="1"/>
  <c r="K13" i="11"/>
  <c r="P12" i="11"/>
  <c r="O12" i="11"/>
  <c r="N12" i="11"/>
  <c r="M12" i="11"/>
  <c r="L12" i="11"/>
  <c r="K12" i="11"/>
  <c r="Q12" i="11" s="1"/>
  <c r="P11" i="11"/>
  <c r="O11" i="11"/>
  <c r="N11" i="11"/>
  <c r="M11" i="11"/>
  <c r="L11" i="11"/>
  <c r="K11" i="11"/>
  <c r="Q11" i="11" s="1"/>
  <c r="P10" i="11"/>
  <c r="O10" i="11"/>
  <c r="N10" i="11"/>
  <c r="M10" i="11"/>
  <c r="Q10" i="11" s="1"/>
  <c r="L10" i="11"/>
  <c r="K10" i="11"/>
  <c r="Q9" i="11"/>
  <c r="P9" i="11"/>
  <c r="O9" i="11"/>
  <c r="N9" i="11"/>
  <c r="M9" i="11"/>
  <c r="L9" i="11"/>
  <c r="K9" i="11"/>
  <c r="P8" i="11"/>
  <c r="O8" i="11"/>
  <c r="N8" i="11"/>
  <c r="M8" i="11"/>
  <c r="L8" i="11"/>
  <c r="K8" i="11"/>
  <c r="Q8" i="11" s="1"/>
  <c r="P7" i="11"/>
  <c r="O7" i="11"/>
  <c r="N7" i="11"/>
  <c r="M7" i="11"/>
  <c r="L7" i="11"/>
  <c r="K7" i="11"/>
  <c r="P6" i="11"/>
  <c r="O6" i="11"/>
  <c r="N6" i="11"/>
  <c r="M6" i="11"/>
  <c r="L6" i="11"/>
  <c r="K6" i="11"/>
  <c r="P5" i="11"/>
  <c r="O5" i="11"/>
  <c r="N5" i="11"/>
  <c r="M5" i="11"/>
  <c r="L5" i="11"/>
  <c r="K5" i="11"/>
  <c r="P4" i="11"/>
  <c r="O4" i="11"/>
  <c r="N4" i="11"/>
  <c r="M4" i="11"/>
  <c r="L4" i="11"/>
  <c r="K4" i="11"/>
  <c r="P3" i="11"/>
  <c r="O3" i="11"/>
  <c r="N3" i="11"/>
  <c r="M3" i="11"/>
  <c r="L3" i="11"/>
  <c r="K3" i="11"/>
  <c r="Q3" i="11" s="1"/>
  <c r="P16" i="10"/>
  <c r="O16" i="10"/>
  <c r="N16" i="10"/>
  <c r="M16" i="10"/>
  <c r="L16" i="10"/>
  <c r="Q16" i="10"/>
  <c r="P15" i="10"/>
  <c r="O15" i="10"/>
  <c r="N15" i="10"/>
  <c r="M15" i="10"/>
  <c r="L15" i="10"/>
  <c r="Q15" i="10"/>
  <c r="P14" i="10"/>
  <c r="O14" i="10"/>
  <c r="N14" i="10"/>
  <c r="M14" i="10"/>
  <c r="L14" i="10"/>
  <c r="Q14" i="10"/>
  <c r="P13" i="10"/>
  <c r="O13" i="10"/>
  <c r="N13" i="10"/>
  <c r="M13" i="10"/>
  <c r="L13" i="10"/>
  <c r="Q13" i="10"/>
  <c r="P12" i="10"/>
  <c r="O12" i="10"/>
  <c r="N12" i="10"/>
  <c r="M12" i="10"/>
  <c r="L12" i="10"/>
  <c r="Q12" i="10" s="1"/>
  <c r="P11" i="10"/>
  <c r="O11" i="10"/>
  <c r="N11" i="10"/>
  <c r="M11" i="10"/>
  <c r="L11" i="10"/>
  <c r="Q11" i="10" s="1"/>
  <c r="P10" i="10"/>
  <c r="O10" i="10"/>
  <c r="N10" i="10"/>
  <c r="M10" i="10"/>
  <c r="L10" i="10"/>
  <c r="Q10" i="10"/>
  <c r="P9" i="10"/>
  <c r="O9" i="10"/>
  <c r="N9" i="10"/>
  <c r="M9" i="10"/>
  <c r="L9" i="10"/>
  <c r="Q9" i="10"/>
  <c r="P8" i="10"/>
  <c r="O8" i="10"/>
  <c r="N8" i="10"/>
  <c r="M8" i="10"/>
  <c r="L8" i="10"/>
  <c r="P6" i="10"/>
  <c r="O6" i="10"/>
  <c r="N6" i="10"/>
  <c r="L6" i="10"/>
  <c r="Q6" i="10"/>
  <c r="P5" i="10"/>
  <c r="O5" i="10"/>
  <c r="N5" i="10"/>
  <c r="M5" i="10"/>
  <c r="L5" i="10"/>
  <c r="Q5" i="10" s="1"/>
  <c r="P4" i="10"/>
  <c r="O4" i="10"/>
  <c r="N4" i="10"/>
  <c r="M4" i="10"/>
  <c r="L4" i="10"/>
  <c r="P3" i="10"/>
  <c r="O3" i="10"/>
  <c r="N3" i="10"/>
  <c r="M3" i="10"/>
  <c r="L3" i="10"/>
  <c r="P16" i="9"/>
  <c r="O16" i="9"/>
  <c r="N16" i="9"/>
  <c r="M16" i="9"/>
  <c r="L16" i="9"/>
  <c r="K16" i="9"/>
  <c r="Q16" i="9" s="1"/>
  <c r="P15" i="9"/>
  <c r="O15" i="9"/>
  <c r="N15" i="9"/>
  <c r="M15" i="9"/>
  <c r="L15" i="9"/>
  <c r="K15" i="9"/>
  <c r="Q15" i="9" s="1"/>
  <c r="P14" i="9"/>
  <c r="O14" i="9"/>
  <c r="N14" i="9"/>
  <c r="M14" i="9"/>
  <c r="L14" i="9"/>
  <c r="K14" i="9"/>
  <c r="Q14" i="9" s="1"/>
  <c r="P13" i="9"/>
  <c r="O13" i="9"/>
  <c r="N13" i="9"/>
  <c r="M13" i="9"/>
  <c r="L13" i="9"/>
  <c r="K13" i="9"/>
  <c r="Q13" i="9" s="1"/>
  <c r="P12" i="9"/>
  <c r="O12" i="9"/>
  <c r="N12" i="9"/>
  <c r="M12" i="9"/>
  <c r="L12" i="9"/>
  <c r="K12" i="9"/>
  <c r="Q12" i="9" s="1"/>
  <c r="P11" i="9"/>
  <c r="O11" i="9"/>
  <c r="N11" i="9"/>
  <c r="M11" i="9"/>
  <c r="L11" i="9"/>
  <c r="K11" i="9"/>
  <c r="Q11" i="9" s="1"/>
  <c r="Q10" i="9"/>
  <c r="P10" i="9"/>
  <c r="O10" i="9"/>
  <c r="N10" i="9"/>
  <c r="M10" i="9"/>
  <c r="L10" i="9"/>
  <c r="K10" i="9"/>
  <c r="P9" i="9"/>
  <c r="O9" i="9"/>
  <c r="N9" i="9"/>
  <c r="M9" i="9"/>
  <c r="L9" i="9"/>
  <c r="Q9" i="9" s="1"/>
  <c r="K9" i="9"/>
  <c r="P8" i="9"/>
  <c r="O8" i="9"/>
  <c r="N8" i="9"/>
  <c r="M8" i="9"/>
  <c r="L8" i="9"/>
  <c r="K8" i="9"/>
  <c r="Q8" i="9" s="1"/>
  <c r="P7" i="9"/>
  <c r="O7" i="9"/>
  <c r="N7" i="9"/>
  <c r="M7" i="9"/>
  <c r="L7" i="9"/>
  <c r="K7" i="9"/>
  <c r="Q7" i="9" s="1"/>
  <c r="P6" i="9"/>
  <c r="O6" i="9"/>
  <c r="N6" i="9"/>
  <c r="M6" i="9"/>
  <c r="L6" i="9"/>
  <c r="K6" i="9"/>
  <c r="P5" i="9"/>
  <c r="O5" i="9"/>
  <c r="N5" i="9"/>
  <c r="M5" i="9"/>
  <c r="L5" i="9"/>
  <c r="K5" i="9"/>
  <c r="P4" i="9"/>
  <c r="O4" i="9"/>
  <c r="N4" i="9"/>
  <c r="M4" i="9"/>
  <c r="L4" i="9"/>
  <c r="K4" i="9"/>
  <c r="Q3" i="9"/>
  <c r="P3" i="9"/>
  <c r="O3" i="9"/>
  <c r="N3" i="9"/>
  <c r="M3" i="9"/>
  <c r="L3" i="9"/>
  <c r="K3" i="9"/>
  <c r="P16" i="8"/>
  <c r="O16" i="8"/>
  <c r="N16" i="8"/>
  <c r="M16" i="8"/>
  <c r="Q16" i="8" s="1"/>
  <c r="L16" i="8"/>
  <c r="K16" i="8"/>
  <c r="P15" i="8"/>
  <c r="Q15" i="8" s="1"/>
  <c r="O15" i="8"/>
  <c r="N15" i="8"/>
  <c r="M15" i="8"/>
  <c r="L15" i="8"/>
  <c r="K15" i="8"/>
  <c r="P14" i="8"/>
  <c r="O14" i="8"/>
  <c r="N14" i="8"/>
  <c r="M14" i="8"/>
  <c r="L14" i="8"/>
  <c r="K14" i="8"/>
  <c r="Q14" i="8" s="1"/>
  <c r="P13" i="8"/>
  <c r="O13" i="8"/>
  <c r="N13" i="8"/>
  <c r="M13" i="8"/>
  <c r="L13" i="8"/>
  <c r="K13" i="8"/>
  <c r="Q13" i="8" s="1"/>
  <c r="P12" i="8"/>
  <c r="O12" i="8"/>
  <c r="N12" i="8"/>
  <c r="M12" i="8"/>
  <c r="L12" i="8"/>
  <c r="K12" i="8"/>
  <c r="Q12" i="8" s="1"/>
  <c r="P11" i="8"/>
  <c r="O11" i="8"/>
  <c r="N11" i="8"/>
  <c r="M11" i="8"/>
  <c r="L11" i="8"/>
  <c r="K11" i="8"/>
  <c r="Q11" i="8" s="1"/>
  <c r="P10" i="8"/>
  <c r="O10" i="8"/>
  <c r="N10" i="8"/>
  <c r="M10" i="8"/>
  <c r="L10" i="8"/>
  <c r="Q10" i="8" s="1"/>
  <c r="K10" i="8"/>
  <c r="P9" i="8"/>
  <c r="O9" i="8"/>
  <c r="N9" i="8"/>
  <c r="M9" i="8"/>
  <c r="L9" i="8"/>
  <c r="K9" i="8"/>
  <c r="Q9" i="8" s="1"/>
  <c r="Q8" i="8"/>
  <c r="P8" i="8"/>
  <c r="O8" i="8"/>
  <c r="N8" i="8"/>
  <c r="M8" i="8"/>
  <c r="L8" i="8"/>
  <c r="K8" i="8"/>
  <c r="P7" i="8"/>
  <c r="O7" i="8"/>
  <c r="N7" i="8"/>
  <c r="M7" i="8"/>
  <c r="L7" i="8"/>
  <c r="Q7" i="8" s="1"/>
  <c r="K7" i="8"/>
  <c r="P6" i="8"/>
  <c r="O6" i="8"/>
  <c r="N6" i="8"/>
  <c r="M6" i="8"/>
  <c r="L6" i="8"/>
  <c r="K6" i="8"/>
  <c r="Q6" i="8" s="1"/>
  <c r="P5" i="8"/>
  <c r="O5" i="8"/>
  <c r="N5" i="8"/>
  <c r="M5" i="8"/>
  <c r="L5" i="8"/>
  <c r="K5" i="8"/>
  <c r="Q5" i="8" s="1"/>
  <c r="P4" i="8"/>
  <c r="O4" i="8"/>
  <c r="N4" i="8"/>
  <c r="M4" i="8"/>
  <c r="L4" i="8"/>
  <c r="K4" i="8"/>
  <c r="P3" i="8"/>
  <c r="O3" i="8"/>
  <c r="N3" i="8"/>
  <c r="M3" i="8"/>
  <c r="L3" i="8"/>
  <c r="P16" i="7"/>
  <c r="O16" i="7"/>
  <c r="N16" i="7"/>
  <c r="M16" i="7"/>
  <c r="L16" i="7"/>
  <c r="K16" i="7"/>
  <c r="P15" i="7"/>
  <c r="O15" i="7"/>
  <c r="N15" i="7"/>
  <c r="M15" i="7"/>
  <c r="L15" i="7"/>
  <c r="K15" i="7"/>
  <c r="P14" i="7"/>
  <c r="O14" i="7"/>
  <c r="N14" i="7"/>
  <c r="M14" i="7"/>
  <c r="L14" i="7"/>
  <c r="K14" i="7"/>
  <c r="P13" i="7"/>
  <c r="O13" i="7"/>
  <c r="N13" i="7"/>
  <c r="M13" i="7"/>
  <c r="L13" i="7"/>
  <c r="K13" i="7"/>
  <c r="P12" i="7"/>
  <c r="O12" i="7"/>
  <c r="N12" i="7"/>
  <c r="M12" i="7"/>
  <c r="L12" i="7"/>
  <c r="K12" i="7"/>
  <c r="P11" i="7"/>
  <c r="O11" i="7"/>
  <c r="N11" i="7"/>
  <c r="M11" i="7"/>
  <c r="L11" i="7"/>
  <c r="K11" i="7"/>
  <c r="P10" i="7"/>
  <c r="O10" i="7"/>
  <c r="N10" i="7"/>
  <c r="M10" i="7"/>
  <c r="L10" i="7"/>
  <c r="K10" i="7"/>
  <c r="P9" i="7"/>
  <c r="O9" i="7"/>
  <c r="N9" i="7"/>
  <c r="M9" i="7"/>
  <c r="L9" i="7"/>
  <c r="K9" i="7"/>
  <c r="P8" i="7"/>
  <c r="O8" i="7"/>
  <c r="N8" i="7"/>
  <c r="M8" i="7"/>
  <c r="L8" i="7"/>
  <c r="K8" i="7"/>
  <c r="P7" i="7"/>
  <c r="Q7" i="7" s="1"/>
  <c r="N7" i="7"/>
  <c r="M7" i="7"/>
  <c r="L7" i="7"/>
  <c r="K7" i="7"/>
  <c r="P6" i="7"/>
  <c r="N6" i="7"/>
  <c r="M6" i="7"/>
  <c r="L6" i="7"/>
  <c r="K6" i="7"/>
  <c r="P5" i="7"/>
  <c r="O5" i="7"/>
  <c r="N5" i="7"/>
  <c r="M5" i="7"/>
  <c r="L5" i="7"/>
  <c r="K5" i="7"/>
  <c r="P4" i="7"/>
  <c r="O4" i="7"/>
  <c r="N4" i="7"/>
  <c r="M4" i="7"/>
  <c r="L4" i="7"/>
  <c r="K4" i="7"/>
  <c r="M3" i="7"/>
  <c r="L3" i="7"/>
  <c r="K3" i="7"/>
  <c r="P16" i="6"/>
  <c r="O16" i="6"/>
  <c r="N16" i="6"/>
  <c r="M16" i="6"/>
  <c r="L16" i="6"/>
  <c r="K16" i="6"/>
  <c r="Q15" i="6"/>
  <c r="P15" i="6"/>
  <c r="O15" i="6"/>
  <c r="N15" i="6"/>
  <c r="M15" i="6"/>
  <c r="L15" i="6"/>
  <c r="K15" i="6"/>
  <c r="P14" i="6"/>
  <c r="O14" i="6"/>
  <c r="N14" i="6"/>
  <c r="M14" i="6"/>
  <c r="L14" i="6"/>
  <c r="K14" i="6"/>
  <c r="Q14" i="6" s="1"/>
  <c r="P13" i="6"/>
  <c r="O13" i="6"/>
  <c r="N13" i="6"/>
  <c r="M13" i="6"/>
  <c r="L13" i="6"/>
  <c r="K13" i="6"/>
  <c r="Q13" i="6" s="1"/>
  <c r="P12" i="6"/>
  <c r="O12" i="6"/>
  <c r="N12" i="6"/>
  <c r="M12" i="6"/>
  <c r="L12" i="6"/>
  <c r="K12" i="6"/>
  <c r="P11" i="6"/>
  <c r="O11" i="6"/>
  <c r="N11" i="6"/>
  <c r="M11" i="6"/>
  <c r="L11" i="6"/>
  <c r="K11" i="6"/>
  <c r="P10" i="6"/>
  <c r="O10" i="6"/>
  <c r="N10" i="6"/>
  <c r="M10" i="6"/>
  <c r="L10" i="6"/>
  <c r="K10" i="6"/>
  <c r="Q10" i="6" s="1"/>
  <c r="P9" i="6"/>
  <c r="O9" i="6"/>
  <c r="N9" i="6"/>
  <c r="M9" i="6"/>
  <c r="L9" i="6"/>
  <c r="K9" i="6"/>
  <c r="Q9" i="6" s="1"/>
  <c r="P8" i="6"/>
  <c r="O8" i="6"/>
  <c r="N8" i="6"/>
  <c r="M8" i="6"/>
  <c r="L8" i="6"/>
  <c r="K8" i="6"/>
  <c r="P7" i="6"/>
  <c r="O7" i="6"/>
  <c r="N7" i="6"/>
  <c r="M7" i="6"/>
  <c r="L7" i="6"/>
  <c r="K7" i="6"/>
  <c r="P6" i="6"/>
  <c r="O6" i="6"/>
  <c r="N6" i="6"/>
  <c r="M6" i="6"/>
  <c r="L6" i="6"/>
  <c r="K6" i="6"/>
  <c r="P5" i="6"/>
  <c r="O5" i="6"/>
  <c r="N5" i="6"/>
  <c r="M5" i="6"/>
  <c r="L5" i="6"/>
  <c r="K5" i="6"/>
  <c r="P4" i="6"/>
  <c r="O4" i="6"/>
  <c r="N4" i="6"/>
  <c r="M4" i="6"/>
  <c r="L4" i="6"/>
  <c r="P3" i="6"/>
  <c r="O3" i="6"/>
  <c r="N3" i="6"/>
  <c r="M3" i="6"/>
  <c r="L3" i="6"/>
  <c r="K3" i="6"/>
  <c r="P16" i="5"/>
  <c r="O16" i="5"/>
  <c r="N16" i="5"/>
  <c r="M16" i="5"/>
  <c r="L16" i="5"/>
  <c r="K16" i="5"/>
  <c r="P15" i="5"/>
  <c r="O15" i="5"/>
  <c r="N15" i="5"/>
  <c r="M15" i="5"/>
  <c r="L15" i="5"/>
  <c r="K15" i="5"/>
  <c r="P14" i="5"/>
  <c r="O14" i="5"/>
  <c r="N14" i="5"/>
  <c r="M14" i="5"/>
  <c r="L14" i="5"/>
  <c r="K14" i="5"/>
  <c r="P13" i="5"/>
  <c r="O13" i="5"/>
  <c r="N13" i="5"/>
  <c r="M13" i="5"/>
  <c r="L13" i="5"/>
  <c r="K13" i="5"/>
  <c r="P12" i="5"/>
  <c r="O12" i="5"/>
  <c r="N12" i="5"/>
  <c r="M12" i="5"/>
  <c r="L12" i="5"/>
  <c r="K12" i="5"/>
  <c r="P11" i="5"/>
  <c r="O11" i="5"/>
  <c r="N11" i="5"/>
  <c r="M11" i="5"/>
  <c r="L11" i="5"/>
  <c r="K11" i="5"/>
  <c r="P10" i="5"/>
  <c r="O10" i="5"/>
  <c r="N10" i="5"/>
  <c r="M10" i="5"/>
  <c r="L10" i="5"/>
  <c r="K10" i="5"/>
  <c r="P9" i="5"/>
  <c r="O9" i="5"/>
  <c r="N9" i="5"/>
  <c r="M9" i="5"/>
  <c r="K9" i="5"/>
  <c r="P8" i="5"/>
  <c r="O8" i="5"/>
  <c r="N8" i="5"/>
  <c r="P7" i="5"/>
  <c r="O7" i="5"/>
  <c r="N7" i="5"/>
  <c r="M7" i="5"/>
  <c r="Q7" i="5"/>
  <c r="P6" i="5"/>
  <c r="O6" i="5"/>
  <c r="N6" i="5"/>
  <c r="M6" i="5"/>
  <c r="K6" i="5"/>
  <c r="O5" i="5"/>
  <c r="N5" i="5"/>
  <c r="M5" i="5"/>
  <c r="L5" i="5"/>
  <c r="K5" i="5"/>
  <c r="P4" i="5"/>
  <c r="O4" i="5"/>
  <c r="N4" i="5"/>
  <c r="M4" i="5"/>
  <c r="L4" i="5"/>
  <c r="K4" i="5"/>
  <c r="P3" i="5"/>
  <c r="O3" i="5"/>
  <c r="N3" i="5"/>
  <c r="M3" i="5"/>
  <c r="L3" i="5"/>
  <c r="K3" i="5"/>
  <c r="P16" i="4"/>
  <c r="O16" i="4"/>
  <c r="N16" i="4"/>
  <c r="M16" i="4"/>
  <c r="L16" i="4"/>
  <c r="K16" i="4"/>
  <c r="P15" i="4"/>
  <c r="O15" i="4"/>
  <c r="N15" i="4"/>
  <c r="M15" i="4"/>
  <c r="L15" i="4"/>
  <c r="K15" i="4"/>
  <c r="P14" i="4"/>
  <c r="O14" i="4"/>
  <c r="N14" i="4"/>
  <c r="M14" i="4"/>
  <c r="L14" i="4"/>
  <c r="K14" i="4"/>
  <c r="P13" i="4"/>
  <c r="O13" i="4"/>
  <c r="N13" i="4"/>
  <c r="M13" i="4"/>
  <c r="L13" i="4"/>
  <c r="K13" i="4"/>
  <c r="Q13" i="4" s="1"/>
  <c r="P12" i="4"/>
  <c r="O12" i="4"/>
  <c r="N12" i="4"/>
  <c r="M12" i="4"/>
  <c r="L12" i="4"/>
  <c r="K12" i="4"/>
  <c r="P11" i="4"/>
  <c r="O11" i="4"/>
  <c r="N11" i="4"/>
  <c r="M11" i="4"/>
  <c r="L11" i="4"/>
  <c r="K11" i="4"/>
  <c r="Q11" i="4" s="1"/>
  <c r="P10" i="4"/>
  <c r="O10" i="4"/>
  <c r="N10" i="4"/>
  <c r="M10" i="4"/>
  <c r="L10" i="4"/>
  <c r="K10" i="4"/>
  <c r="P9" i="4"/>
  <c r="O9" i="4"/>
  <c r="N9" i="4"/>
  <c r="M9" i="4"/>
  <c r="L9" i="4"/>
  <c r="K9" i="4"/>
  <c r="P8" i="4"/>
  <c r="O8" i="4"/>
  <c r="N8" i="4"/>
  <c r="M8" i="4"/>
  <c r="L8" i="4"/>
  <c r="P7" i="4"/>
  <c r="O7" i="4"/>
  <c r="N7" i="4"/>
  <c r="M7" i="4"/>
  <c r="L7" i="4"/>
  <c r="K7" i="4"/>
  <c r="P6" i="4"/>
  <c r="O6" i="4"/>
  <c r="N6" i="4"/>
  <c r="M6" i="4"/>
  <c r="L6" i="4"/>
  <c r="K6" i="4"/>
  <c r="P5" i="4"/>
  <c r="O5" i="4"/>
  <c r="N5" i="4"/>
  <c r="M5" i="4"/>
  <c r="L5" i="4"/>
  <c r="K5" i="4"/>
  <c r="P4" i="4"/>
  <c r="O4" i="4"/>
  <c r="N4" i="4"/>
  <c r="M4" i="4"/>
  <c r="L4" i="4"/>
  <c r="K4" i="4"/>
  <c r="P3" i="4"/>
  <c r="O3" i="4"/>
  <c r="N3" i="4"/>
  <c r="M3" i="4"/>
  <c r="L3" i="4"/>
  <c r="K3" i="4"/>
  <c r="Q3" i="4" s="1"/>
  <c r="P16" i="3"/>
  <c r="O16" i="3"/>
  <c r="M16" i="3"/>
  <c r="L16" i="3"/>
  <c r="Q16" i="3" s="1"/>
  <c r="K16" i="3"/>
  <c r="P15" i="3"/>
  <c r="O15" i="3"/>
  <c r="M15" i="3"/>
  <c r="L15" i="3"/>
  <c r="K15" i="3"/>
  <c r="Q15" i="3" s="1"/>
  <c r="Q14" i="3"/>
  <c r="P14" i="3"/>
  <c r="O14" i="3"/>
  <c r="M14" i="3"/>
  <c r="L14" i="3"/>
  <c r="K14" i="3"/>
  <c r="P13" i="3"/>
  <c r="O13" i="3"/>
  <c r="M13" i="3"/>
  <c r="L13" i="3"/>
  <c r="Q13" i="3" s="1"/>
  <c r="K13" i="3"/>
  <c r="P12" i="3"/>
  <c r="O12" i="3"/>
  <c r="M12" i="3"/>
  <c r="L12" i="3"/>
  <c r="K12" i="3"/>
  <c r="Q12" i="3" s="1"/>
  <c r="P11" i="3"/>
  <c r="O11" i="3"/>
  <c r="M11" i="3"/>
  <c r="L11" i="3"/>
  <c r="K11" i="3"/>
  <c r="Q11" i="3" s="1"/>
  <c r="P10" i="3"/>
  <c r="O10" i="3"/>
  <c r="M10" i="3"/>
  <c r="L10" i="3"/>
  <c r="K10" i="3"/>
  <c r="P9" i="3"/>
  <c r="O9" i="3"/>
  <c r="M9" i="3"/>
  <c r="L9" i="3"/>
  <c r="K9" i="3"/>
  <c r="P8" i="3"/>
  <c r="O8" i="3"/>
  <c r="M8" i="3"/>
  <c r="L8" i="3"/>
  <c r="K8" i="3"/>
  <c r="Q8" i="3" s="1"/>
  <c r="P7" i="3"/>
  <c r="O7" i="3"/>
  <c r="M7" i="3"/>
  <c r="L7" i="3"/>
  <c r="K7" i="3"/>
  <c r="Q7" i="3" s="1"/>
  <c r="P6" i="3"/>
  <c r="O6" i="3"/>
  <c r="M6" i="3"/>
  <c r="L6" i="3"/>
  <c r="K6" i="3"/>
  <c r="P5" i="3"/>
  <c r="O5" i="3"/>
  <c r="M5" i="3"/>
  <c r="L5" i="3"/>
  <c r="K5" i="3"/>
  <c r="Q4" i="3"/>
  <c r="P3" i="3"/>
  <c r="O3" i="3"/>
  <c r="N3" i="3"/>
  <c r="M3" i="3"/>
  <c r="L3" i="3"/>
  <c r="K3" i="3"/>
  <c r="Q3" i="3" s="1"/>
  <c r="P16" i="2"/>
  <c r="O16" i="2"/>
  <c r="N16" i="2"/>
  <c r="M16" i="2"/>
  <c r="L16" i="2"/>
  <c r="K16" i="2"/>
  <c r="Q16" i="2" s="1"/>
  <c r="P15" i="2"/>
  <c r="O15" i="2"/>
  <c r="N15" i="2"/>
  <c r="M15" i="2"/>
  <c r="L15" i="2"/>
  <c r="K15" i="2"/>
  <c r="Q15" i="2" s="1"/>
  <c r="P14" i="2"/>
  <c r="O14" i="2"/>
  <c r="N14" i="2"/>
  <c r="M14" i="2"/>
  <c r="L14" i="2"/>
  <c r="Q14" i="2" s="1"/>
  <c r="K14" i="2"/>
  <c r="P13" i="2"/>
  <c r="O13" i="2"/>
  <c r="N13" i="2"/>
  <c r="M13" i="2"/>
  <c r="L13" i="2"/>
  <c r="K13" i="2"/>
  <c r="Q13" i="2" s="1"/>
  <c r="Q12" i="2"/>
  <c r="P12" i="2"/>
  <c r="O12" i="2"/>
  <c r="N12" i="2"/>
  <c r="M12" i="2"/>
  <c r="L12" i="2"/>
  <c r="K12" i="2"/>
  <c r="P11" i="2"/>
  <c r="O11" i="2"/>
  <c r="N11" i="2"/>
  <c r="M11" i="2"/>
  <c r="L11" i="2"/>
  <c r="K11" i="2"/>
  <c r="Q11" i="2" s="1"/>
  <c r="P10" i="2"/>
  <c r="O10" i="2"/>
  <c r="N10" i="2"/>
  <c r="M10" i="2"/>
  <c r="L10" i="2"/>
  <c r="K10" i="2"/>
  <c r="Q10" i="2" s="1"/>
  <c r="P9" i="2"/>
  <c r="O9" i="2"/>
  <c r="N9" i="2"/>
  <c r="M9" i="2"/>
  <c r="L9" i="2"/>
  <c r="P8" i="2"/>
  <c r="O8" i="2"/>
  <c r="N8" i="2"/>
  <c r="M8" i="2"/>
  <c r="L8" i="2"/>
  <c r="K8" i="2"/>
  <c r="P7" i="2"/>
  <c r="O7" i="2"/>
  <c r="N7" i="2"/>
  <c r="M7" i="2"/>
  <c r="L7" i="2"/>
  <c r="K7" i="2"/>
  <c r="Q7" i="2" s="1"/>
  <c r="P6" i="2"/>
  <c r="O6" i="2"/>
  <c r="N6" i="2"/>
  <c r="M6" i="2"/>
  <c r="L6" i="2"/>
  <c r="K6" i="2"/>
  <c r="Q6" i="2" s="1"/>
  <c r="P5" i="2"/>
  <c r="O5" i="2"/>
  <c r="N5" i="2"/>
  <c r="M5" i="2"/>
  <c r="L5" i="2"/>
  <c r="K5" i="2"/>
  <c r="O4" i="2"/>
  <c r="N4" i="2"/>
  <c r="M4" i="2"/>
  <c r="L4" i="2"/>
  <c r="K4" i="2"/>
  <c r="P3" i="2"/>
  <c r="Q3" i="2" s="1"/>
  <c r="O3" i="2"/>
  <c r="N3" i="2"/>
  <c r="M3" i="2"/>
  <c r="L3" i="2"/>
  <c r="K3" i="2"/>
  <c r="Q4" i="69" l="1"/>
  <c r="Q7" i="29"/>
  <c r="Q13" i="29"/>
  <c r="Q15" i="29"/>
  <c r="Q3" i="29"/>
  <c r="Q8" i="29"/>
  <c r="Q11" i="30"/>
  <c r="Q10" i="29"/>
  <c r="Q11" i="28"/>
  <c r="Q4" i="44"/>
  <c r="Q4" i="48"/>
  <c r="Q15" i="39"/>
  <c r="Q14" i="39"/>
  <c r="Q13" i="39"/>
  <c r="Q12" i="39"/>
  <c r="Q10" i="39"/>
  <c r="Q8" i="39"/>
  <c r="Q6" i="39"/>
  <c r="Q5" i="39"/>
  <c r="Q5" i="40"/>
  <c r="Q10" i="40"/>
  <c r="Q12" i="40"/>
  <c r="Q4" i="39"/>
  <c r="Q11" i="31"/>
  <c r="Q8" i="16"/>
  <c r="Q12" i="5"/>
  <c r="Q15" i="5"/>
  <c r="Q7" i="15"/>
  <c r="Q8" i="14"/>
  <c r="Q10" i="32"/>
  <c r="Q9" i="29"/>
  <c r="Q10" i="28"/>
  <c r="Q10" i="26"/>
  <c r="Q10" i="25"/>
  <c r="Q3" i="66"/>
  <c r="Q4" i="59"/>
  <c r="Q3" i="65"/>
  <c r="Q3" i="64"/>
  <c r="Q10" i="31"/>
  <c r="Q3" i="48"/>
  <c r="Q3" i="43"/>
  <c r="Q3" i="51"/>
  <c r="Q3" i="38"/>
  <c r="Q3" i="46"/>
  <c r="Q3" i="41"/>
  <c r="Q3" i="54"/>
  <c r="Q3" i="49"/>
  <c r="Q3" i="57"/>
  <c r="Q3" i="52"/>
  <c r="Q3" i="47"/>
  <c r="Q3" i="39"/>
  <c r="Q3" i="42"/>
  <c r="Q3" i="55"/>
  <c r="Q3" i="50"/>
  <c r="Q3" i="40"/>
  <c r="Q3" i="45"/>
  <c r="Q3" i="53"/>
  <c r="Q5" i="60"/>
  <c r="Q6" i="60"/>
  <c r="Q8" i="37"/>
  <c r="Q11" i="37"/>
  <c r="Q13" i="37"/>
  <c r="Q15" i="37"/>
  <c r="Q14" i="37"/>
  <c r="Q12" i="37"/>
  <c r="Q10" i="37"/>
  <c r="Q6" i="37"/>
  <c r="Q5" i="37"/>
  <c r="Q3" i="37"/>
  <c r="Q7" i="11"/>
  <c r="Q3" i="18"/>
  <c r="Q8" i="18"/>
  <c r="Q11" i="18"/>
  <c r="Q5" i="18"/>
  <c r="Q8" i="10"/>
  <c r="Q4" i="8"/>
  <c r="Q8" i="12"/>
  <c r="Q14" i="34"/>
  <c r="Q15" i="34"/>
  <c r="Q8" i="27"/>
  <c r="Q9" i="28"/>
  <c r="Q9" i="13"/>
  <c r="Q6" i="11"/>
  <c r="Q12" i="4"/>
  <c r="Q16" i="4"/>
  <c r="Q9" i="5"/>
  <c r="Q11" i="5"/>
  <c r="Q13" i="5"/>
  <c r="Q14" i="5"/>
  <c r="Q3" i="24"/>
  <c r="Q14" i="24"/>
  <c r="Q15" i="24"/>
  <c r="Q6" i="24"/>
  <c r="Q3" i="26"/>
  <c r="Q4" i="26"/>
  <c r="Q12" i="26"/>
  <c r="Q6" i="9"/>
  <c r="Q5" i="9"/>
  <c r="Q6" i="3"/>
  <c r="Q6" i="35"/>
  <c r="Q5" i="30"/>
  <c r="Q5" i="29"/>
  <c r="Q5" i="27"/>
  <c r="Q6" i="25"/>
  <c r="Q5" i="15"/>
  <c r="Q9" i="21"/>
  <c r="Q10" i="21"/>
  <c r="Q14" i="21"/>
  <c r="Q12" i="22"/>
  <c r="Q13" i="22"/>
  <c r="Q5" i="21"/>
  <c r="Q12" i="23"/>
  <c r="Q15" i="23"/>
  <c r="Q5" i="28"/>
  <c r="Q4" i="30"/>
  <c r="Q5" i="26"/>
  <c r="Q5" i="25"/>
  <c r="Q4" i="29"/>
  <c r="Q4" i="27"/>
  <c r="Q4" i="36"/>
  <c r="Q4" i="21"/>
  <c r="Q4" i="23"/>
  <c r="Q4" i="24"/>
  <c r="Q4" i="22"/>
  <c r="Q4" i="15"/>
  <c r="Q4" i="20"/>
  <c r="Q10" i="5"/>
  <c r="Q6" i="4"/>
  <c r="Q14" i="4"/>
  <c r="Q16" i="5"/>
  <c r="Q3" i="5"/>
  <c r="Q6" i="5"/>
  <c r="Q15" i="4"/>
  <c r="Q4" i="9"/>
  <c r="Q5" i="6"/>
  <c r="Q5" i="5"/>
  <c r="Q5" i="11"/>
  <c r="Q5" i="4"/>
  <c r="Q4" i="35"/>
  <c r="Q4" i="34"/>
  <c r="Q6" i="34"/>
  <c r="Q9" i="34"/>
  <c r="Q10" i="34"/>
  <c r="Q11" i="34"/>
  <c r="Q4" i="33"/>
  <c r="Q13" i="32"/>
  <c r="Q16" i="32"/>
  <c r="Q3" i="32"/>
  <c r="Q4" i="32"/>
  <c r="Q5" i="32"/>
  <c r="Q3" i="10"/>
  <c r="Q4" i="10"/>
  <c r="Q4" i="14"/>
  <c r="Q4" i="13"/>
  <c r="Q4" i="11"/>
  <c r="Q6" i="16"/>
  <c r="Q5" i="16"/>
  <c r="Q4" i="16"/>
  <c r="Q15" i="7"/>
  <c r="Q10" i="7"/>
  <c r="Q12" i="7"/>
  <c r="Q9" i="7"/>
  <c r="Q4" i="6"/>
  <c r="Q4" i="7"/>
  <c r="Q16" i="7"/>
  <c r="Q11" i="7"/>
  <c r="Q14" i="7"/>
  <c r="Q3" i="7"/>
  <c r="Q3" i="6"/>
  <c r="Q5" i="7"/>
  <c r="Q6" i="6"/>
  <c r="Q8" i="7"/>
  <c r="Q12" i="6"/>
  <c r="Q13" i="7"/>
  <c r="Q16" i="6"/>
  <c r="Q11" i="6"/>
  <c r="Q4" i="4"/>
  <c r="Q3" i="21"/>
  <c r="Q4" i="12"/>
  <c r="Q4" i="2"/>
  <c r="Q4" i="31"/>
  <c r="Q4" i="28"/>
  <c r="Q4" i="5"/>
  <c r="Q5" i="3"/>
</calcChain>
</file>

<file path=xl/sharedStrings.xml><?xml version="1.0" encoding="utf-8"?>
<sst xmlns="http://schemas.openxmlformats.org/spreadsheetml/2006/main" count="1507" uniqueCount="184">
  <si>
    <t>Date</t>
  </si>
  <si>
    <t>IC Number</t>
  </si>
  <si>
    <t>Channel</t>
  </si>
  <si>
    <t>Difference from theoretical potential measured at different resistances [%]</t>
  </si>
  <si>
    <t>Note</t>
  </si>
  <si>
    <t>x</t>
  </si>
  <si>
    <t>1-1</t>
  </si>
  <si>
    <t>copper clips</t>
  </si>
  <si>
    <t>IC1827</t>
  </si>
  <si>
    <t>1-2</t>
  </si>
  <si>
    <t>1-3</t>
  </si>
  <si>
    <t>1-5</t>
  </si>
  <si>
    <t>out of order</t>
  </si>
  <si>
    <t>1-6</t>
  </si>
  <si>
    <t>1-7</t>
  </si>
  <si>
    <t>1-8</t>
  </si>
  <si>
    <t>2-1</t>
  </si>
  <si>
    <t>2-2</t>
  </si>
  <si>
    <t>2-3</t>
  </si>
  <si>
    <t>IC0649</t>
  </si>
  <si>
    <t>2-4</t>
  </si>
  <si>
    <t>IC0679</t>
  </si>
  <si>
    <t>2-5</t>
  </si>
  <si>
    <t>IC1829</t>
  </si>
  <si>
    <t>2-6</t>
  </si>
  <si>
    <t>IC0787</t>
  </si>
  <si>
    <t>2-7</t>
  </si>
  <si>
    <t>IC1789</t>
  </si>
  <si>
    <t>2-8</t>
  </si>
  <si>
    <t>IC0621</t>
  </si>
  <si>
    <t>3-1</t>
  </si>
  <si>
    <t>3-2</t>
  </si>
  <si>
    <t>3-3</t>
  </si>
  <si>
    <t>3-4</t>
  </si>
  <si>
    <t>3-5</t>
  </si>
  <si>
    <t>IC1767</t>
  </si>
  <si>
    <t>3-6</t>
  </si>
  <si>
    <t>IC0782</t>
  </si>
  <si>
    <t>3-7</t>
  </si>
  <si>
    <t>3-8</t>
  </si>
  <si>
    <t>4-1</t>
  </si>
  <si>
    <t>4-2</t>
  </si>
  <si>
    <t>4-3</t>
  </si>
  <si>
    <t>4-4</t>
  </si>
  <si>
    <t>4-5</t>
  </si>
  <si>
    <t>4-6</t>
  </si>
  <si>
    <t>5-1</t>
  </si>
  <si>
    <t>5-3</t>
  </si>
  <si>
    <t>IC1008</t>
  </si>
  <si>
    <t>5-4</t>
  </si>
  <si>
    <t>5-5</t>
  </si>
  <si>
    <t>5-7</t>
  </si>
  <si>
    <t>5-8</t>
  </si>
  <si>
    <t>6-1</t>
  </si>
  <si>
    <t>6-2</t>
  </si>
  <si>
    <t>6-3</t>
  </si>
  <si>
    <t>6-4</t>
  </si>
  <si>
    <t>6-5</t>
  </si>
  <si>
    <t>6-6</t>
  </si>
  <si>
    <t>6-7</t>
  </si>
  <si>
    <t>6-8</t>
  </si>
  <si>
    <t>7-1</t>
  </si>
  <si>
    <t>7-2</t>
  </si>
  <si>
    <t>7-3</t>
  </si>
  <si>
    <t>7-4</t>
  </si>
  <si>
    <t>7-5</t>
  </si>
  <si>
    <t>7-6</t>
  </si>
  <si>
    <t>7-7</t>
  </si>
  <si>
    <t>7-8</t>
  </si>
  <si>
    <t>8-1</t>
  </si>
  <si>
    <t>8-2</t>
  </si>
  <si>
    <t>8-3</t>
  </si>
  <si>
    <t>8-4</t>
  </si>
  <si>
    <t>8-5</t>
  </si>
  <si>
    <t>8-6</t>
  </si>
  <si>
    <t>8-7</t>
  </si>
  <si>
    <t>8-8</t>
  </si>
  <si>
    <t>Lab 1-1</t>
  </si>
  <si>
    <t>Lab 1-2</t>
  </si>
  <si>
    <t>Lab 1-3</t>
  </si>
  <si>
    <t>Lab 1-4</t>
  </si>
  <si>
    <t>Lab 1-5</t>
  </si>
  <si>
    <t>Lab 1-6</t>
  </si>
  <si>
    <t>Lab 1-7</t>
  </si>
  <si>
    <t>Lab 1-8</t>
  </si>
  <si>
    <t>IC number</t>
  </si>
  <si>
    <t>Measured by</t>
  </si>
  <si>
    <t>Applied current [A]</t>
  </si>
  <si>
    <t>Measured potential by the nominal value of resistance [ohm]</t>
  </si>
  <si>
    <t>Difference from theoretical value [mV]</t>
  </si>
  <si>
    <t>Approved?</t>
  </si>
  <si>
    <t>ΔV [%] 1.0</t>
  </si>
  <si>
    <t>ΔV [%] 1.5</t>
  </si>
  <si>
    <t>ΔV [%] 2.0</t>
  </si>
  <si>
    <t>ΔV [%] 3.3</t>
  </si>
  <si>
    <t>ΔV [%] 4.0</t>
  </si>
  <si>
    <t>ΔV [%] 5.0</t>
  </si>
  <si>
    <t>old clips</t>
  </si>
  <si>
    <t>Aleksandra</t>
  </si>
  <si>
    <t>Old clips</t>
  </si>
  <si>
    <t>Akos</t>
  </si>
  <si>
    <t>Carmine/Daniel</t>
  </si>
  <si>
    <t>Aleksandra/Carmine</t>
  </si>
  <si>
    <t>Carmine</t>
  </si>
  <si>
    <t>Marcus/Daniel</t>
  </si>
  <si>
    <t>29/05/2026</t>
  </si>
  <si>
    <t>Marcus/Tamas</t>
  </si>
  <si>
    <t>Balázs</t>
  </si>
  <si>
    <t>new clips copper</t>
  </si>
  <si>
    <t>carmine</t>
  </si>
  <si>
    <t>New 4 wire clips</t>
  </si>
  <si>
    <t>IC1823</t>
  </si>
  <si>
    <t>Ola/Frederik</t>
  </si>
  <si>
    <t>Neware gold clips</t>
  </si>
  <si>
    <t>Aleksandra + Carmine</t>
  </si>
  <si>
    <t>Carmine/Oniel</t>
  </si>
  <si>
    <t>Difference from theoretical value</t>
  </si>
  <si>
    <t>4 clips (not copper)</t>
  </si>
  <si>
    <t>Ola + Tamas</t>
  </si>
  <si>
    <t>X</t>
  </si>
  <si>
    <t>Tamás/Emil</t>
  </si>
  <si>
    <t>Daniel + Bardia</t>
  </si>
  <si>
    <t>16/06/2026</t>
  </si>
  <si>
    <t>Oniel+Marcus</t>
  </si>
  <si>
    <t>16/02/2026</t>
  </si>
  <si>
    <t>Bardia+Daniel</t>
  </si>
  <si>
    <t>Bardia + Carmine</t>
  </si>
  <si>
    <t>Peter Hilt</t>
  </si>
  <si>
    <t>Nerea</t>
  </si>
  <si>
    <t>IC0617</t>
  </si>
  <si>
    <t>Bardia/Ola</t>
  </si>
  <si>
    <t>Daniel</t>
  </si>
  <si>
    <t>IC0623</t>
  </si>
  <si>
    <t>IC0680</t>
  </si>
  <si>
    <t>Marcus</t>
  </si>
  <si>
    <t>Emil/Frederik</t>
  </si>
  <si>
    <t>IC0622</t>
  </si>
  <si>
    <t>IC0667</t>
  </si>
  <si>
    <t>IC0688</t>
  </si>
  <si>
    <t>IC0786</t>
  </si>
  <si>
    <t>Ola</t>
  </si>
  <si>
    <t>IC0620</t>
  </si>
  <si>
    <t>Tosia + Ola</t>
  </si>
  <si>
    <t>IC0619</t>
  </si>
  <si>
    <t>IC0618</t>
  </si>
  <si>
    <t>IC0689</t>
  </si>
  <si>
    <t>IC0788</t>
  </si>
  <si>
    <t>Carmine/Peter</t>
  </si>
  <si>
    <t>IC0690</t>
  </si>
  <si>
    <t>13/01/2026</t>
  </si>
  <si>
    <t>Oniel</t>
  </si>
  <si>
    <t>IC0691</t>
  </si>
  <si>
    <t>IC0692</t>
  </si>
  <si>
    <t>30/03/2026</t>
  </si>
  <si>
    <t>Marcus/Oniel</t>
  </si>
  <si>
    <t>IC0693</t>
  </si>
  <si>
    <t>IC0783</t>
  </si>
  <si>
    <t>IC632</t>
  </si>
  <si>
    <t>16/06/2025</t>
  </si>
  <si>
    <t>28/07/2025</t>
  </si>
  <si>
    <t>Oniel/Daniel</t>
  </si>
  <si>
    <t>-</t>
  </si>
  <si>
    <t>22/10/2025</t>
  </si>
  <si>
    <t>IC1009</t>
  </si>
  <si>
    <t>Tamas/Aleksandra</t>
  </si>
  <si>
    <t>28/05/2026</t>
  </si>
  <si>
    <t>Tamas/Daniel</t>
  </si>
  <si>
    <t>IC0615</t>
  </si>
  <si>
    <t>18/06/2025</t>
  </si>
  <si>
    <t>IC1010</t>
  </si>
  <si>
    <t>IC0639</t>
  </si>
  <si>
    <t>IC0629</t>
  </si>
  <si>
    <t>Oniel/Tamas</t>
  </si>
  <si>
    <t>Gergo and Nerea</t>
  </si>
  <si>
    <t>Tamas</t>
  </si>
  <si>
    <t>IC0640</t>
  </si>
  <si>
    <t>Marcus/Aleksandra</t>
  </si>
  <si>
    <t>20/05/2026</t>
  </si>
  <si>
    <t>Bardia and Carmine</t>
  </si>
  <si>
    <t>IC0616</t>
  </si>
  <si>
    <t>Tamás</t>
  </si>
  <si>
    <t>Emil</t>
  </si>
  <si>
    <t>Dániel/Tamás</t>
  </si>
  <si>
    <t>Tamas, Tosia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</si>
</sst>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00"/>
    <numFmt numFmtId="165" formatCode="#,##0.00000"/>
    <numFmt numFmtId="166" formatCode="#,##0.000"/>
    <numFmt numFmtId="167" formatCode="0.0000"/>
    <numFmt numFmtId="168" formatCode="yyyy\-mm\-dd;@"/>
    <numFmt numFmtId="169" formatCode="dd/mm/yyyy;@"/>
    <numFmt numFmtId="170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4" fontId="0" fillId="0" borderId="2" xfId="0" applyNumberForma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49" fontId="0" fillId="0" borderId="1" xfId="0" applyNumberFormat="1" applyBorder="1" applyAlignment="1" applyProtection="1">
      <alignment horizontal="center" vertical="center"/>
      <protection locked="0"/>
    </xf>
    <xf numFmtId="2" fontId="0" fillId="0" borderId="1" xfId="0" applyNumberFormat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8" fontId="0" fillId="0" borderId="2" xfId="0" applyNumberFormat="1" applyBorder="1" applyAlignment="1" applyProtection="1">
      <alignment horizontal="center" vertical="center"/>
      <protection locked="0"/>
    </xf>
    <xf numFmtId="14" fontId="0" fillId="0" borderId="0" xfId="0" applyNumberFormat="1" applyAlignment="1">
      <alignment horizontal="center" vertical="center"/>
    </xf>
    <xf numFmtId="169" fontId="0" fillId="0" borderId="2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4" fontId="0" fillId="0" borderId="1" xfId="0" applyNumberFormat="1" applyBorder="1" applyAlignment="1" applyProtection="1">
      <alignment horizontal="center" vertical="center"/>
      <protection locked="0"/>
    </xf>
    <xf numFmtId="0" fontId="3" fillId="0" borderId="0" xfId="0" applyFont="1"/>
    <xf numFmtId="170" fontId="0" fillId="0" borderId="1" xfId="0" applyNumberFormat="1" applyBorder="1" applyAlignment="1">
      <alignment horizontal="center" vertical="center"/>
    </xf>
    <xf numFmtId="170" fontId="3" fillId="0" borderId="0" xfId="0" applyNumberFormat="1" applyFont="1"/>
    <xf numFmtId="170" fontId="0" fillId="0" borderId="0" xfId="0" applyNumberFormat="1"/>
    <xf numFmtId="167" fontId="0" fillId="0" borderId="0" xfId="0" applyNumberFormat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8" fontId="0" fillId="0" borderId="0" xfId="0" applyNumberFormat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0" fontId="0" fillId="2" borderId="17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8" fontId="4" fillId="3" borderId="2" xfId="0" applyNumberFormat="1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 vertical="center"/>
      <protection locked="0"/>
    </xf>
    <xf numFmtId="49" fontId="4" fillId="3" borderId="1" xfId="0" applyNumberFormat="1" applyFont="1" applyFill="1" applyBorder="1" applyAlignment="1" applyProtection="1">
      <alignment horizontal="center" vertical="center"/>
      <protection locked="0"/>
    </xf>
    <xf numFmtId="2" fontId="4" fillId="3" borderId="1" xfId="0" applyNumberFormat="1" applyFont="1" applyFill="1" applyBorder="1" applyAlignment="1" applyProtection="1">
      <alignment horizontal="center" vertical="center"/>
      <protection locked="0"/>
    </xf>
    <xf numFmtId="2" fontId="4" fillId="3" borderId="2" xfId="0" applyNumberFormat="1" applyFont="1" applyFill="1" applyBorder="1" applyAlignment="1" applyProtection="1">
      <alignment horizontal="center" vertical="center"/>
      <protection locked="0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6" fontId="0" fillId="0" borderId="1" xfId="0" applyNumberForma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/>
    </xf>
    <xf numFmtId="0" fontId="7" fillId="0" borderId="1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>
      <alignment horizontal="center" vertical="center"/>
    </xf>
    <xf numFmtId="0" fontId="0" fillId="0" borderId="13" xfId="0" applyBorder="1"/>
    <xf numFmtId="0" fontId="1" fillId="0" borderId="3" xfId="0" applyFont="1" applyBorder="1" applyAlignment="1">
      <alignment horizontal="center" vertical="center"/>
    </xf>
    <xf numFmtId="0" fontId="0" fillId="0" borderId="14" xfId="0" applyBorder="1"/>
    <xf numFmtId="0" fontId="1" fillId="0" borderId="4" xfId="0" applyFont="1" applyBorder="1" applyAlignment="1">
      <alignment horizontal="center" vertical="center"/>
    </xf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1" xfId="0" applyFont="1" applyBorder="1"/>
    <xf numFmtId="0" fontId="1" fillId="0" borderId="12" xfId="0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/>
    <xf numFmtId="0" fontId="1" fillId="0" borderId="1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8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15" xfId="0" applyFont="1" applyBorder="1" applyAlignment="1">
      <alignment horizontal="center" vertical="center"/>
    </xf>
    <xf numFmtId="0" fontId="0" fillId="0" borderId="16" xfId="0" applyBorder="1"/>
    <xf numFmtId="0" fontId="1" fillId="0" borderId="10" xfId="0" applyFont="1" applyBorder="1" applyAlignment="1">
      <alignment horizontal="center" vertical="center"/>
    </xf>
    <xf numFmtId="0" fontId="0" fillId="0" borderId="10" xfId="0" applyBorder="1"/>
    <xf numFmtId="169" fontId="1" fillId="0" borderId="3" xfId="0" applyNumberFormat="1" applyFont="1" applyBorder="1" applyAlignment="1">
      <alignment horizontal="center" vertical="center"/>
    </xf>
    <xf numFmtId="169" fontId="0" fillId="0" borderId="14" xfId="0" applyNumberFormat="1" applyBorder="1"/>
    <xf numFmtId="0" fontId="1" fillId="0" borderId="8" xfId="0" applyFont="1" applyBorder="1" applyAlignment="1">
      <alignment horizontal="center" vertical="center"/>
    </xf>
    <xf numFmtId="0" fontId="0" fillId="0" borderId="20" xfId="0" applyBorder="1"/>
  </cellXfs>
  <cellStyles count="1">
    <cellStyle name="Normal" xfId="0" builtinId="0"/>
  </cellStyles>
  <dxfs count="207"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rgb="FFCCFF33"/>
        </patternFill>
      </fill>
    </dxf>
    <dxf>
      <fill>
        <patternFill>
          <bgColor rgb="FFCCCC00"/>
        </patternFill>
      </fill>
    </dxf>
    <dxf>
      <fill>
        <patternFill>
          <bgColor rgb="FFFF6600"/>
        </patternFill>
      </fill>
    </dxf>
    <dxf>
      <fill>
        <patternFill>
          <bgColor rgb="FFCC66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70AD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75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2800" b="0"/>
              <a:t>IC channel</a:t>
            </a:r>
            <a:r>
              <a:rPr lang="en-US" sz="2800" b="0" baseline="0"/>
              <a:t> calibration curves</a:t>
            </a:r>
            <a:endParaRPr lang="hu-HU" sz="2800" b="0"/>
          </a:p>
        </c:rich>
      </c:tx>
      <c:layout>
        <c:manualLayout>
          <c:xMode val="edge"/>
          <c:yMode val="edge"/>
          <c:x val="0.26707122582155501"/>
          <c:y val="2.449872058927793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752614085058557E-2"/>
          <c:y val="0.19513003923488248"/>
          <c:w val="0.63289449054523117"/>
          <c:h val="0.72832403326831496"/>
        </c:manualLayout>
      </c:layout>
      <c:scatterChart>
        <c:scatterStyle val="smoothMarker"/>
        <c:varyColors val="0"/>
        <c:ser>
          <c:idx val="22"/>
          <c:order val="0"/>
          <c:tx>
            <c:strRef>
              <c:f>'Recent state'!$C$3</c:f>
              <c:strCache>
                <c:ptCount val="1"/>
                <c:pt idx="0">
                  <c:v>1-1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state'!$D$3:$I$3</c:f>
              <c:numCache>
                <c:formatCode>0.00</c:formatCode>
                <c:ptCount val="6"/>
                <c:pt idx="0">
                  <c:v>0.15217391304347355</c:v>
                </c:pt>
                <c:pt idx="1">
                  <c:v>-0.34057971014493826</c:v>
                </c:pt>
                <c:pt idx="2">
                  <c:v>-0.88043478260869523</c:v>
                </c:pt>
                <c:pt idx="3">
                  <c:v>-0.36890645586298088</c:v>
                </c:pt>
                <c:pt idx="4">
                  <c:v>-0.75271739130435544</c:v>
                </c:pt>
                <c:pt idx="5">
                  <c:v>-0.70000000000000973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1C30-49C9-9C27-BADC796C1BAC}"/>
            </c:ext>
          </c:extLst>
        </c:ser>
        <c:ser>
          <c:idx val="0"/>
          <c:order val="1"/>
          <c:tx>
            <c:strRef>
              <c:f>'Recent state'!$C$4</c:f>
              <c:strCache>
                <c:ptCount val="1"/>
                <c:pt idx="0">
                  <c:v>1-2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state'!$D$4:$I$4</c:f>
              <c:numCache>
                <c:formatCode>0.00</c:formatCode>
                <c:ptCount val="6"/>
                <c:pt idx="0">
                  <c:v>0.17391304347825379</c:v>
                </c:pt>
                <c:pt idx="1">
                  <c:v>-0.31159420289856465</c:v>
                </c:pt>
                <c:pt idx="2">
                  <c:v>-0.89130434782608525</c:v>
                </c:pt>
                <c:pt idx="3">
                  <c:v>-0.36561264822134015</c:v>
                </c:pt>
                <c:pt idx="4">
                  <c:v>-0.73369565217391663</c:v>
                </c:pt>
                <c:pt idx="5">
                  <c:v>-0.68043478260871237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30-49C9-9C27-BADC796C1BAC}"/>
            </c:ext>
          </c:extLst>
        </c:ser>
        <c:ser>
          <c:idx val="27"/>
          <c:order val="2"/>
          <c:tx>
            <c:strRef>
              <c:f>'Recent state'!$C$5</c:f>
              <c:strCache>
                <c:ptCount val="1"/>
                <c:pt idx="0">
                  <c:v>1-3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state'!$D$5:$I$5</c:f>
              <c:numCache>
                <c:formatCode>0.00</c:formatCode>
                <c:ptCount val="6"/>
                <c:pt idx="0">
                  <c:v>0.19565217391303399</c:v>
                </c:pt>
                <c:pt idx="1">
                  <c:v>-0.32608695652175146</c:v>
                </c:pt>
                <c:pt idx="2">
                  <c:v>-0.89130434782608525</c:v>
                </c:pt>
                <c:pt idx="3">
                  <c:v>-0.38866930171278102</c:v>
                </c:pt>
                <c:pt idx="4">
                  <c:v>-0.77717391304347716</c:v>
                </c:pt>
                <c:pt idx="5">
                  <c:v>-0.70434782608697544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1C30-49C9-9C27-BADC796C1BAC}"/>
            </c:ext>
          </c:extLst>
        </c:ser>
        <c:ser>
          <c:idx val="1"/>
          <c:order val="3"/>
          <c:tx>
            <c:strRef>
              <c:f>'Recent state'!$C$6</c:f>
              <c:strCache>
                <c:ptCount val="1"/>
                <c:pt idx="0">
                  <c:v>1-5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state'!$D$6:$I$6</c:f>
              <c:numCache>
                <c:formatCode>0.00</c:formatCode>
                <c:ptCount val="6"/>
                <c:pt idx="0">
                  <c:v>0.17391304347825379</c:v>
                </c:pt>
                <c:pt idx="1">
                  <c:v>-0.51359953703704464</c:v>
                </c:pt>
                <c:pt idx="2">
                  <c:v>-1.0633680555555469</c:v>
                </c:pt>
                <c:pt idx="3">
                  <c:v>-0.52872474747473608</c:v>
                </c:pt>
                <c:pt idx="4">
                  <c:v>-0.92502170138888939</c:v>
                </c:pt>
                <c:pt idx="5">
                  <c:v>-0.87239583333332404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C30-49C9-9C27-BADC796C1BAC}"/>
            </c:ext>
          </c:extLst>
        </c:ser>
        <c:ser>
          <c:idx val="2"/>
          <c:order val="4"/>
          <c:tx>
            <c:strRef>
              <c:f>'Recent state'!$C$7</c:f>
              <c:strCache>
                <c:ptCount val="1"/>
                <c:pt idx="0">
                  <c:v>1-6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state'!$D$7:$I$7</c:f>
              <c:numCache>
                <c:formatCode>0.00</c:formatCode>
                <c:ptCount val="6"/>
                <c:pt idx="0">
                  <c:v>0.18478260869564389</c:v>
                </c:pt>
                <c:pt idx="1">
                  <c:v>-0.31884057971015806</c:v>
                </c:pt>
                <c:pt idx="2">
                  <c:v>-0.89673913043479236</c:v>
                </c:pt>
                <c:pt idx="3">
                  <c:v>-0.35902503293807342</c:v>
                </c:pt>
                <c:pt idx="4">
                  <c:v>-0.72554347826086807</c:v>
                </c:pt>
                <c:pt idx="5">
                  <c:v>-0.69347826086957087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C30-49C9-9C27-BADC796C1BAC}"/>
            </c:ext>
          </c:extLst>
        </c:ser>
        <c:ser>
          <c:idx val="3"/>
          <c:order val="5"/>
          <c:tx>
            <c:strRef>
              <c:f>'Recent state'!$C$8</c:f>
              <c:strCache>
                <c:ptCount val="1"/>
                <c:pt idx="0">
                  <c:v>1-7</c:v>
                </c:pt>
              </c:strCache>
            </c:strRef>
          </c:tx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state'!$D$8:$I$8</c:f>
              <c:numCache>
                <c:formatCode>0.00</c:formatCode>
                <c:ptCount val="6"/>
                <c:pt idx="0">
                  <c:v>0.17391304347825401</c:v>
                </c:pt>
                <c:pt idx="1">
                  <c:v>-0.282608695652175</c:v>
                </c:pt>
                <c:pt idx="2">
                  <c:v>-0.85869565217391497</c:v>
                </c:pt>
                <c:pt idx="3">
                  <c:v>-0.34255599472991399</c:v>
                </c:pt>
                <c:pt idx="4">
                  <c:v>-0.67663043478261298</c:v>
                </c:pt>
                <c:pt idx="5">
                  <c:v>-0.66521739130436142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C30-49C9-9C27-BADC796C1BAC}"/>
            </c:ext>
          </c:extLst>
        </c:ser>
        <c:ser>
          <c:idx val="32"/>
          <c:order val="6"/>
          <c:tx>
            <c:strRef>
              <c:f>'Recent state'!$C$9</c:f>
              <c:strCache>
                <c:ptCount val="1"/>
                <c:pt idx="0">
                  <c:v>1-8</c:v>
                </c:pt>
              </c:strCache>
            </c:strRef>
          </c:tx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state'!$D$9:$I$9</c:f>
              <c:numCache>
                <c:formatCode>0.00</c:formatCode>
                <c:ptCount val="6"/>
                <c:pt idx="0">
                  <c:v>0.16304347826086366</c:v>
                </c:pt>
                <c:pt idx="1">
                  <c:v>-0.34057971014493826</c:v>
                </c:pt>
                <c:pt idx="2">
                  <c:v>-0.88586956521739024</c:v>
                </c:pt>
                <c:pt idx="3">
                  <c:v>-0.36231884057971414</c:v>
                </c:pt>
                <c:pt idx="4">
                  <c:v>-0.72010869565217306</c:v>
                </c:pt>
                <c:pt idx="5">
                  <c:v>-0.67608695652174666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03-4ADC-A88B-8F39E3EF1FF5}"/>
            </c:ext>
          </c:extLst>
        </c:ser>
        <c:ser>
          <c:idx val="28"/>
          <c:order val="7"/>
          <c:tx>
            <c:strRef>
              <c:f>'Recent state'!$C$10</c:f>
              <c:strCache>
                <c:ptCount val="1"/>
                <c:pt idx="0">
                  <c:v>2-1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state'!$D$10:$I$10</c:f>
              <c:numCache>
                <c:formatCode>0.00</c:formatCode>
                <c:ptCount val="6"/>
                <c:pt idx="0">
                  <c:v>0.19565217391303399</c:v>
                </c:pt>
                <c:pt idx="1">
                  <c:v>-0.28985507246378445</c:v>
                </c:pt>
                <c:pt idx="2">
                  <c:v>-0.85326086956521996</c:v>
                </c:pt>
                <c:pt idx="3">
                  <c:v>-0.34584980237153995</c:v>
                </c:pt>
                <c:pt idx="4">
                  <c:v>-0.70652173913044136</c:v>
                </c:pt>
                <c:pt idx="5">
                  <c:v>-0.66956521739130781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1C30-49C9-9C27-BADC796C1BAC}"/>
            </c:ext>
          </c:extLst>
        </c:ser>
        <c:ser>
          <c:idx val="33"/>
          <c:order val="8"/>
          <c:tx>
            <c:strRef>
              <c:f>'Recent state'!$C$11</c:f>
              <c:strCache>
                <c:ptCount val="1"/>
                <c:pt idx="0">
                  <c:v>2-2</c:v>
                </c:pt>
              </c:strCache>
            </c:strRef>
          </c:tx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state'!$D$11:$I$11</c:f>
              <c:numCache>
                <c:formatCode>0.00</c:formatCode>
                <c:ptCount val="6"/>
                <c:pt idx="0">
                  <c:v>0.17391304347825379</c:v>
                </c:pt>
                <c:pt idx="1">
                  <c:v>-0.32608695652175146</c:v>
                </c:pt>
                <c:pt idx="2">
                  <c:v>-0.88043478260869523</c:v>
                </c:pt>
                <c:pt idx="3">
                  <c:v>-0.35902503293807342</c:v>
                </c:pt>
                <c:pt idx="4">
                  <c:v>-0.73097826086957518</c:v>
                </c:pt>
                <c:pt idx="5">
                  <c:v>-0.69565217391306333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03-4ADC-A88B-8F39E3EF1FF5}"/>
            </c:ext>
          </c:extLst>
        </c:ser>
        <c:ser>
          <c:idx val="4"/>
          <c:order val="9"/>
          <c:tx>
            <c:strRef>
              <c:f>'Recent state'!$C$12</c:f>
              <c:strCache>
                <c:ptCount val="1"/>
                <c:pt idx="0">
                  <c:v>2-3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state'!$D$12:$I$12</c:f>
              <c:numCache>
                <c:formatCode>0.00</c:formatCode>
                <c:ptCount val="6"/>
                <c:pt idx="0">
                  <c:v>0.18478260869564389</c:v>
                </c:pt>
                <c:pt idx="1">
                  <c:v>-0.27536231884058154</c:v>
                </c:pt>
                <c:pt idx="2">
                  <c:v>-0.89673913043479236</c:v>
                </c:pt>
                <c:pt idx="3">
                  <c:v>-0.37220026350460689</c:v>
                </c:pt>
                <c:pt idx="4">
                  <c:v>-0.70108695652174635</c:v>
                </c:pt>
                <c:pt idx="5">
                  <c:v>-0.68043478260871237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C30-49C9-9C27-BADC796C1BAC}"/>
            </c:ext>
          </c:extLst>
        </c:ser>
        <c:ser>
          <c:idx val="29"/>
          <c:order val="10"/>
          <c:tx>
            <c:strRef>
              <c:f>'Recent state'!$C$13</c:f>
              <c:strCache>
                <c:ptCount val="1"/>
                <c:pt idx="0">
                  <c:v>2-4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state'!$D$13:$I$13</c:f>
              <c:numCache>
                <c:formatCode>0.00</c:formatCode>
                <c:ptCount val="6"/>
                <c:pt idx="0">
                  <c:v>0.16304347826086366</c:v>
                </c:pt>
                <c:pt idx="1">
                  <c:v>-0.30434782608697125</c:v>
                </c:pt>
                <c:pt idx="2">
                  <c:v>-0.89130434782608525</c:v>
                </c:pt>
                <c:pt idx="3">
                  <c:v>-0.35902503293807342</c:v>
                </c:pt>
                <c:pt idx="4">
                  <c:v>-0.74456521739130677</c:v>
                </c:pt>
                <c:pt idx="5">
                  <c:v>-0.69565217391306333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1C30-49C9-9C27-BADC796C1BAC}"/>
            </c:ext>
          </c:extLst>
        </c:ser>
        <c:ser>
          <c:idx val="5"/>
          <c:order val="11"/>
          <c:tx>
            <c:strRef>
              <c:f>'Recent state'!$C$14</c:f>
              <c:strCache>
                <c:ptCount val="1"/>
                <c:pt idx="0">
                  <c:v>2-5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state'!$D$14:$I$14</c:f>
              <c:numCache>
                <c:formatCode>0.00</c:formatCode>
                <c:ptCount val="6"/>
                <c:pt idx="0">
                  <c:v>0.14130434782608345</c:v>
                </c:pt>
                <c:pt idx="1">
                  <c:v>-0.31884057971015806</c:v>
                </c:pt>
                <c:pt idx="2">
                  <c:v>-0.89673913043479236</c:v>
                </c:pt>
                <c:pt idx="3">
                  <c:v>-0.35902503293807342</c:v>
                </c:pt>
                <c:pt idx="4">
                  <c:v>-0.68750000000000266</c:v>
                </c:pt>
                <c:pt idx="5">
                  <c:v>-0.66956521739130781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C30-49C9-9C27-BADC796C1BAC}"/>
            </c:ext>
          </c:extLst>
        </c:ser>
        <c:ser>
          <c:idx val="6"/>
          <c:order val="12"/>
          <c:tx>
            <c:strRef>
              <c:f>'Recent state'!$C$15</c:f>
              <c:strCache>
                <c:ptCount val="1"/>
                <c:pt idx="0">
                  <c:v>2-6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state'!$D$15:$I$15</c:f>
              <c:numCache>
                <c:formatCode>0.00</c:formatCode>
                <c:ptCount val="6"/>
                <c:pt idx="0">
                  <c:v>0.16304347826086366</c:v>
                </c:pt>
                <c:pt idx="1">
                  <c:v>-0.34057971014493826</c:v>
                </c:pt>
                <c:pt idx="2">
                  <c:v>-0.91304347826087762</c:v>
                </c:pt>
                <c:pt idx="3">
                  <c:v>-0.38866930171278102</c:v>
                </c:pt>
                <c:pt idx="4">
                  <c:v>-0.76902173913044058</c:v>
                </c:pt>
                <c:pt idx="5">
                  <c:v>-0.70434782608697544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C30-49C9-9C27-BADC796C1BAC}"/>
            </c:ext>
          </c:extLst>
        </c:ser>
        <c:ser>
          <c:idx val="30"/>
          <c:order val="13"/>
          <c:tx>
            <c:strRef>
              <c:f>'Recent state'!$C$16</c:f>
              <c:strCache>
                <c:ptCount val="1"/>
                <c:pt idx="0">
                  <c:v>2-7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state'!$D$16:$I$16</c:f>
              <c:numCache>
                <c:formatCode>0.00</c:formatCode>
                <c:ptCount val="6"/>
                <c:pt idx="0">
                  <c:v>5.4347826086950532E-2</c:v>
                </c:pt>
                <c:pt idx="1">
                  <c:v>-0.43478260869565255</c:v>
                </c:pt>
                <c:pt idx="2">
                  <c:v>-1.0163043478260956</c:v>
                </c:pt>
                <c:pt idx="3">
                  <c:v>-0.47430830039526317</c:v>
                </c:pt>
                <c:pt idx="4">
                  <c:v>-0.80706521739130599</c:v>
                </c:pt>
                <c:pt idx="5">
                  <c:v>-0.80217391304348151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1C30-49C9-9C27-BADC796C1BAC}"/>
            </c:ext>
          </c:extLst>
        </c:ser>
        <c:ser>
          <c:idx val="7"/>
          <c:order val="14"/>
          <c:tx>
            <c:strRef>
              <c:f>'Recent state'!$C$17</c:f>
              <c:strCache>
                <c:ptCount val="1"/>
                <c:pt idx="0">
                  <c:v>2-8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state'!$D$17:$I$17</c:f>
              <c:numCache>
                <c:formatCode>0.00</c:formatCode>
                <c:ptCount val="6"/>
                <c:pt idx="0">
                  <c:v>0.15217391304347355</c:v>
                </c:pt>
                <c:pt idx="1">
                  <c:v>-0.34782608695653167</c:v>
                </c:pt>
                <c:pt idx="2">
                  <c:v>-0.90217391304348749</c:v>
                </c:pt>
                <c:pt idx="3">
                  <c:v>-0.37220026350460689</c:v>
                </c:pt>
                <c:pt idx="4">
                  <c:v>-0.72282608695652661</c:v>
                </c:pt>
                <c:pt idx="5">
                  <c:v>-0.69782608695653647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C30-49C9-9C27-BADC796C1BAC}"/>
            </c:ext>
          </c:extLst>
        </c:ser>
        <c:ser>
          <c:idx val="8"/>
          <c:order val="15"/>
          <c:tx>
            <c:strRef>
              <c:f>'Recent state'!$C$18</c:f>
              <c:strCache>
                <c:ptCount val="1"/>
                <c:pt idx="0">
                  <c:v>3-1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state'!$D$18:$I$18</c:f>
              <c:numCache>
                <c:formatCode>0.00</c:formatCode>
                <c:ptCount val="6"/>
                <c:pt idx="0">
                  <c:v>0.31521739130434928</c:v>
                </c:pt>
                <c:pt idx="1">
                  <c:v>-0.26811594202898814</c:v>
                </c:pt>
                <c:pt idx="2">
                  <c:v>-0.88043478260869523</c:v>
                </c:pt>
                <c:pt idx="3">
                  <c:v>-0.34255599472991394</c:v>
                </c:pt>
                <c:pt idx="4">
                  <c:v>-0.68206521739130765</c:v>
                </c:pt>
                <c:pt idx="5">
                  <c:v>-0.67391304347827341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C30-49C9-9C27-BADC796C1BAC}"/>
            </c:ext>
          </c:extLst>
        </c:ser>
        <c:ser>
          <c:idx val="9"/>
          <c:order val="16"/>
          <c:tx>
            <c:strRef>
              <c:f>'Recent state'!$C$19</c:f>
              <c:strCache>
                <c:ptCount val="1"/>
                <c:pt idx="0">
                  <c:v>3-2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state'!$D$19:$I$19</c:f>
              <c:numCache>
                <c:formatCode>0.00</c:formatCode>
                <c:ptCount val="6"/>
                <c:pt idx="0">
                  <c:v>0.22826086956521638</c:v>
                </c:pt>
                <c:pt idx="1">
                  <c:v>-0.26086956521739474</c:v>
                </c:pt>
                <c:pt idx="2">
                  <c:v>-0.86413043478260998</c:v>
                </c:pt>
                <c:pt idx="3">
                  <c:v>-0.34914361001318067</c:v>
                </c:pt>
                <c:pt idx="4">
                  <c:v>-0.73369565217391663</c:v>
                </c:pt>
                <c:pt idx="5">
                  <c:v>-0.70217391304348287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C30-49C9-9C27-BADC796C1BAC}"/>
            </c:ext>
          </c:extLst>
        </c:ser>
        <c:ser>
          <c:idx val="10"/>
          <c:order val="17"/>
          <c:tx>
            <c:strRef>
              <c:f>'Recent state'!$C$20</c:f>
              <c:strCache>
                <c:ptCount val="1"/>
                <c:pt idx="0">
                  <c:v>3-3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state'!$D$20:$I$20</c:f>
              <c:numCache>
                <c:formatCode>0.00</c:formatCode>
                <c:ptCount val="6"/>
                <c:pt idx="0">
                  <c:v>0.15217391304347355</c:v>
                </c:pt>
                <c:pt idx="1">
                  <c:v>-0.31884057971015806</c:v>
                </c:pt>
                <c:pt idx="2">
                  <c:v>-0.91847826086957263</c:v>
                </c:pt>
                <c:pt idx="3">
                  <c:v>-0.40513833992095521</c:v>
                </c:pt>
                <c:pt idx="4">
                  <c:v>-0.73913043478261176</c:v>
                </c:pt>
                <c:pt idx="5">
                  <c:v>-0.73260869565218489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C30-49C9-9C27-BADC796C1BAC}"/>
            </c:ext>
          </c:extLst>
        </c:ser>
        <c:ser>
          <c:idx val="11"/>
          <c:order val="18"/>
          <c:tx>
            <c:strRef>
              <c:f>'Recent state'!$C$21</c:f>
              <c:strCache>
                <c:ptCount val="1"/>
                <c:pt idx="0">
                  <c:v>3-4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state'!$D$21:$I$21</c:f>
              <c:numCache>
                <c:formatCode>0.00</c:formatCode>
                <c:ptCount val="6"/>
                <c:pt idx="0">
                  <c:v>0.11956521739130324</c:v>
                </c:pt>
                <c:pt idx="1">
                  <c:v>-0.32608695652175146</c:v>
                </c:pt>
                <c:pt idx="2">
                  <c:v>-0.92391304347826764</c:v>
                </c:pt>
                <c:pt idx="3">
                  <c:v>-0.39855072463768848</c:v>
                </c:pt>
                <c:pt idx="4">
                  <c:v>-0.72554347826086807</c:v>
                </c:pt>
                <c:pt idx="5">
                  <c:v>-0.72173913043479954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1C30-49C9-9C27-BADC796C1BAC}"/>
            </c:ext>
          </c:extLst>
        </c:ser>
        <c:ser>
          <c:idx val="34"/>
          <c:order val="19"/>
          <c:tx>
            <c:strRef>
              <c:f>'Recent state'!$C$22</c:f>
              <c:strCache>
                <c:ptCount val="1"/>
                <c:pt idx="0">
                  <c:v>3-5</c:v>
                </c:pt>
              </c:strCache>
            </c:strRef>
          </c:tx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state'!$D$22:$I$22</c:f>
              <c:numCache>
                <c:formatCode>0.00</c:formatCode>
                <c:ptCount val="6"/>
                <c:pt idx="0">
                  <c:v>0.11956521739130324</c:v>
                </c:pt>
                <c:pt idx="1">
                  <c:v>-0.37681159420290528</c:v>
                </c:pt>
                <c:pt idx="2">
                  <c:v>-0.96739130434782816</c:v>
                </c:pt>
                <c:pt idx="3">
                  <c:v>-0.44466403162055557</c:v>
                </c:pt>
                <c:pt idx="4">
                  <c:v>-0.79619565217391586</c:v>
                </c:pt>
                <c:pt idx="5">
                  <c:v>-0.76956521739130634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103-4ADC-A88B-8F39E3EF1FF5}"/>
            </c:ext>
          </c:extLst>
        </c:ser>
        <c:ser>
          <c:idx val="12"/>
          <c:order val="20"/>
          <c:tx>
            <c:strRef>
              <c:f>'Recent state'!$C$23</c:f>
              <c:strCache>
                <c:ptCount val="1"/>
                <c:pt idx="0">
                  <c:v>3-6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state'!$D$23:$I$23</c:f>
              <c:numCache>
                <c:formatCode>0.00</c:formatCode>
                <c:ptCount val="6"/>
                <c:pt idx="0">
                  <c:v>0.11956521739130324</c:v>
                </c:pt>
                <c:pt idx="1">
                  <c:v>-0.39855072463768548</c:v>
                </c:pt>
                <c:pt idx="2">
                  <c:v>-0.95108695652174291</c:v>
                </c:pt>
                <c:pt idx="3">
                  <c:v>-0.41831357048748863</c:v>
                </c:pt>
                <c:pt idx="4">
                  <c:v>-0.76902173913044058</c:v>
                </c:pt>
                <c:pt idx="5">
                  <c:v>-0.7673913043478332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1C30-49C9-9C27-BADC796C1BAC}"/>
            </c:ext>
          </c:extLst>
        </c:ser>
        <c:ser>
          <c:idx val="13"/>
          <c:order val="21"/>
          <c:tx>
            <c:strRef>
              <c:f>'Recent state'!$C$24</c:f>
              <c:strCache>
                <c:ptCount val="1"/>
                <c:pt idx="0">
                  <c:v>3-7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state'!$D$24:$I$24</c:f>
              <c:numCache>
                <c:formatCode>0.00</c:formatCode>
                <c:ptCount val="6"/>
                <c:pt idx="0">
                  <c:v>5.4347826086950532E-2</c:v>
                </c:pt>
                <c:pt idx="1">
                  <c:v>-0.41304347826087229</c:v>
                </c:pt>
                <c:pt idx="2">
                  <c:v>-1.0054347826087056</c:v>
                </c:pt>
                <c:pt idx="3">
                  <c:v>-0.4710144927536225</c:v>
                </c:pt>
                <c:pt idx="4">
                  <c:v>-0.80163043478261087</c:v>
                </c:pt>
                <c:pt idx="5">
                  <c:v>-0.78260869565218416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1C30-49C9-9C27-BADC796C1BAC}"/>
            </c:ext>
          </c:extLst>
        </c:ser>
        <c:ser>
          <c:idx val="14"/>
          <c:order val="22"/>
          <c:tx>
            <c:strRef>
              <c:f>'Recent state'!$C$25</c:f>
              <c:strCache>
                <c:ptCount val="1"/>
                <c:pt idx="0">
                  <c:v>3-8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state'!$D$25:$I$25</c:f>
              <c:numCache>
                <c:formatCode>0.00</c:formatCode>
                <c:ptCount val="6"/>
                <c:pt idx="0">
                  <c:v>1.0869565217390107E-2</c:v>
                </c:pt>
                <c:pt idx="1">
                  <c:v>-0.46376811594204226</c:v>
                </c:pt>
                <c:pt idx="2">
                  <c:v>-1.0489130434782661</c:v>
                </c:pt>
                <c:pt idx="3">
                  <c:v>-0.50724637681159679</c:v>
                </c:pt>
                <c:pt idx="4">
                  <c:v>-0.89402173913043881</c:v>
                </c:pt>
                <c:pt idx="5">
                  <c:v>-0.83478260869565668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1C30-49C9-9C27-BADC796C1BAC}"/>
            </c:ext>
          </c:extLst>
        </c:ser>
        <c:ser>
          <c:idx val="15"/>
          <c:order val="23"/>
          <c:tx>
            <c:strRef>
              <c:f>'Recent state'!$C$26</c:f>
              <c:strCache>
                <c:ptCount val="1"/>
                <c:pt idx="0">
                  <c:v>4-1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state'!$D$26:$I$26</c:f>
              <c:numCache>
                <c:formatCode>0.00</c:formatCode>
                <c:ptCount val="6"/>
                <c:pt idx="0">
                  <c:v>0.26086956521738669</c:v>
                </c:pt>
                <c:pt idx="1">
                  <c:v>-0.29710144927537785</c:v>
                </c:pt>
                <c:pt idx="2">
                  <c:v>-0.87500000000000011</c:v>
                </c:pt>
                <c:pt idx="3">
                  <c:v>-0.35243741765480668</c:v>
                </c:pt>
                <c:pt idx="4">
                  <c:v>-0.6983695652173928</c:v>
                </c:pt>
                <c:pt idx="5">
                  <c:v>-0.66739130434783456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1C30-49C9-9C27-BADC796C1BAC}"/>
            </c:ext>
          </c:extLst>
        </c:ser>
        <c:ser>
          <c:idx val="16"/>
          <c:order val="24"/>
          <c:tx>
            <c:strRef>
              <c:f>'Recent state'!$C$27</c:f>
              <c:strCache>
                <c:ptCount val="1"/>
                <c:pt idx="0">
                  <c:v>4-2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state'!$D$27:$I$27</c:f>
              <c:numCache>
                <c:formatCode>0.00</c:formatCode>
                <c:ptCount val="6"/>
                <c:pt idx="0">
                  <c:v>0.17391304347825379</c:v>
                </c:pt>
                <c:pt idx="1">
                  <c:v>-0.31159420289856465</c:v>
                </c:pt>
                <c:pt idx="2">
                  <c:v>-0.89673913043479236</c:v>
                </c:pt>
                <c:pt idx="3">
                  <c:v>-0.36561264822134015</c:v>
                </c:pt>
                <c:pt idx="4">
                  <c:v>-0.72010869565217306</c:v>
                </c:pt>
                <c:pt idx="5">
                  <c:v>-0.68478260869565877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1C30-49C9-9C27-BADC796C1BAC}"/>
            </c:ext>
          </c:extLst>
        </c:ser>
        <c:ser>
          <c:idx val="17"/>
          <c:order val="25"/>
          <c:tx>
            <c:strRef>
              <c:f>'Recent state'!$C$28</c:f>
              <c:strCache>
                <c:ptCount val="1"/>
                <c:pt idx="0">
                  <c:v>4-3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state'!$D$28:$H$28</c:f>
              <c:numCache>
                <c:formatCode>0.00</c:formatCode>
                <c:ptCount val="5"/>
                <c:pt idx="0">
                  <c:v>0.18478260869564389</c:v>
                </c:pt>
                <c:pt idx="1">
                  <c:v>-0.30434782608697125</c:v>
                </c:pt>
                <c:pt idx="2">
                  <c:v>-0.89673913043479236</c:v>
                </c:pt>
                <c:pt idx="3">
                  <c:v>-0.36231884057971414</c:v>
                </c:pt>
                <c:pt idx="4">
                  <c:v>-0.71195652173913648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1C30-49C9-9C27-BADC796C1BAC}"/>
            </c:ext>
          </c:extLst>
        </c:ser>
        <c:ser>
          <c:idx val="31"/>
          <c:order val="26"/>
          <c:tx>
            <c:strRef>
              <c:f>'Recent state'!$C$29</c:f>
              <c:strCache>
                <c:ptCount val="1"/>
                <c:pt idx="0">
                  <c:v>4-4</c:v>
                </c:pt>
              </c:strCache>
            </c:strRef>
          </c:tx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state'!$D$29:$I$29</c:f>
              <c:numCache>
                <c:formatCode>0.00</c:formatCode>
                <c:ptCount val="6"/>
                <c:pt idx="0">
                  <c:v>0.18478260869564389</c:v>
                </c:pt>
                <c:pt idx="1">
                  <c:v>-0.33333333333334486</c:v>
                </c:pt>
                <c:pt idx="2">
                  <c:v>-0.89130434782608525</c:v>
                </c:pt>
                <c:pt idx="3">
                  <c:v>-0.37220026350460689</c:v>
                </c:pt>
                <c:pt idx="4">
                  <c:v>-0.73097826086957518</c:v>
                </c:pt>
                <c:pt idx="5">
                  <c:v>-0.7282608695652385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DA-40D7-8DF6-3FCA8218211B}"/>
            </c:ext>
          </c:extLst>
        </c:ser>
        <c:ser>
          <c:idx val="18"/>
          <c:order val="27"/>
          <c:tx>
            <c:strRef>
              <c:f>'Recent state'!$C$30</c:f>
              <c:strCache>
                <c:ptCount val="1"/>
                <c:pt idx="0">
                  <c:v>4-5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state'!$D$30:$I$30</c:f>
              <c:numCache>
                <c:formatCode>0.00</c:formatCode>
                <c:ptCount val="6"/>
                <c:pt idx="0">
                  <c:v>0.17391304347825379</c:v>
                </c:pt>
                <c:pt idx="1">
                  <c:v>-0.34782608695653167</c:v>
                </c:pt>
                <c:pt idx="2">
                  <c:v>-0.88586956521739024</c:v>
                </c:pt>
                <c:pt idx="3">
                  <c:v>-0.36561264822134015</c:v>
                </c:pt>
                <c:pt idx="4">
                  <c:v>-0.72826086956522162</c:v>
                </c:pt>
                <c:pt idx="5">
                  <c:v>-0.68260869565218552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1C30-49C9-9C27-BADC796C1BAC}"/>
            </c:ext>
          </c:extLst>
        </c:ser>
        <c:ser>
          <c:idx val="19"/>
          <c:order val="28"/>
          <c:tx>
            <c:strRef>
              <c:f>'Recent state'!$C$31</c:f>
              <c:strCache>
                <c:ptCount val="1"/>
                <c:pt idx="0">
                  <c:v>4-6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state'!$D$31:$I$31</c:f>
              <c:numCache>
                <c:formatCode>0.00</c:formatCode>
                <c:ptCount val="6"/>
                <c:pt idx="0">
                  <c:v>0.16304347826086366</c:v>
                </c:pt>
                <c:pt idx="1">
                  <c:v>-0.34057971014493826</c:v>
                </c:pt>
                <c:pt idx="2">
                  <c:v>-0.89673913043479236</c:v>
                </c:pt>
                <c:pt idx="3">
                  <c:v>-0.35902503293807342</c:v>
                </c:pt>
                <c:pt idx="4">
                  <c:v>-0.73369565217391663</c:v>
                </c:pt>
                <c:pt idx="5">
                  <c:v>-0.68913043478262448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1C30-49C9-9C27-BADC796C1BAC}"/>
            </c:ext>
          </c:extLst>
        </c:ser>
        <c:ser>
          <c:idx val="26"/>
          <c:order val="29"/>
          <c:tx>
            <c:strRef>
              <c:f>'Recent state'!$C$32</c:f>
              <c:strCache>
                <c:ptCount val="1"/>
                <c:pt idx="0">
                  <c:v>5-1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state'!$D$32:$I$32</c:f>
              <c:numCache>
                <c:formatCode>0.00</c:formatCode>
                <c:ptCount val="6"/>
                <c:pt idx="0">
                  <c:v>0.19565217391303399</c:v>
                </c:pt>
                <c:pt idx="1">
                  <c:v>-0.26811594202898814</c:v>
                </c:pt>
                <c:pt idx="2">
                  <c:v>-0.88043478260869523</c:v>
                </c:pt>
                <c:pt idx="3">
                  <c:v>-0.35573122529644741</c:v>
                </c:pt>
                <c:pt idx="4">
                  <c:v>-0.6983695652173928</c:v>
                </c:pt>
                <c:pt idx="5">
                  <c:v>-0.65000000000001035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1C30-49C9-9C27-BADC796C1BAC}"/>
            </c:ext>
          </c:extLst>
        </c:ser>
        <c:ser>
          <c:idx val="20"/>
          <c:order val="30"/>
          <c:tx>
            <c:strRef>
              <c:f>'Recent state'!$C$33</c:f>
              <c:strCache>
                <c:ptCount val="1"/>
                <c:pt idx="0">
                  <c:v>5-3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state'!$D$33:$I$33</c:f>
              <c:numCache>
                <c:formatCode>0.00</c:formatCode>
                <c:ptCount val="6"/>
                <c:pt idx="0">
                  <c:v>-0.31521739130434928</c:v>
                </c:pt>
                <c:pt idx="1">
                  <c:v>-0.31159420289856465</c:v>
                </c:pt>
                <c:pt idx="2">
                  <c:v>-0.89130434782608525</c:v>
                </c:pt>
                <c:pt idx="3">
                  <c:v>-0.35243741765480668</c:v>
                </c:pt>
                <c:pt idx="4">
                  <c:v>-0.70108695652174635</c:v>
                </c:pt>
                <c:pt idx="5">
                  <c:v>-0.66739130434783456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1C30-49C9-9C27-BADC796C1BAC}"/>
            </c:ext>
          </c:extLst>
        </c:ser>
        <c:ser>
          <c:idx val="21"/>
          <c:order val="31"/>
          <c:tx>
            <c:strRef>
              <c:f>'Recent state'!$C$34</c:f>
              <c:strCache>
                <c:ptCount val="1"/>
                <c:pt idx="0">
                  <c:v>5-4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state'!$D$34:$I$34</c:f>
              <c:numCache>
                <c:formatCode>0.00</c:formatCode>
                <c:ptCount val="6"/>
                <c:pt idx="0">
                  <c:v>0.24999999999999659</c:v>
                </c:pt>
                <c:pt idx="1">
                  <c:v>-0.21014492753624089</c:v>
                </c:pt>
                <c:pt idx="2">
                  <c:v>-0.81521739130435456</c:v>
                </c:pt>
                <c:pt idx="3">
                  <c:v>-0.27997364953887266</c:v>
                </c:pt>
                <c:pt idx="4">
                  <c:v>-0.66576086956522251</c:v>
                </c:pt>
                <c:pt idx="5">
                  <c:v>-0.65000000000001035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1C30-49C9-9C27-BADC796C1BAC}"/>
            </c:ext>
          </c:extLst>
        </c:ser>
        <c:ser>
          <c:idx val="23"/>
          <c:order val="32"/>
          <c:tx>
            <c:strRef>
              <c:f>'Recent state'!$C$35</c:f>
              <c:strCache>
                <c:ptCount val="1"/>
                <c:pt idx="0">
                  <c:v>5-5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state'!$D$35:$I$35</c:f>
              <c:numCache>
                <c:formatCode>0.00</c:formatCode>
                <c:ptCount val="6"/>
                <c:pt idx="0">
                  <c:v>0.18478260869564389</c:v>
                </c:pt>
                <c:pt idx="1">
                  <c:v>-0.29710144927537785</c:v>
                </c:pt>
                <c:pt idx="2">
                  <c:v>-0.88586956521739024</c:v>
                </c:pt>
                <c:pt idx="3">
                  <c:v>-0.34584980237153995</c:v>
                </c:pt>
                <c:pt idx="4">
                  <c:v>-0.66576086956522251</c:v>
                </c:pt>
                <c:pt idx="5">
                  <c:v>-0.65652173913044931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1C30-49C9-9C27-BADC796C1BAC}"/>
            </c:ext>
          </c:extLst>
        </c:ser>
        <c:ser>
          <c:idx val="24"/>
          <c:order val="33"/>
          <c:tx>
            <c:strRef>
              <c:f>'Recent state'!$C$36</c:f>
              <c:strCache>
                <c:ptCount val="1"/>
                <c:pt idx="0">
                  <c:v>5-7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state'!$D$36:$I$36</c:f>
              <c:numCache>
                <c:formatCode>0.00</c:formatCode>
                <c:ptCount val="6"/>
                <c:pt idx="0">
                  <c:v>0.18478260869564389</c:v>
                </c:pt>
                <c:pt idx="1">
                  <c:v>-0.25362318840580134</c:v>
                </c:pt>
                <c:pt idx="2">
                  <c:v>-0.8695652173913051</c:v>
                </c:pt>
                <c:pt idx="3">
                  <c:v>-0.34584980237153995</c:v>
                </c:pt>
                <c:pt idx="4">
                  <c:v>-0.71195652173913648</c:v>
                </c:pt>
                <c:pt idx="5">
                  <c:v>-0.67391304347827341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1C30-49C9-9C27-BADC796C1BAC}"/>
            </c:ext>
          </c:extLst>
        </c:ser>
        <c:ser>
          <c:idx val="25"/>
          <c:order val="34"/>
          <c:tx>
            <c:strRef>
              <c:f>'Recent state'!$C$37</c:f>
              <c:strCache>
                <c:ptCount val="1"/>
                <c:pt idx="0">
                  <c:v>5-8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state'!$D$37:$I$37</c:f>
              <c:numCache>
                <c:formatCode>0.00</c:formatCode>
                <c:ptCount val="6"/>
                <c:pt idx="0">
                  <c:v>0.18478260869564389</c:v>
                </c:pt>
                <c:pt idx="1">
                  <c:v>-0.31884057971015806</c:v>
                </c:pt>
                <c:pt idx="2">
                  <c:v>-0.8695652173913051</c:v>
                </c:pt>
                <c:pt idx="3">
                  <c:v>-0.34584980237153995</c:v>
                </c:pt>
                <c:pt idx="4">
                  <c:v>-0.6793478260869662</c:v>
                </c:pt>
                <c:pt idx="5">
                  <c:v>-0.69347826086957087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1C30-49C9-9C27-BADC796C1BAC}"/>
            </c:ext>
          </c:extLst>
        </c:ser>
        <c:ser>
          <c:idx val="35"/>
          <c:order val="35"/>
          <c:tx>
            <c:strRef>
              <c:f>'Recent state'!$C$38</c:f>
              <c:strCache>
                <c:ptCount val="1"/>
                <c:pt idx="0">
                  <c:v>6-1</c:v>
                </c:pt>
              </c:strCache>
            </c:strRef>
          </c:tx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state'!$D$38:$I$38</c:f>
              <c:numCache>
                <c:formatCode>0.00</c:formatCode>
                <c:ptCount val="6"/>
                <c:pt idx="0">
                  <c:v>0.20652173913043617</c:v>
                </c:pt>
                <c:pt idx="1">
                  <c:v>-0.28260869565217495</c:v>
                </c:pt>
                <c:pt idx="2">
                  <c:v>-0.86413043478260998</c:v>
                </c:pt>
                <c:pt idx="3">
                  <c:v>-0.3359683794466472</c:v>
                </c:pt>
                <c:pt idx="4">
                  <c:v>-0.65489130434783238</c:v>
                </c:pt>
                <c:pt idx="5">
                  <c:v>-0.65000000000001035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674-45FB-9B75-8DD7E8841824}"/>
            </c:ext>
          </c:extLst>
        </c:ser>
        <c:ser>
          <c:idx val="36"/>
          <c:order val="36"/>
          <c:tx>
            <c:strRef>
              <c:f>'Recent state'!$C$39</c:f>
              <c:strCache>
                <c:ptCount val="1"/>
                <c:pt idx="0">
                  <c:v>6-2</c:v>
                </c:pt>
              </c:strCache>
            </c:strRef>
          </c:tx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state'!$D$39:$I$39</c:f>
              <c:numCache>
                <c:formatCode>0.00</c:formatCode>
                <c:ptCount val="6"/>
                <c:pt idx="0">
                  <c:v>0.18478260869564389</c:v>
                </c:pt>
                <c:pt idx="1">
                  <c:v>-0.25362318840580134</c:v>
                </c:pt>
                <c:pt idx="2">
                  <c:v>-0.87500000000000011</c:v>
                </c:pt>
                <c:pt idx="3">
                  <c:v>-0.35573122529644741</c:v>
                </c:pt>
                <c:pt idx="4">
                  <c:v>-0.68206521739130765</c:v>
                </c:pt>
                <c:pt idx="5">
                  <c:v>-0.65434782608697606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674-45FB-9B75-8DD7E8841824}"/>
            </c:ext>
          </c:extLst>
        </c:ser>
        <c:ser>
          <c:idx val="37"/>
          <c:order val="37"/>
          <c:tx>
            <c:strRef>
              <c:f>'Recent state'!$C$40</c:f>
              <c:strCache>
                <c:ptCount val="1"/>
                <c:pt idx="0">
                  <c:v>6-3</c:v>
                </c:pt>
              </c:strCache>
            </c:strRef>
          </c:tx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state'!$D$40:$I$40</c:f>
              <c:numCache>
                <c:formatCode>0.00</c:formatCode>
                <c:ptCount val="6"/>
                <c:pt idx="0">
                  <c:v>0.21739130434782628</c:v>
                </c:pt>
                <c:pt idx="1">
                  <c:v>-0.25362318840580134</c:v>
                </c:pt>
                <c:pt idx="2">
                  <c:v>-0.84239130434782983</c:v>
                </c:pt>
                <c:pt idx="3">
                  <c:v>-0.31949934123847307</c:v>
                </c:pt>
                <c:pt idx="4">
                  <c:v>-0.66032608695652739</c:v>
                </c:pt>
                <c:pt idx="5">
                  <c:v>-0.6521739130434836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674-45FB-9B75-8DD7E8841824}"/>
            </c:ext>
          </c:extLst>
        </c:ser>
        <c:ser>
          <c:idx val="38"/>
          <c:order val="38"/>
          <c:tx>
            <c:strRef>
              <c:f>'Recent state'!$C$41</c:f>
              <c:strCache>
                <c:ptCount val="1"/>
                <c:pt idx="0">
                  <c:v>6-4</c:v>
                </c:pt>
              </c:strCache>
            </c:strRef>
          </c:tx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state'!$D$41:$I$41</c:f>
              <c:numCache>
                <c:formatCode>0.00</c:formatCode>
                <c:ptCount val="6"/>
                <c:pt idx="0">
                  <c:v>0.20652173913043617</c:v>
                </c:pt>
                <c:pt idx="1">
                  <c:v>-0.28260869565217495</c:v>
                </c:pt>
                <c:pt idx="2">
                  <c:v>-0.85869565217391497</c:v>
                </c:pt>
                <c:pt idx="3">
                  <c:v>-0.3359683794466472</c:v>
                </c:pt>
                <c:pt idx="4">
                  <c:v>-0.67663043478261253</c:v>
                </c:pt>
                <c:pt idx="5">
                  <c:v>-0.65869565217392245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674-45FB-9B75-8DD7E8841824}"/>
            </c:ext>
          </c:extLst>
        </c:ser>
        <c:ser>
          <c:idx val="39"/>
          <c:order val="39"/>
          <c:tx>
            <c:strRef>
              <c:f>'Recent state'!$C$42</c:f>
              <c:strCache>
                <c:ptCount val="1"/>
                <c:pt idx="0">
                  <c:v>6-5</c:v>
                </c:pt>
              </c:strCache>
            </c:strRef>
          </c:tx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state'!$D$42:$I$42</c:f>
              <c:numCache>
                <c:formatCode>0.00</c:formatCode>
                <c:ptCount val="6"/>
                <c:pt idx="0">
                  <c:v>0.19565217391303399</c:v>
                </c:pt>
                <c:pt idx="1">
                  <c:v>-0.26811594202898814</c:v>
                </c:pt>
                <c:pt idx="2">
                  <c:v>-0.86413043478260998</c:v>
                </c:pt>
                <c:pt idx="3">
                  <c:v>-0.3359683794466472</c:v>
                </c:pt>
                <c:pt idx="4">
                  <c:v>-0.69293478260869779</c:v>
                </c:pt>
                <c:pt idx="5">
                  <c:v>-0.65000000000001035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674-45FB-9B75-8DD7E8841824}"/>
            </c:ext>
          </c:extLst>
        </c:ser>
        <c:ser>
          <c:idx val="40"/>
          <c:order val="40"/>
          <c:tx>
            <c:strRef>
              <c:f>'Recent state'!$C$43</c:f>
              <c:strCache>
                <c:ptCount val="1"/>
                <c:pt idx="0">
                  <c:v>6-6</c:v>
                </c:pt>
              </c:strCache>
            </c:strRef>
          </c:tx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state'!$D$43:$I$43</c:f>
              <c:numCache>
                <c:formatCode>0.00</c:formatCode>
                <c:ptCount val="6"/>
                <c:pt idx="0">
                  <c:v>0.11956521739130324</c:v>
                </c:pt>
                <c:pt idx="1">
                  <c:v>-0.30434782608697125</c:v>
                </c:pt>
                <c:pt idx="2">
                  <c:v>-0.86413043478260998</c:v>
                </c:pt>
                <c:pt idx="3">
                  <c:v>-0.33926218708827327</c:v>
                </c:pt>
                <c:pt idx="4">
                  <c:v>-0.72554347826086807</c:v>
                </c:pt>
                <c:pt idx="5">
                  <c:v>-0.66739130434783456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674-45FB-9B75-8DD7E8841824}"/>
            </c:ext>
          </c:extLst>
        </c:ser>
        <c:ser>
          <c:idx val="41"/>
          <c:order val="41"/>
          <c:tx>
            <c:strRef>
              <c:f>'Recent state'!$C$44</c:f>
              <c:strCache>
                <c:ptCount val="1"/>
                <c:pt idx="0">
                  <c:v>6-7</c:v>
                </c:pt>
              </c:strCache>
            </c:strRef>
          </c:tx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state'!$D$44:$I$44</c:f>
              <c:numCache>
                <c:formatCode>0.00</c:formatCode>
                <c:ptCount val="6"/>
                <c:pt idx="0">
                  <c:v>0.18478260869564389</c:v>
                </c:pt>
                <c:pt idx="1">
                  <c:v>-0.28985507246378445</c:v>
                </c:pt>
                <c:pt idx="2">
                  <c:v>-0.86413043478260998</c:v>
                </c:pt>
                <c:pt idx="3">
                  <c:v>-0.34255599472991394</c:v>
                </c:pt>
                <c:pt idx="4">
                  <c:v>-0.73641304347827019</c:v>
                </c:pt>
                <c:pt idx="5">
                  <c:v>-0.66956521739130781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674-45FB-9B75-8DD7E8841824}"/>
            </c:ext>
          </c:extLst>
        </c:ser>
        <c:ser>
          <c:idx val="42"/>
          <c:order val="42"/>
          <c:tx>
            <c:strRef>
              <c:f>'Recent state'!$C$45</c:f>
              <c:strCache>
                <c:ptCount val="1"/>
                <c:pt idx="0">
                  <c:v>6-8</c:v>
                </c:pt>
              </c:strCache>
            </c:strRef>
          </c:tx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state'!$D$45:$I$45</c:f>
              <c:numCache>
                <c:formatCode>0.00</c:formatCode>
                <c:ptCount val="6"/>
                <c:pt idx="0">
                  <c:v>0.20652173913043617</c:v>
                </c:pt>
                <c:pt idx="1">
                  <c:v>-0.31159420289856465</c:v>
                </c:pt>
                <c:pt idx="2">
                  <c:v>-0.8695652173913051</c:v>
                </c:pt>
                <c:pt idx="3">
                  <c:v>-0.34255599472991394</c:v>
                </c:pt>
                <c:pt idx="4">
                  <c:v>-0.70108695652174635</c:v>
                </c:pt>
                <c:pt idx="5">
                  <c:v>-0.6521739130434836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674-45FB-9B75-8DD7E8841824}"/>
            </c:ext>
          </c:extLst>
        </c:ser>
        <c:ser>
          <c:idx val="43"/>
          <c:order val="43"/>
          <c:tx>
            <c:strRef>
              <c:f>'Recent state'!$C$46</c:f>
              <c:strCache>
                <c:ptCount val="1"/>
                <c:pt idx="0">
                  <c:v>7-1</c:v>
                </c:pt>
              </c:strCache>
            </c:strRef>
          </c:tx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state'!$D$46:$I$46</c:f>
              <c:numCache>
                <c:formatCode>0.00</c:formatCode>
                <c:ptCount val="6"/>
                <c:pt idx="0">
                  <c:v>0.20652173913043617</c:v>
                </c:pt>
                <c:pt idx="1">
                  <c:v>-0.31884057971015806</c:v>
                </c:pt>
                <c:pt idx="2">
                  <c:v>-0.86413043478260998</c:v>
                </c:pt>
                <c:pt idx="3">
                  <c:v>-0.34255599472991394</c:v>
                </c:pt>
                <c:pt idx="4">
                  <c:v>-0.6983695652173928</c:v>
                </c:pt>
                <c:pt idx="5">
                  <c:v>-0.65652173913044931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674-45FB-9B75-8DD7E8841824}"/>
            </c:ext>
          </c:extLst>
        </c:ser>
        <c:ser>
          <c:idx val="44"/>
          <c:order val="44"/>
          <c:tx>
            <c:strRef>
              <c:f>'Recent state'!$C$47</c:f>
              <c:strCache>
                <c:ptCount val="1"/>
                <c:pt idx="0">
                  <c:v>7-2</c:v>
                </c:pt>
              </c:strCache>
            </c:strRef>
          </c:tx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state'!$D$47:$I$47</c:f>
              <c:numCache>
                <c:formatCode>0.00</c:formatCode>
                <c:ptCount val="6"/>
                <c:pt idx="0">
                  <c:v>0.15217391304347355</c:v>
                </c:pt>
                <c:pt idx="1">
                  <c:v>-0.28985507246378445</c:v>
                </c:pt>
                <c:pt idx="2">
                  <c:v>-0.8695652173913051</c:v>
                </c:pt>
                <c:pt idx="3">
                  <c:v>-0.33926218708827327</c:v>
                </c:pt>
                <c:pt idx="4">
                  <c:v>-0.69021739130435622</c:v>
                </c:pt>
                <c:pt idx="5">
                  <c:v>-0.65652173913044931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674-45FB-9B75-8DD7E8841824}"/>
            </c:ext>
          </c:extLst>
        </c:ser>
        <c:ser>
          <c:idx val="45"/>
          <c:order val="45"/>
          <c:tx>
            <c:strRef>
              <c:f>'Recent state'!$C$48</c:f>
              <c:strCache>
                <c:ptCount val="1"/>
                <c:pt idx="0">
                  <c:v>7-3</c:v>
                </c:pt>
              </c:strCache>
            </c:strRef>
          </c:tx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state'!$D$48:$I$48</c:f>
              <c:numCache>
                <c:formatCode>0.00</c:formatCode>
                <c:ptCount val="6"/>
                <c:pt idx="0">
                  <c:v>0.20652173913043617</c:v>
                </c:pt>
                <c:pt idx="1">
                  <c:v>-0.28260869565217495</c:v>
                </c:pt>
                <c:pt idx="2">
                  <c:v>-0.84782608695652484</c:v>
                </c:pt>
                <c:pt idx="3">
                  <c:v>-0.3260869565217398</c:v>
                </c:pt>
                <c:pt idx="4">
                  <c:v>-0.71467391304347794</c:v>
                </c:pt>
                <c:pt idx="5">
                  <c:v>-0.65869565217392245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1674-45FB-9B75-8DD7E8841824}"/>
            </c:ext>
          </c:extLst>
        </c:ser>
        <c:ser>
          <c:idx val="46"/>
          <c:order val="46"/>
          <c:tx>
            <c:strRef>
              <c:f>'Recent state'!$C$49</c:f>
              <c:strCache>
                <c:ptCount val="1"/>
                <c:pt idx="0">
                  <c:v>7-4</c:v>
                </c:pt>
              </c:strCache>
            </c:strRef>
          </c:tx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state'!$D$49:$I$49</c:f>
              <c:numCache>
                <c:formatCode>0.00</c:formatCode>
                <c:ptCount val="6"/>
                <c:pt idx="0">
                  <c:v>0.20652173913043617</c:v>
                </c:pt>
                <c:pt idx="1">
                  <c:v>-0.27536231884058154</c:v>
                </c:pt>
                <c:pt idx="2">
                  <c:v>-0.86413043478260998</c:v>
                </c:pt>
                <c:pt idx="3">
                  <c:v>-0.34584980237153995</c:v>
                </c:pt>
                <c:pt idx="4">
                  <c:v>-0.70108695652174635</c:v>
                </c:pt>
                <c:pt idx="5">
                  <c:v>-0.65000000000001035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1674-45FB-9B75-8DD7E8841824}"/>
            </c:ext>
          </c:extLst>
        </c:ser>
        <c:ser>
          <c:idx val="47"/>
          <c:order val="47"/>
          <c:tx>
            <c:strRef>
              <c:f>'Recent state'!$C$50</c:f>
              <c:strCache>
                <c:ptCount val="1"/>
                <c:pt idx="0">
                  <c:v>7-5</c:v>
                </c:pt>
              </c:strCache>
            </c:strRef>
          </c:tx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state'!$D$50:$I$50</c:f>
              <c:numCache>
                <c:formatCode>0.00</c:formatCode>
                <c:ptCount val="6"/>
                <c:pt idx="0">
                  <c:v>0.18478260869564389</c:v>
                </c:pt>
                <c:pt idx="1">
                  <c:v>-0.24637681159420793</c:v>
                </c:pt>
                <c:pt idx="2">
                  <c:v>-0.84782608695652484</c:v>
                </c:pt>
                <c:pt idx="3">
                  <c:v>-0.3260869565217398</c:v>
                </c:pt>
                <c:pt idx="4">
                  <c:v>-0.70108695652174635</c:v>
                </c:pt>
                <c:pt idx="5">
                  <c:v>-0.66521739130436142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1674-45FB-9B75-8DD7E8841824}"/>
            </c:ext>
          </c:extLst>
        </c:ser>
        <c:ser>
          <c:idx val="48"/>
          <c:order val="48"/>
          <c:tx>
            <c:strRef>
              <c:f>'Recent state'!$C$51</c:f>
              <c:strCache>
                <c:ptCount val="1"/>
                <c:pt idx="0">
                  <c:v>7-6</c:v>
                </c:pt>
              </c:strCache>
            </c:strRef>
          </c:tx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state'!$D$51:$I$51</c:f>
              <c:numCache>
                <c:formatCode>0.00</c:formatCode>
                <c:ptCount val="6"/>
                <c:pt idx="0">
                  <c:v>0.20652173913043617</c:v>
                </c:pt>
                <c:pt idx="1">
                  <c:v>-0.24637681159420793</c:v>
                </c:pt>
                <c:pt idx="2">
                  <c:v>-0.84782608695652484</c:v>
                </c:pt>
                <c:pt idx="3">
                  <c:v>-0.32279314888011373</c:v>
                </c:pt>
                <c:pt idx="4">
                  <c:v>-0.67663043478261253</c:v>
                </c:pt>
                <c:pt idx="5">
                  <c:v>-0.69130434782609762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1674-45FB-9B75-8DD7E8841824}"/>
            </c:ext>
          </c:extLst>
        </c:ser>
        <c:ser>
          <c:idx val="49"/>
          <c:order val="49"/>
          <c:tx>
            <c:strRef>
              <c:f>'Recent state'!$C$52</c:f>
              <c:strCache>
                <c:ptCount val="1"/>
                <c:pt idx="0">
                  <c:v>7-7</c:v>
                </c:pt>
              </c:strCache>
            </c:strRef>
          </c:tx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state'!$D$52:$I$52</c:f>
              <c:numCache>
                <c:formatCode>0.00</c:formatCode>
                <c:ptCount val="6"/>
                <c:pt idx="0">
                  <c:v>0.20652173913043617</c:v>
                </c:pt>
                <c:pt idx="1">
                  <c:v>-0.24637681159420793</c:v>
                </c:pt>
                <c:pt idx="2">
                  <c:v>-0.84782608695652484</c:v>
                </c:pt>
                <c:pt idx="3">
                  <c:v>-0.32938076416338047</c:v>
                </c:pt>
                <c:pt idx="4">
                  <c:v>-0.70108695652174635</c:v>
                </c:pt>
                <c:pt idx="5">
                  <c:v>-0.64782608695653721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1674-45FB-9B75-8DD7E8841824}"/>
            </c:ext>
          </c:extLst>
        </c:ser>
        <c:ser>
          <c:idx val="50"/>
          <c:order val="50"/>
          <c:tx>
            <c:strRef>
              <c:f>'Recent state'!$C$53</c:f>
              <c:strCache>
                <c:ptCount val="1"/>
                <c:pt idx="0">
                  <c:v>7-8</c:v>
                </c:pt>
              </c:strCache>
            </c:strRef>
          </c:tx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state'!$D$53:$I$53</c:f>
              <c:numCache>
                <c:formatCode>0.00</c:formatCode>
                <c:ptCount val="6"/>
                <c:pt idx="0">
                  <c:v>0.20652173913043617</c:v>
                </c:pt>
                <c:pt idx="1">
                  <c:v>-0.23913043478261453</c:v>
                </c:pt>
                <c:pt idx="2">
                  <c:v>-0.84239130434782983</c:v>
                </c:pt>
                <c:pt idx="3">
                  <c:v>-0.32279314888011373</c:v>
                </c:pt>
                <c:pt idx="4">
                  <c:v>-0.67119565217391752</c:v>
                </c:pt>
                <c:pt idx="5">
                  <c:v>-0.6521739130434836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1674-45FB-9B75-8DD7E8841824}"/>
            </c:ext>
          </c:extLst>
        </c:ser>
        <c:ser>
          <c:idx val="51"/>
          <c:order val="51"/>
          <c:tx>
            <c:strRef>
              <c:f>'Recent state'!$C$54</c:f>
              <c:strCache>
                <c:ptCount val="1"/>
                <c:pt idx="0">
                  <c:v>8-1</c:v>
                </c:pt>
              </c:strCache>
            </c:strRef>
          </c:tx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state'!$D$54:$I$54</c:f>
              <c:numCache>
                <c:formatCode>0.00</c:formatCode>
                <c:ptCount val="6"/>
                <c:pt idx="0">
                  <c:v>0.20652173913043617</c:v>
                </c:pt>
                <c:pt idx="1">
                  <c:v>-0.28260869565217495</c:v>
                </c:pt>
                <c:pt idx="2">
                  <c:v>-0.86413043478260998</c:v>
                </c:pt>
                <c:pt idx="3">
                  <c:v>-0.34914361001318067</c:v>
                </c:pt>
                <c:pt idx="4">
                  <c:v>-0.71739130434783149</c:v>
                </c:pt>
                <c:pt idx="5">
                  <c:v>-0.65434782608697606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6CD-4022-B623-3E8C26BC046F}"/>
            </c:ext>
          </c:extLst>
        </c:ser>
        <c:ser>
          <c:idx val="52"/>
          <c:order val="52"/>
          <c:tx>
            <c:strRef>
              <c:f>'Recent state'!$C$55</c:f>
              <c:strCache>
                <c:ptCount val="1"/>
                <c:pt idx="0">
                  <c:v>8-2</c:v>
                </c:pt>
              </c:strCache>
            </c:strRef>
          </c:tx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state'!$D$55:$I$55</c:f>
              <c:numCache>
                <c:formatCode>0.00</c:formatCode>
                <c:ptCount val="6"/>
                <c:pt idx="0">
                  <c:v>0.21739130434782628</c:v>
                </c:pt>
                <c:pt idx="1">
                  <c:v>-0.28260869565217495</c:v>
                </c:pt>
                <c:pt idx="2">
                  <c:v>-0.86413043478260998</c:v>
                </c:pt>
                <c:pt idx="3">
                  <c:v>-0.33267457180500654</c:v>
                </c:pt>
                <c:pt idx="4">
                  <c:v>-0.71739130434783149</c:v>
                </c:pt>
                <c:pt idx="5">
                  <c:v>-0.65000000000001035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6CD-4022-B623-3E8C26BC046F}"/>
            </c:ext>
          </c:extLst>
        </c:ser>
        <c:ser>
          <c:idx val="53"/>
          <c:order val="53"/>
          <c:tx>
            <c:strRef>
              <c:f>'Recent state'!$C$56</c:f>
              <c:strCache>
                <c:ptCount val="1"/>
                <c:pt idx="0">
                  <c:v>8-3</c:v>
                </c:pt>
              </c:strCache>
            </c:strRef>
          </c:tx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state'!$D$56:$I$56</c:f>
              <c:numCache>
                <c:formatCode>0.00</c:formatCode>
                <c:ptCount val="6"/>
                <c:pt idx="0">
                  <c:v>0.19565217391303399</c:v>
                </c:pt>
                <c:pt idx="1">
                  <c:v>-0.29710144927537785</c:v>
                </c:pt>
                <c:pt idx="2">
                  <c:v>-0.86413043478260998</c:v>
                </c:pt>
                <c:pt idx="3">
                  <c:v>-0.36231884057971414</c:v>
                </c:pt>
                <c:pt idx="4">
                  <c:v>-0.69293478260869779</c:v>
                </c:pt>
                <c:pt idx="5">
                  <c:v>-0.66304347826088816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6CD-4022-B623-3E8C26BC046F}"/>
            </c:ext>
          </c:extLst>
        </c:ser>
        <c:ser>
          <c:idx val="54"/>
          <c:order val="54"/>
          <c:tx>
            <c:strRef>
              <c:f>'Recent state'!$C$57</c:f>
              <c:strCache>
                <c:ptCount val="1"/>
                <c:pt idx="0">
                  <c:v>8-4</c:v>
                </c:pt>
              </c:strCache>
            </c:strRef>
          </c:tx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state'!$D$57:$I$57</c:f>
              <c:numCache>
                <c:formatCode>0.00</c:formatCode>
                <c:ptCount val="6"/>
                <c:pt idx="0">
                  <c:v>0.20652173913043617</c:v>
                </c:pt>
                <c:pt idx="1">
                  <c:v>-0.25362318840580134</c:v>
                </c:pt>
                <c:pt idx="2">
                  <c:v>-0.85326086956521996</c:v>
                </c:pt>
                <c:pt idx="3">
                  <c:v>-0.31620553359683234</c:v>
                </c:pt>
                <c:pt idx="4">
                  <c:v>-0.67119565217391752</c:v>
                </c:pt>
                <c:pt idx="5">
                  <c:v>-0.65652173913044931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6CD-4022-B623-3E8C26BC046F}"/>
            </c:ext>
          </c:extLst>
        </c:ser>
        <c:ser>
          <c:idx val="55"/>
          <c:order val="55"/>
          <c:tx>
            <c:strRef>
              <c:f>'Recent state'!$C$58</c:f>
              <c:strCache>
                <c:ptCount val="1"/>
                <c:pt idx="0">
                  <c:v>8-5</c:v>
                </c:pt>
              </c:strCache>
            </c:strRef>
          </c:tx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state'!$D$58:$I$58</c:f>
              <c:numCache>
                <c:formatCode>0.00</c:formatCode>
                <c:ptCount val="6"/>
                <c:pt idx="0">
                  <c:v>0.19565217391303399</c:v>
                </c:pt>
                <c:pt idx="1">
                  <c:v>-0.26811594202898814</c:v>
                </c:pt>
                <c:pt idx="2">
                  <c:v>-0.84782608695652484</c:v>
                </c:pt>
                <c:pt idx="3">
                  <c:v>-0.31949934123847307</c:v>
                </c:pt>
                <c:pt idx="4">
                  <c:v>-0.65217391304347883</c:v>
                </c:pt>
                <c:pt idx="5">
                  <c:v>-0.66739130434783456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6CD-4022-B623-3E8C26BC046F}"/>
            </c:ext>
          </c:extLst>
        </c:ser>
        <c:ser>
          <c:idx val="56"/>
          <c:order val="56"/>
          <c:tx>
            <c:strRef>
              <c:f>'Recent state'!$C$59</c:f>
              <c:strCache>
                <c:ptCount val="1"/>
                <c:pt idx="0">
                  <c:v>8-6</c:v>
                </c:pt>
              </c:strCache>
            </c:strRef>
          </c:tx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state'!$D$59:$I$59</c:f>
              <c:numCache>
                <c:formatCode>0.00</c:formatCode>
                <c:ptCount val="6"/>
                <c:pt idx="0">
                  <c:v>0.20652173913043617</c:v>
                </c:pt>
                <c:pt idx="1">
                  <c:v>-0.25362318840580134</c:v>
                </c:pt>
                <c:pt idx="2">
                  <c:v>-0.84782608695652484</c:v>
                </c:pt>
                <c:pt idx="3">
                  <c:v>-0.3260869565217398</c:v>
                </c:pt>
                <c:pt idx="4">
                  <c:v>-0.65760869565217384</c:v>
                </c:pt>
                <c:pt idx="5">
                  <c:v>-0.66956521739130781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6CD-4022-B623-3E8C26BC046F}"/>
            </c:ext>
          </c:extLst>
        </c:ser>
        <c:ser>
          <c:idx val="57"/>
          <c:order val="57"/>
          <c:tx>
            <c:strRef>
              <c:f>'Recent state'!$C$60</c:f>
              <c:strCache>
                <c:ptCount val="1"/>
                <c:pt idx="0">
                  <c:v>8-7</c:v>
                </c:pt>
              </c:strCache>
            </c:strRef>
          </c:tx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state'!$D$60:$I$60</c:f>
              <c:numCache>
                <c:formatCode>0.00</c:formatCode>
                <c:ptCount val="6"/>
                <c:pt idx="0">
                  <c:v>0.20652173913043617</c:v>
                </c:pt>
                <c:pt idx="1">
                  <c:v>-0.25362318840580134</c:v>
                </c:pt>
                <c:pt idx="2">
                  <c:v>-0.84782608695652484</c:v>
                </c:pt>
                <c:pt idx="3">
                  <c:v>-0.31949934123847307</c:v>
                </c:pt>
                <c:pt idx="4">
                  <c:v>-0.66032608695652739</c:v>
                </c:pt>
                <c:pt idx="5">
                  <c:v>-0.64130434782609835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6CD-4022-B623-3E8C26BC046F}"/>
            </c:ext>
          </c:extLst>
        </c:ser>
        <c:ser>
          <c:idx val="58"/>
          <c:order val="58"/>
          <c:tx>
            <c:strRef>
              <c:f>'Recent state'!$C$61</c:f>
              <c:strCache>
                <c:ptCount val="1"/>
                <c:pt idx="0">
                  <c:v>8-8</c:v>
                </c:pt>
              </c:strCache>
            </c:strRef>
          </c:tx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state'!$D$61:$I$61</c:f>
              <c:numCache>
                <c:formatCode>0.00</c:formatCode>
                <c:ptCount val="6"/>
                <c:pt idx="0">
                  <c:v>0.20652173913043617</c:v>
                </c:pt>
                <c:pt idx="1">
                  <c:v>-0.25362318840580134</c:v>
                </c:pt>
                <c:pt idx="2">
                  <c:v>-0.85869565217391497</c:v>
                </c:pt>
                <c:pt idx="3">
                  <c:v>-0.31949934123847307</c:v>
                </c:pt>
                <c:pt idx="4">
                  <c:v>-0.66304347826086896</c:v>
                </c:pt>
                <c:pt idx="5">
                  <c:v>-0.65869565217392245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6CD-4022-B623-3E8C26BC046F}"/>
            </c:ext>
          </c:extLst>
        </c:ser>
        <c:ser>
          <c:idx val="59"/>
          <c:order val="59"/>
          <c:tx>
            <c:strRef>
              <c:f>{"Lab 1-1"}</c:f>
              <c:strCache>
                <c:ptCount val="1"/>
                <c:pt idx="0">
                  <c:v>Lab 1-1</c:v>
                </c:pt>
              </c:strCache>
            </c:strRef>
          </c:tx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state'!$D$62:$I$62</c:f>
              <c:numCache>
                <c:formatCode>0.00</c:formatCode>
                <c:ptCount val="6"/>
                <c:pt idx="0">
                  <c:v>0.19565217391303399</c:v>
                </c:pt>
                <c:pt idx="1">
                  <c:v>-0.26086956521739474</c:v>
                </c:pt>
                <c:pt idx="2">
                  <c:v>-0.8695652173913051</c:v>
                </c:pt>
                <c:pt idx="3">
                  <c:v>-0.3359683794466472</c:v>
                </c:pt>
                <c:pt idx="4">
                  <c:v>-0.69021739130435622</c:v>
                </c:pt>
                <c:pt idx="5">
                  <c:v>-0.66739130434783456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43-41A9-83A4-5B4E5D5345CB}"/>
            </c:ext>
          </c:extLst>
        </c:ser>
        <c:ser>
          <c:idx val="60"/>
          <c:order val="60"/>
          <c:tx>
            <c:v>Lab 1-2</c:v>
          </c:tx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state'!$D$63:$I$63</c:f>
              <c:numCache>
                <c:formatCode>0.00</c:formatCode>
                <c:ptCount val="6"/>
                <c:pt idx="0">
                  <c:v>0.21739130434782628</c:v>
                </c:pt>
                <c:pt idx="1">
                  <c:v>-0.26811594202898814</c:v>
                </c:pt>
                <c:pt idx="2">
                  <c:v>-0.8695652173913051</c:v>
                </c:pt>
                <c:pt idx="3">
                  <c:v>-0.34584980237153995</c:v>
                </c:pt>
                <c:pt idx="4">
                  <c:v>-0.6983695652173928</c:v>
                </c:pt>
                <c:pt idx="5">
                  <c:v>-0.66739130434783456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AA-4FCE-88CA-3918708FD895}"/>
            </c:ext>
          </c:extLst>
        </c:ser>
        <c:ser>
          <c:idx val="62"/>
          <c:order val="61"/>
          <c:tx>
            <c:v>Lab 1-3</c:v>
          </c:tx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state'!$D$64:$I$64</c:f>
              <c:numCache>
                <c:formatCode>0.00</c:formatCode>
                <c:ptCount val="6"/>
                <c:pt idx="0">
                  <c:v>0.21739130434782628</c:v>
                </c:pt>
                <c:pt idx="1">
                  <c:v>-0.26086956521739474</c:v>
                </c:pt>
                <c:pt idx="2">
                  <c:v>-0.86413043478260998</c:v>
                </c:pt>
                <c:pt idx="3">
                  <c:v>-0.3359683794466472</c:v>
                </c:pt>
                <c:pt idx="4">
                  <c:v>-0.67663043478261253</c:v>
                </c:pt>
                <c:pt idx="5">
                  <c:v>-0.65869565217392245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AAA-4FCE-88CA-3918708FD895}"/>
            </c:ext>
          </c:extLst>
        </c:ser>
        <c:ser>
          <c:idx val="63"/>
          <c:order val="62"/>
          <c:tx>
            <c:v>Lab 1-4</c:v>
          </c:tx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state'!$D$65:$I$65</c:f>
              <c:numCache>
                <c:formatCode>0.00</c:formatCode>
                <c:ptCount val="6"/>
                <c:pt idx="0">
                  <c:v>0.20652173913043617</c:v>
                </c:pt>
                <c:pt idx="1">
                  <c:v>-0.28260869565217495</c:v>
                </c:pt>
                <c:pt idx="2">
                  <c:v>-0.88043478260869523</c:v>
                </c:pt>
                <c:pt idx="3">
                  <c:v>-0.34914361001318067</c:v>
                </c:pt>
                <c:pt idx="4">
                  <c:v>-0.6983695652173928</c:v>
                </c:pt>
                <c:pt idx="5">
                  <c:v>-0.66739130434783456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AAA-4FCE-88CA-3918708FD895}"/>
            </c:ext>
          </c:extLst>
        </c:ser>
        <c:ser>
          <c:idx val="64"/>
          <c:order val="63"/>
          <c:tx>
            <c:v>Lab 1-5</c:v>
          </c:tx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state'!$D$66:$I$66</c:f>
              <c:numCache>
                <c:formatCode>0.00</c:formatCode>
                <c:ptCount val="6"/>
                <c:pt idx="0">
                  <c:v>0.22826086956521638</c:v>
                </c:pt>
                <c:pt idx="1">
                  <c:v>-0.26086956521739474</c:v>
                </c:pt>
                <c:pt idx="2">
                  <c:v>-0.85869565217391497</c:v>
                </c:pt>
                <c:pt idx="3">
                  <c:v>-0.3359683794466472</c:v>
                </c:pt>
                <c:pt idx="4">
                  <c:v>-0.68206521739130765</c:v>
                </c:pt>
                <c:pt idx="5">
                  <c:v>-0.65869565217392245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AAA-4FCE-88CA-3918708FD895}"/>
            </c:ext>
          </c:extLst>
        </c:ser>
        <c:ser>
          <c:idx val="61"/>
          <c:order val="64"/>
          <c:tx>
            <c:v>Lab 1-6</c:v>
          </c:tx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state'!$D$67:$I$67</c:f>
              <c:numCache>
                <c:formatCode>0.00</c:formatCode>
                <c:ptCount val="6"/>
                <c:pt idx="0">
                  <c:v>0.23913043478260648</c:v>
                </c:pt>
                <c:pt idx="1">
                  <c:v>-0.28985507246378445</c:v>
                </c:pt>
                <c:pt idx="2">
                  <c:v>-0.87500000000000011</c:v>
                </c:pt>
                <c:pt idx="3">
                  <c:v>-0.35243741765480668</c:v>
                </c:pt>
                <c:pt idx="4">
                  <c:v>-0.69293478260869779</c:v>
                </c:pt>
                <c:pt idx="5">
                  <c:v>-0.66521739130436142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AA-4FCE-88CA-3918708FD895}"/>
            </c:ext>
          </c:extLst>
        </c:ser>
        <c:ser>
          <c:idx val="65"/>
          <c:order val="65"/>
          <c:tx>
            <c:v>Lab 1-7</c:v>
          </c:tx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state'!$D$68:$I$68</c:f>
              <c:numCache>
                <c:formatCode>0.00</c:formatCode>
                <c:ptCount val="6"/>
                <c:pt idx="0">
                  <c:v>-100</c:v>
                </c:pt>
                <c:pt idx="1">
                  <c:v>-99.999999999999986</c:v>
                </c:pt>
                <c:pt idx="2">
                  <c:v>-100</c:v>
                </c:pt>
                <c:pt idx="3">
                  <c:v>-100</c:v>
                </c:pt>
                <c:pt idx="4">
                  <c:v>-100</c:v>
                </c:pt>
                <c:pt idx="5">
                  <c:v>-100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AAA-4FCE-88CA-3918708FD895}"/>
            </c:ext>
          </c:extLst>
        </c:ser>
        <c:ser>
          <c:idx val="66"/>
          <c:order val="66"/>
          <c:tx>
            <c:v>Lab 1-8</c:v>
          </c:tx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state'!$D$69:$I$69</c:f>
              <c:numCache>
                <c:formatCode>0.00</c:formatCode>
                <c:ptCount val="6"/>
                <c:pt idx="0">
                  <c:v>0.20652173913043617</c:v>
                </c:pt>
                <c:pt idx="1">
                  <c:v>-0.29710144927537785</c:v>
                </c:pt>
                <c:pt idx="2">
                  <c:v>-0.8695652173913051</c:v>
                </c:pt>
                <c:pt idx="3">
                  <c:v>-0.34584980237153995</c:v>
                </c:pt>
                <c:pt idx="4">
                  <c:v>-0.70923913043478293</c:v>
                </c:pt>
                <c:pt idx="5">
                  <c:v>-0.66956521739130781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AAA-4FCE-88CA-3918708FD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158623"/>
        <c:axId val="1547157663"/>
      </c:scatterChart>
      <c:valAx>
        <c:axId val="1547158623"/>
        <c:scaling>
          <c:orientation val="minMax"/>
          <c:max val="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Resistance</a:t>
                </a:r>
                <a:r>
                  <a:rPr lang="en-US" baseline="0"/>
                  <a:t> [ohm]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547157663"/>
        <c:crosses val="autoZero"/>
        <c:crossBetween val="midCat"/>
      </c:valAx>
      <c:valAx>
        <c:axId val="1547157663"/>
        <c:scaling>
          <c:orientation val="minMax"/>
          <c:max val="0.30000000000000004"/>
          <c:min val="-1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Difference</a:t>
                </a:r>
                <a:r>
                  <a:rPr lang="en-US" baseline="0"/>
                  <a:t> from theoreticla potential [%]</a:t>
                </a:r>
                <a:endParaRPr lang="hu-HU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547158623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0108453187528019"/>
          <c:y val="0.19449905755693087"/>
          <c:w val="0.29151300713854911"/>
          <c:h val="0.77260774355280371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2800" b="0"/>
              <a:t>2-wire</a:t>
            </a:r>
            <a:r>
              <a:rPr lang="en-US" sz="2800" b="0" baseline="0"/>
              <a:t> configuration</a:t>
            </a:r>
            <a:endParaRPr lang="hu-HU" sz="2800" b="0"/>
          </a:p>
        </c:rich>
      </c:tx>
      <c:layout>
        <c:manualLayout>
          <c:xMode val="edge"/>
          <c:yMode val="edge"/>
          <c:x val="0.32667940184486571"/>
          <c:y val="3.005724992466539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752614085058557E-2"/>
          <c:y val="0.19513003923488248"/>
          <c:w val="0.78868849070004154"/>
          <c:h val="0.72832403326831496"/>
        </c:manualLayout>
      </c:layout>
      <c:scatterChart>
        <c:scatterStyle val="smoothMarker"/>
        <c:varyColors val="0"/>
        <c:ser>
          <c:idx val="22"/>
          <c:order val="0"/>
          <c:tx>
            <c:v>1-1</c:v>
          </c:tx>
          <c:marker>
            <c:symbol val="none"/>
          </c:marker>
          <c:xVal>
            <c:numRef>
              <c:f>'1-1'!$E$2:$J$2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'1-1'!$K$3:$P$3</c:f>
              <c:numCache>
                <c:formatCode>0.00</c:formatCode>
                <c:ptCount val="6"/>
                <c:pt idx="0">
                  <c:v>0.84782608695651285</c:v>
                </c:pt>
                <c:pt idx="1">
                  <c:v>0.16666666666666438</c:v>
                </c:pt>
                <c:pt idx="2">
                  <c:v>-0.47282608695653</c:v>
                </c:pt>
                <c:pt idx="3">
                  <c:v>-0.1482213438735234</c:v>
                </c:pt>
                <c:pt idx="4">
                  <c:v>-0.36413043478261686</c:v>
                </c:pt>
                <c:pt idx="5">
                  <c:v>-0.55217391304348495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44-4032-9BD5-694A12174B5E}"/>
            </c:ext>
          </c:extLst>
        </c:ser>
        <c:ser>
          <c:idx val="0"/>
          <c:order val="1"/>
          <c:tx>
            <c:v>1-2_1st</c:v>
          </c:tx>
          <c:marker>
            <c:symbol val="none"/>
          </c:marker>
          <c:xVal>
            <c:numRef>
              <c:f>'1-2'!$E$2:$J$2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'1-2'!$K$3:$P$3</c:f>
              <c:numCache>
                <c:formatCode>0.00</c:formatCode>
                <c:ptCount val="6"/>
                <c:pt idx="0">
                  <c:v>1.8043478260869508</c:v>
                </c:pt>
                <c:pt idx="1">
                  <c:v>1.0144927536231731</c:v>
                </c:pt>
                <c:pt idx="2">
                  <c:v>-5.4347826086962599E-2</c:v>
                </c:pt>
                <c:pt idx="3">
                  <c:v>0.1350461133069753</c:v>
                </c:pt>
                <c:pt idx="4">
                  <c:v>-0.21739130434782628</c:v>
                </c:pt>
                <c:pt idx="5">
                  <c:v>-0.40000000000001384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044-4032-9BD5-694A12174B5E}"/>
            </c:ext>
          </c:extLst>
        </c:ser>
        <c:ser>
          <c:idx val="2"/>
          <c:order val="2"/>
          <c:tx>
            <c:v>1-2_2nd</c:v>
          </c:tx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'1-2'!$K$4:$P$4</c:f>
              <c:numCache>
                <c:formatCode>0.00</c:formatCode>
                <c:ptCount val="6"/>
                <c:pt idx="0">
                  <c:v>1.0869565217391313</c:v>
                </c:pt>
                <c:pt idx="1">
                  <c:v>-1.6090188762683425E-14</c:v>
                </c:pt>
                <c:pt idx="2">
                  <c:v>-0.40760869565217728</c:v>
                </c:pt>
                <c:pt idx="3">
                  <c:v>-0.24044795783925765</c:v>
                </c:pt>
                <c:pt idx="4">
                  <c:v>-0.47282608695653</c:v>
                </c:pt>
                <c:pt idx="5">
                  <c:v>-0.48260869565218828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044-4032-9BD5-694A12174B5E}"/>
            </c:ext>
          </c:extLst>
        </c:ser>
        <c:ser>
          <c:idx val="1"/>
          <c:order val="3"/>
          <c:tx>
            <c:v>1-5</c:v>
          </c:tx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'1-5'!$K$3:$P$3</c:f>
              <c:numCache>
                <c:formatCode>0.00</c:formatCode>
                <c:ptCount val="6"/>
                <c:pt idx="0">
                  <c:v>2.0543478260869472</c:v>
                </c:pt>
                <c:pt idx="1">
                  <c:v>0.94202898550723912</c:v>
                </c:pt>
                <c:pt idx="2">
                  <c:v>-0.28804347826087401</c:v>
                </c:pt>
                <c:pt idx="3">
                  <c:v>1.9762845849800193E-2</c:v>
                </c:pt>
                <c:pt idx="4">
                  <c:v>-0.4157608695652259</c:v>
                </c:pt>
                <c:pt idx="5">
                  <c:v>-0.46521739130436413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044-4032-9BD5-694A12174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158623"/>
        <c:axId val="1547157663"/>
      </c:scatterChart>
      <c:valAx>
        <c:axId val="1547158623"/>
        <c:scaling>
          <c:orientation val="minMax"/>
          <c:max val="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Resistance</a:t>
                </a:r>
                <a:r>
                  <a:rPr lang="en-US" baseline="0"/>
                  <a:t> [ohm]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547157663"/>
        <c:crosses val="autoZero"/>
        <c:crossBetween val="midCat"/>
      </c:valAx>
      <c:valAx>
        <c:axId val="154715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Difference</a:t>
                </a:r>
                <a:r>
                  <a:rPr lang="en-US" baseline="0"/>
                  <a:t> from theoreticla potential [%]</a:t>
                </a:r>
                <a:endParaRPr lang="hu-HU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547158623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7178062155037073"/>
          <c:y val="0.19171973644157614"/>
          <c:w val="0.1115380586476717"/>
          <c:h val="0.76105198887526904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2800" b="0"/>
              <a:t>4-wire configuration</a:t>
            </a:r>
            <a:endParaRPr lang="hu-HU" sz="2800" b="0"/>
          </a:p>
        </c:rich>
      </c:tx>
      <c:layout>
        <c:manualLayout>
          <c:xMode val="edge"/>
          <c:yMode val="edge"/>
          <c:x val="0.26707122582155501"/>
          <c:y val="2.449872058927793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752614085058557E-2"/>
          <c:y val="0.17810728256768296"/>
          <c:w val="0.80333801674802729"/>
          <c:h val="0.74534681962770077"/>
        </c:manualLayout>
      </c:layout>
      <c:scatterChart>
        <c:scatterStyle val="smoothMarker"/>
        <c:varyColors val="0"/>
        <c:ser>
          <c:idx val="22"/>
          <c:order val="0"/>
          <c:tx>
            <c:strRef>
              <c:f>'Recent state'!$C$3</c:f>
              <c:strCache>
                <c:ptCount val="1"/>
                <c:pt idx="0">
                  <c:v>1-1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state'!$D$3:$I$3</c:f>
              <c:numCache>
                <c:formatCode>0.00</c:formatCode>
                <c:ptCount val="6"/>
                <c:pt idx="0">
                  <c:v>0.15217391304347355</c:v>
                </c:pt>
                <c:pt idx="1">
                  <c:v>-0.34057971014493826</c:v>
                </c:pt>
                <c:pt idx="2">
                  <c:v>-0.88043478260869523</c:v>
                </c:pt>
                <c:pt idx="3">
                  <c:v>-0.36890645586298088</c:v>
                </c:pt>
                <c:pt idx="4">
                  <c:v>-0.75271739130435544</c:v>
                </c:pt>
                <c:pt idx="5">
                  <c:v>-0.70000000000000973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1B-4185-984C-B194BDC60BF6}"/>
            </c:ext>
          </c:extLst>
        </c:ser>
        <c:ser>
          <c:idx val="0"/>
          <c:order val="1"/>
          <c:tx>
            <c:strRef>
              <c:f>'Recent state'!$C$4</c:f>
              <c:strCache>
                <c:ptCount val="1"/>
                <c:pt idx="0">
                  <c:v>1-2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state'!$D$4:$I$4</c:f>
              <c:numCache>
                <c:formatCode>0.00</c:formatCode>
                <c:ptCount val="6"/>
                <c:pt idx="0">
                  <c:v>0.17391304347825379</c:v>
                </c:pt>
                <c:pt idx="1">
                  <c:v>-0.31159420289856465</c:v>
                </c:pt>
                <c:pt idx="2">
                  <c:v>-0.89130434782608525</c:v>
                </c:pt>
                <c:pt idx="3">
                  <c:v>-0.36561264822134015</c:v>
                </c:pt>
                <c:pt idx="4">
                  <c:v>-0.73369565217391663</c:v>
                </c:pt>
                <c:pt idx="5">
                  <c:v>-0.68043478260871237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1B-4185-984C-B194BDC60BF6}"/>
            </c:ext>
          </c:extLst>
        </c:ser>
        <c:ser>
          <c:idx val="1"/>
          <c:order val="2"/>
          <c:tx>
            <c:strRef>
              <c:f>'Recent state'!$C$6</c:f>
              <c:strCache>
                <c:ptCount val="1"/>
                <c:pt idx="0">
                  <c:v>1-5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state'!$D$6:$I$6</c:f>
              <c:numCache>
                <c:formatCode>0.00</c:formatCode>
                <c:ptCount val="6"/>
                <c:pt idx="0">
                  <c:v>0.17391304347825379</c:v>
                </c:pt>
                <c:pt idx="1">
                  <c:v>-0.51359953703704464</c:v>
                </c:pt>
                <c:pt idx="2">
                  <c:v>-1.0633680555555469</c:v>
                </c:pt>
                <c:pt idx="3">
                  <c:v>-0.52872474747473608</c:v>
                </c:pt>
                <c:pt idx="4">
                  <c:v>-0.92502170138888939</c:v>
                </c:pt>
                <c:pt idx="5">
                  <c:v>-0.87239583333332404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31B-4185-984C-B194BDC60BF6}"/>
            </c:ext>
          </c:extLst>
        </c:ser>
        <c:ser>
          <c:idx val="2"/>
          <c:order val="3"/>
          <c:tx>
            <c:v>1-3_1st</c:v>
          </c:tx>
          <c:marker>
            <c:symbol val="none"/>
          </c:marke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'1-3'!$K$3:$P$3</c:f>
              <c:numCache>
                <c:formatCode>0.00</c:formatCode>
                <c:ptCount val="6"/>
                <c:pt idx="0">
                  <c:v>0.20652173913043617</c:v>
                </c:pt>
                <c:pt idx="1">
                  <c:v>-0.2246376811594277</c:v>
                </c:pt>
                <c:pt idx="2">
                  <c:v>-0.84782608695652484</c:v>
                </c:pt>
                <c:pt idx="3">
                  <c:v>-0.32938076416338047</c:v>
                </c:pt>
                <c:pt idx="4">
                  <c:v>-0.77173913043478204</c:v>
                </c:pt>
                <c:pt idx="5">
                  <c:v>-0.64565217391306406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731B-4185-984C-B194BDC60BF6}"/>
            </c:ext>
          </c:extLst>
        </c:ser>
        <c:ser>
          <c:idx val="3"/>
          <c:order val="4"/>
          <c:tx>
            <c:v>1-3_2nd</c:v>
          </c:tx>
          <c:marker>
            <c:symbol val="none"/>
          </c:marker>
          <c:xVal>
            <c:numRef>
              <c:f>'1-3'!$E$2:$J$2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'1-3'!$K$4:$P$4</c:f>
              <c:numCache>
                <c:formatCode>0.00</c:formatCode>
                <c:ptCount val="6"/>
                <c:pt idx="0">
                  <c:v>0.18478260869564389</c:v>
                </c:pt>
                <c:pt idx="1">
                  <c:v>-0.28260869565217495</c:v>
                </c:pt>
                <c:pt idx="2">
                  <c:v>-0.88043478260869523</c:v>
                </c:pt>
                <c:pt idx="3">
                  <c:v>-0.36231884057971414</c:v>
                </c:pt>
                <c:pt idx="4">
                  <c:v>-0.71195652173913648</c:v>
                </c:pt>
                <c:pt idx="5">
                  <c:v>-0.67608695652174666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731B-4185-984C-B194BDC60BF6}"/>
            </c:ext>
          </c:extLst>
        </c:ser>
        <c:ser>
          <c:idx val="4"/>
          <c:order val="5"/>
          <c:tx>
            <c:v>1-3_3rd</c:v>
          </c:tx>
          <c:marker>
            <c:symbol val="none"/>
          </c:marker>
          <c:xVal>
            <c:numRef>
              <c:f>'1-1'!$E$2:$J$2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'1-3'!$K$5:$P$5</c:f>
              <c:numCache>
                <c:formatCode>0.00</c:formatCode>
                <c:ptCount val="6"/>
                <c:pt idx="0">
                  <c:v>0.19565217391303399</c:v>
                </c:pt>
                <c:pt idx="1">
                  <c:v>-0.31159420289856465</c:v>
                </c:pt>
                <c:pt idx="2">
                  <c:v>-0.88586956521739024</c:v>
                </c:pt>
                <c:pt idx="3">
                  <c:v>-0.36231884057971414</c:v>
                </c:pt>
                <c:pt idx="4">
                  <c:v>-0.7554347826086969</c:v>
                </c:pt>
                <c:pt idx="5">
                  <c:v>-0.69782608695653647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5-731B-4185-984C-B194BDC60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158623"/>
        <c:axId val="1547157663"/>
      </c:scatterChart>
      <c:valAx>
        <c:axId val="1547158623"/>
        <c:scaling>
          <c:orientation val="minMax"/>
          <c:max val="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Resistance</a:t>
                </a:r>
                <a:r>
                  <a:rPr lang="en-US" baseline="0"/>
                  <a:t> [ohm]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547157663"/>
        <c:crosses val="autoZero"/>
        <c:crossBetween val="midCat"/>
      </c:valAx>
      <c:valAx>
        <c:axId val="154715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Difference</a:t>
                </a:r>
                <a:r>
                  <a:rPr lang="en-US" baseline="0"/>
                  <a:t> from theoreticla potential [%]</a:t>
                </a:r>
                <a:endParaRPr lang="hu-HU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547158623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7964433741931169"/>
          <c:y val="0.19733613144825457"/>
          <c:w val="8.1670891539166901E-2"/>
          <c:h val="0.7298549464552234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2800" b="0"/>
              <a:t>4-wire configuration</a:t>
            </a:r>
            <a:endParaRPr lang="hu-HU" sz="2800" b="0"/>
          </a:p>
        </c:rich>
      </c:tx>
      <c:layout>
        <c:manualLayout>
          <c:xMode val="edge"/>
          <c:yMode val="edge"/>
          <c:x val="0.26707122582155501"/>
          <c:y val="2.449872058927793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752614085058557E-2"/>
          <c:y val="0.17810728256768296"/>
          <c:w val="0.80333801674802729"/>
          <c:h val="0.74534681962770077"/>
        </c:manualLayout>
      </c:layout>
      <c:scatterChart>
        <c:scatterStyle val="lineMarker"/>
        <c:varyColors val="0"/>
        <c:ser>
          <c:idx val="22"/>
          <c:order val="0"/>
          <c:tx>
            <c:strRef>
              <c:f>'Recent state'!$C$3</c:f>
              <c:strCache>
                <c:ptCount val="1"/>
                <c:pt idx="0">
                  <c:v>1-1</c:v>
                </c:pt>
              </c:strCache>
            </c:strRef>
          </c:tx>
          <c:spPr>
            <a:ln w="25400">
              <a:noFill/>
            </a:ln>
          </c:spP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state'!$D$3:$I$3</c:f>
              <c:numCache>
                <c:formatCode>0.00</c:formatCode>
                <c:ptCount val="6"/>
                <c:pt idx="0">
                  <c:v>0.15217391304347355</c:v>
                </c:pt>
                <c:pt idx="1">
                  <c:v>-0.34057971014493826</c:v>
                </c:pt>
                <c:pt idx="2">
                  <c:v>-0.88043478260869523</c:v>
                </c:pt>
                <c:pt idx="3">
                  <c:v>-0.36890645586298088</c:v>
                </c:pt>
                <c:pt idx="4">
                  <c:v>-0.75271739130435544</c:v>
                </c:pt>
                <c:pt idx="5">
                  <c:v>-0.70000000000000973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54-4EAB-BEC0-01BDA6FD8120}"/>
            </c:ext>
          </c:extLst>
        </c:ser>
        <c:ser>
          <c:idx val="0"/>
          <c:order val="1"/>
          <c:tx>
            <c:strRef>
              <c:f>'Recent state'!$C$4</c:f>
              <c:strCache>
                <c:ptCount val="1"/>
                <c:pt idx="0">
                  <c:v>1-2</c:v>
                </c:pt>
              </c:strCache>
            </c:strRef>
          </c:tx>
          <c:spPr>
            <a:ln w="25400">
              <a:noFill/>
            </a:ln>
          </c:spP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state'!$D$4:$I$4</c:f>
              <c:numCache>
                <c:formatCode>0.00</c:formatCode>
                <c:ptCount val="6"/>
                <c:pt idx="0">
                  <c:v>0.17391304347825379</c:v>
                </c:pt>
                <c:pt idx="1">
                  <c:v>-0.31159420289856465</c:v>
                </c:pt>
                <c:pt idx="2">
                  <c:v>-0.89130434782608525</c:v>
                </c:pt>
                <c:pt idx="3">
                  <c:v>-0.36561264822134015</c:v>
                </c:pt>
                <c:pt idx="4">
                  <c:v>-0.73369565217391663</c:v>
                </c:pt>
                <c:pt idx="5">
                  <c:v>-0.68043478260871237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54-4EAB-BEC0-01BDA6FD8120}"/>
            </c:ext>
          </c:extLst>
        </c:ser>
        <c:ser>
          <c:idx val="1"/>
          <c:order val="2"/>
          <c:tx>
            <c:strRef>
              <c:f>'Recent state'!$C$6</c:f>
              <c:strCache>
                <c:ptCount val="1"/>
                <c:pt idx="0">
                  <c:v>1-5</c:v>
                </c:pt>
              </c:strCache>
            </c:strRef>
          </c:tx>
          <c:spPr>
            <a:ln w="25400">
              <a:noFill/>
            </a:ln>
          </c:spP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'Recent state'!$D$6:$I$6</c:f>
              <c:numCache>
                <c:formatCode>0.00</c:formatCode>
                <c:ptCount val="6"/>
                <c:pt idx="0">
                  <c:v>0.17391304347825379</c:v>
                </c:pt>
                <c:pt idx="1">
                  <c:v>-0.51359953703704464</c:v>
                </c:pt>
                <c:pt idx="2">
                  <c:v>-1.0633680555555469</c:v>
                </c:pt>
                <c:pt idx="3">
                  <c:v>-0.52872474747473608</c:v>
                </c:pt>
                <c:pt idx="4">
                  <c:v>-0.92502170138888939</c:v>
                </c:pt>
                <c:pt idx="5">
                  <c:v>-0.87239583333332404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54-4EAB-BEC0-01BDA6FD8120}"/>
            </c:ext>
          </c:extLst>
        </c:ser>
        <c:ser>
          <c:idx val="2"/>
          <c:order val="3"/>
          <c:tx>
            <c:v>1-3_1st</c:v>
          </c:tx>
          <c:spPr>
            <a:ln w="19050">
              <a:noFill/>
            </a:ln>
          </c:spP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'1-3'!$K$3:$P$3</c:f>
              <c:numCache>
                <c:formatCode>0.00</c:formatCode>
                <c:ptCount val="6"/>
                <c:pt idx="0">
                  <c:v>0.20652173913043617</c:v>
                </c:pt>
                <c:pt idx="1">
                  <c:v>-0.2246376811594277</c:v>
                </c:pt>
                <c:pt idx="2">
                  <c:v>-0.84782608695652484</c:v>
                </c:pt>
                <c:pt idx="3">
                  <c:v>-0.32938076416338047</c:v>
                </c:pt>
                <c:pt idx="4">
                  <c:v>-0.77173913043478204</c:v>
                </c:pt>
                <c:pt idx="5">
                  <c:v>-0.64565217391306406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54-4EAB-BEC0-01BDA6FD8120}"/>
            </c:ext>
          </c:extLst>
        </c:ser>
        <c:ser>
          <c:idx val="3"/>
          <c:order val="4"/>
          <c:tx>
            <c:v>1-3_2nd</c:v>
          </c:tx>
          <c:spPr>
            <a:ln w="19050">
              <a:noFill/>
            </a:ln>
          </c:spPr>
          <c:xVal>
            <c:numRef>
              <c:f>'1-3'!$E$2:$J$2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'1-3'!$K$4:$P$4</c:f>
              <c:numCache>
                <c:formatCode>0.00</c:formatCode>
                <c:ptCount val="6"/>
                <c:pt idx="0">
                  <c:v>0.18478260869564389</c:v>
                </c:pt>
                <c:pt idx="1">
                  <c:v>-0.28260869565217495</c:v>
                </c:pt>
                <c:pt idx="2">
                  <c:v>-0.88043478260869523</c:v>
                </c:pt>
                <c:pt idx="3">
                  <c:v>-0.36231884057971414</c:v>
                </c:pt>
                <c:pt idx="4">
                  <c:v>-0.71195652173913648</c:v>
                </c:pt>
                <c:pt idx="5">
                  <c:v>-0.67608695652174666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A54-4EAB-BEC0-01BDA6FD8120}"/>
            </c:ext>
          </c:extLst>
        </c:ser>
        <c:ser>
          <c:idx val="4"/>
          <c:order val="5"/>
          <c:tx>
            <c:v>1-3_3rd</c:v>
          </c:tx>
          <c:spPr>
            <a:ln w="19050">
              <a:noFill/>
            </a:ln>
          </c:spPr>
          <c:xVal>
            <c:numRef>
              <c:f>'1-1'!$E$2:$J$2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'1-3'!$K$5:$P$5</c:f>
              <c:numCache>
                <c:formatCode>0.00</c:formatCode>
                <c:ptCount val="6"/>
                <c:pt idx="0">
                  <c:v>0.19565217391303399</c:v>
                </c:pt>
                <c:pt idx="1">
                  <c:v>-0.31159420289856465</c:v>
                </c:pt>
                <c:pt idx="2">
                  <c:v>-0.88586956521739024</c:v>
                </c:pt>
                <c:pt idx="3">
                  <c:v>-0.36231884057971414</c:v>
                </c:pt>
                <c:pt idx="4">
                  <c:v>-0.7554347826086969</c:v>
                </c:pt>
                <c:pt idx="5">
                  <c:v>-0.69782608695653647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A54-4EAB-BEC0-01BDA6FD8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158623"/>
        <c:axId val="1547157663"/>
      </c:scatterChart>
      <c:valAx>
        <c:axId val="1547158623"/>
        <c:scaling>
          <c:orientation val="minMax"/>
          <c:max val="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Resistance</a:t>
                </a:r>
                <a:r>
                  <a:rPr lang="en-US" baseline="0"/>
                  <a:t> [ohm]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547157663"/>
        <c:crosses val="autoZero"/>
        <c:crossBetween val="midCat"/>
      </c:valAx>
      <c:valAx>
        <c:axId val="154715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Difference</a:t>
                </a:r>
                <a:r>
                  <a:rPr lang="en-US" baseline="0"/>
                  <a:t> from theoreticla potential [%]</a:t>
                </a:r>
                <a:endParaRPr lang="hu-HU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547158623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7964433741931169"/>
          <c:y val="0.19733613144825457"/>
          <c:w val="6.2621414378787918E-2"/>
          <c:h val="0.28174119495773609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2800" b="0"/>
              <a:t>2-wire</a:t>
            </a:r>
            <a:r>
              <a:rPr lang="en-US" sz="2800" b="0" baseline="0"/>
              <a:t> configuration</a:t>
            </a:r>
            <a:endParaRPr lang="hu-HU" sz="2800" b="0"/>
          </a:p>
        </c:rich>
      </c:tx>
      <c:layout>
        <c:manualLayout>
          <c:xMode val="edge"/>
          <c:yMode val="edge"/>
          <c:x val="0.32667940184486571"/>
          <c:y val="3.005724992466539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752614085058557E-2"/>
          <c:y val="0.19513003923488248"/>
          <c:w val="0.78868849070004154"/>
          <c:h val="0.72832403326831496"/>
        </c:manualLayout>
      </c:layout>
      <c:scatterChart>
        <c:scatterStyle val="lineMarker"/>
        <c:varyColors val="0"/>
        <c:ser>
          <c:idx val="22"/>
          <c:order val="0"/>
          <c:tx>
            <c:v>1-1</c:v>
          </c:tx>
          <c:spPr>
            <a:ln w="19050">
              <a:noFill/>
            </a:ln>
          </c:spPr>
          <c:xVal>
            <c:numRef>
              <c:f>'1-1'!$E$2:$J$2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'1-1'!$K$3:$P$3</c:f>
              <c:numCache>
                <c:formatCode>0.00</c:formatCode>
                <c:ptCount val="6"/>
                <c:pt idx="0">
                  <c:v>0.84782608695651285</c:v>
                </c:pt>
                <c:pt idx="1">
                  <c:v>0.16666666666666438</c:v>
                </c:pt>
                <c:pt idx="2">
                  <c:v>-0.47282608695653</c:v>
                </c:pt>
                <c:pt idx="3">
                  <c:v>-0.1482213438735234</c:v>
                </c:pt>
                <c:pt idx="4">
                  <c:v>-0.36413043478261686</c:v>
                </c:pt>
                <c:pt idx="5">
                  <c:v>-0.55217391304348495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E8-4214-8660-8D51BFD94F85}"/>
            </c:ext>
          </c:extLst>
        </c:ser>
        <c:ser>
          <c:idx val="0"/>
          <c:order val="1"/>
          <c:tx>
            <c:v>1-2_1st</c:v>
          </c:tx>
          <c:spPr>
            <a:ln w="19050">
              <a:noFill/>
            </a:ln>
          </c:spPr>
          <c:xVal>
            <c:numRef>
              <c:f>'1-2'!$E$2:$J$2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'1-2'!$K$3:$P$3</c:f>
              <c:numCache>
                <c:formatCode>0.00</c:formatCode>
                <c:ptCount val="6"/>
                <c:pt idx="0">
                  <c:v>1.8043478260869508</c:v>
                </c:pt>
                <c:pt idx="1">
                  <c:v>1.0144927536231731</c:v>
                </c:pt>
                <c:pt idx="2">
                  <c:v>-5.4347826086962599E-2</c:v>
                </c:pt>
                <c:pt idx="3">
                  <c:v>0.1350461133069753</c:v>
                </c:pt>
                <c:pt idx="4">
                  <c:v>-0.21739130434782628</c:v>
                </c:pt>
                <c:pt idx="5">
                  <c:v>-0.40000000000001384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E8-4214-8660-8D51BFD94F85}"/>
            </c:ext>
          </c:extLst>
        </c:ser>
        <c:ser>
          <c:idx val="2"/>
          <c:order val="2"/>
          <c:tx>
            <c:v>1-2_2nd</c:v>
          </c:tx>
          <c:spPr>
            <a:ln w="19050">
              <a:noFill/>
            </a:ln>
          </c:spP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'1-2'!$K$4:$P$4</c:f>
              <c:numCache>
                <c:formatCode>0.00</c:formatCode>
                <c:ptCount val="6"/>
                <c:pt idx="0">
                  <c:v>1.0869565217391313</c:v>
                </c:pt>
                <c:pt idx="1">
                  <c:v>-1.6090188762683425E-14</c:v>
                </c:pt>
                <c:pt idx="2">
                  <c:v>-0.40760869565217728</c:v>
                </c:pt>
                <c:pt idx="3">
                  <c:v>-0.24044795783925765</c:v>
                </c:pt>
                <c:pt idx="4">
                  <c:v>-0.47282608695653</c:v>
                </c:pt>
                <c:pt idx="5">
                  <c:v>-0.48260869565218828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E8-4214-8660-8D51BFD94F85}"/>
            </c:ext>
          </c:extLst>
        </c:ser>
        <c:ser>
          <c:idx val="1"/>
          <c:order val="3"/>
          <c:tx>
            <c:v>1-5</c:v>
          </c:tx>
          <c:spPr>
            <a:ln w="19050">
              <a:noFill/>
            </a:ln>
          </c:spPr>
          <c:xVal>
            <c:numRef>
              <c:f>'Recent state'!$D$2:$I$2</c:f>
              <c:numCache>
                <c:formatCode>General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3.3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'1-5'!$K$3:$P$3</c:f>
              <c:numCache>
                <c:formatCode>0.00</c:formatCode>
                <c:ptCount val="6"/>
                <c:pt idx="0">
                  <c:v>2.0543478260869472</c:v>
                </c:pt>
                <c:pt idx="1">
                  <c:v>0.94202898550723912</c:v>
                </c:pt>
                <c:pt idx="2">
                  <c:v>-0.28804347826087401</c:v>
                </c:pt>
                <c:pt idx="3">
                  <c:v>1.9762845849800193E-2</c:v>
                </c:pt>
                <c:pt idx="4">
                  <c:v>-0.4157608695652259</c:v>
                </c:pt>
                <c:pt idx="5">
                  <c:v>-0.46521739130436413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E8-4214-8660-8D51BFD94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158623"/>
        <c:axId val="1547157663"/>
      </c:scatterChart>
      <c:valAx>
        <c:axId val="1547158623"/>
        <c:scaling>
          <c:orientation val="minMax"/>
          <c:max val="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Resistance</a:t>
                </a:r>
                <a:r>
                  <a:rPr lang="en-US" baseline="0"/>
                  <a:t> [ohm]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547157663"/>
        <c:crosses val="autoZero"/>
        <c:crossBetween val="midCat"/>
      </c:valAx>
      <c:valAx>
        <c:axId val="154715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Difference</a:t>
                </a:r>
                <a:r>
                  <a:rPr lang="en-US" baseline="0"/>
                  <a:t> from theoreticla potential [%]</a:t>
                </a:r>
                <a:endParaRPr lang="hu-HU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547158623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7178062155037073"/>
          <c:y val="0.19171973644157614"/>
          <c:w val="6.2671968107723047E-2"/>
          <c:h val="0.18759925621710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400050</xdr:colOff>
      <xdr:row>3</xdr:row>
      <xdr:rowOff>161925</xdr:rowOff>
    </xdr:from>
    <xdr:to>
      <xdr:col>35</xdr:col>
      <xdr:colOff>19050</xdr:colOff>
      <xdr:row>45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1277937</xdr:colOff>
      <xdr:row>24</xdr:row>
      <xdr:rowOff>15875</xdr:rowOff>
    </xdr:from>
    <xdr:to>
      <xdr:col>28</xdr:col>
      <xdr:colOff>238495</xdr:colOff>
      <xdr:row>49</xdr:row>
      <xdr:rowOff>21425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B653CC-B4BC-4F62-8DC6-F2428F6B88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357186</xdr:colOff>
      <xdr:row>37</xdr:row>
      <xdr:rowOff>55563</xdr:rowOff>
    </xdr:from>
    <xdr:to>
      <xdr:col>19</xdr:col>
      <xdr:colOff>476250</xdr:colOff>
      <xdr:row>62</xdr:row>
      <xdr:rowOff>55562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2A0C00AF-93AF-4267-8FAE-FA0000269FA7}"/>
            </a:ext>
            <a:ext uri="{147F2762-F138-4A5C-976F-8EAC2B608ADB}">
              <a16:predDERef xmlns:a16="http://schemas.microsoft.com/office/drawing/2014/main" pred="{91B653CC-B4BC-4F62-8DC6-F2428F6B88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238124</xdr:colOff>
      <xdr:row>34</xdr:row>
      <xdr:rowOff>87312</xdr:rowOff>
    </xdr:from>
    <xdr:to>
      <xdr:col>11</xdr:col>
      <xdr:colOff>690563</xdr:colOff>
      <xdr:row>59</xdr:row>
      <xdr:rowOff>87310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8654529-E2C7-4DBE-B585-245A385F1010}"/>
            </a:ext>
            <a:ext uri="{147F2762-F138-4A5C-976F-8EAC2B608ADB}">
              <a16:predDERef xmlns:a16="http://schemas.microsoft.com/office/drawing/2014/main" pred="{2A0C00AF-93AF-4267-8FAE-FA0000269F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412749</xdr:colOff>
      <xdr:row>38</xdr:row>
      <xdr:rowOff>134938</xdr:rowOff>
    </xdr:from>
    <xdr:to>
      <xdr:col>27</xdr:col>
      <xdr:colOff>675057</xdr:colOff>
      <xdr:row>63</xdr:row>
      <xdr:rowOff>140488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6FBCD99-6B65-4C63-A7FD-76C23F7CC98B}"/>
            </a:ext>
            <a:ext uri="{147F2762-F138-4A5C-976F-8EAC2B608ADB}">
              <a16:predDERef xmlns:a16="http://schemas.microsoft.com/office/drawing/2014/main" pred="{E8654529-E2C7-4DBE-B585-245A385F10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9"/>
  <sheetViews>
    <sheetView topLeftCell="A3" zoomScale="55" zoomScaleNormal="55" workbookViewId="0">
      <selection activeCell="U4" sqref="U4"/>
    </sheetView>
  </sheetViews>
  <sheetFormatPr defaultColWidth="9" defaultRowHeight="14.4" x14ac:dyDescent="0.3"/>
  <cols>
    <col min="1" max="1" width="11.109375" style="21" bestFit="1" customWidth="1"/>
    <col min="2" max="2" width="10" style="21" bestFit="1" customWidth="1"/>
    <col min="3" max="3" width="9" style="29" customWidth="1"/>
    <col min="4" max="4" width="9" style="21" customWidth="1"/>
    <col min="5" max="5" width="13.109375" style="21" customWidth="1"/>
    <col min="6" max="6" width="11.109375" style="21" customWidth="1"/>
    <col min="7" max="7" width="11.44140625" style="21" customWidth="1"/>
    <col min="8" max="8" width="10.44140625" style="21" customWidth="1"/>
    <col min="9" max="9" width="12.44140625" style="21" customWidth="1"/>
    <col min="10" max="10" width="19" style="21" customWidth="1"/>
    <col min="11" max="11" width="10.44140625" style="21" customWidth="1"/>
    <col min="12" max="12" width="7.44140625" style="21" customWidth="1"/>
    <col min="13" max="14" width="9" style="21" customWidth="1"/>
    <col min="15" max="16384" width="9" style="21"/>
  </cols>
  <sheetData>
    <row r="1" spans="1:11" x14ac:dyDescent="0.3">
      <c r="A1" s="78" t="s">
        <v>0</v>
      </c>
      <c r="B1" s="78" t="s">
        <v>1</v>
      </c>
      <c r="C1" s="78" t="s">
        <v>2</v>
      </c>
      <c r="D1" s="75" t="s">
        <v>3</v>
      </c>
      <c r="E1" s="76"/>
      <c r="F1" s="76"/>
      <c r="G1" s="76"/>
      <c r="H1" s="76"/>
      <c r="I1" s="77"/>
      <c r="J1" s="80" t="s">
        <v>4</v>
      </c>
    </row>
    <row r="2" spans="1:11" x14ac:dyDescent="0.3">
      <c r="A2" s="79"/>
      <c r="B2" s="79"/>
      <c r="C2" s="79"/>
      <c r="D2" s="31">
        <v>1</v>
      </c>
      <c r="E2" s="30">
        <v>1.5</v>
      </c>
      <c r="F2" s="30">
        <v>2</v>
      </c>
      <c r="G2" s="30">
        <v>3.3</v>
      </c>
      <c r="H2" s="30">
        <v>4</v>
      </c>
      <c r="I2" s="30">
        <v>5</v>
      </c>
      <c r="J2" s="81"/>
    </row>
    <row r="3" spans="1:11" x14ac:dyDescent="0.3">
      <c r="A3" s="35">
        <v>46171</v>
      </c>
      <c r="B3" s="23" t="s">
        <v>5</v>
      </c>
      <c r="C3" s="24" t="s">
        <v>6</v>
      </c>
      <c r="D3" s="25">
        <v>0.15217391304347355</v>
      </c>
      <c r="E3" s="26">
        <v>-0.34057971014493826</v>
      </c>
      <c r="F3" s="26">
        <v>-0.88043478260869523</v>
      </c>
      <c r="G3" s="26">
        <v>-0.36890645586298088</v>
      </c>
      <c r="H3" s="26">
        <v>-0.75271739130435544</v>
      </c>
      <c r="I3" s="26">
        <v>-0.70000000000000973</v>
      </c>
      <c r="J3" s="27" t="s">
        <v>7</v>
      </c>
    </row>
    <row r="4" spans="1:11" x14ac:dyDescent="0.3">
      <c r="A4" s="35">
        <v>46188</v>
      </c>
      <c r="B4" s="23" t="s">
        <v>8</v>
      </c>
      <c r="C4" s="24" t="s">
        <v>9</v>
      </c>
      <c r="D4" s="25">
        <v>0.17391304347825379</v>
      </c>
      <c r="E4" s="26">
        <v>-0.31159420289856465</v>
      </c>
      <c r="F4" s="26">
        <v>-0.89130434782608525</v>
      </c>
      <c r="G4" s="26">
        <v>-0.36561264822134015</v>
      </c>
      <c r="H4" s="26">
        <v>-0.73369565217391663</v>
      </c>
      <c r="I4" s="26">
        <v>-0.68043478260871237</v>
      </c>
      <c r="J4" s="27"/>
    </row>
    <row r="5" spans="1:11" x14ac:dyDescent="0.3">
      <c r="A5" s="35">
        <v>46164</v>
      </c>
      <c r="B5" s="23" t="s">
        <v>5</v>
      </c>
      <c r="C5" s="24" t="s">
        <v>10</v>
      </c>
      <c r="D5" s="25">
        <v>0.19565217391303399</v>
      </c>
      <c r="E5" s="26">
        <v>-0.32608695652175146</v>
      </c>
      <c r="F5" s="26">
        <v>-0.89130434782608525</v>
      </c>
      <c r="G5" s="26">
        <v>-0.38866930171278102</v>
      </c>
      <c r="H5" s="26">
        <v>-0.77717391304347716</v>
      </c>
      <c r="I5" s="26">
        <v>-0.70434782608697544</v>
      </c>
      <c r="J5" s="27" t="s">
        <v>7</v>
      </c>
    </row>
    <row r="6" spans="1:11" x14ac:dyDescent="0.3">
      <c r="A6" s="35">
        <v>46171</v>
      </c>
      <c r="B6" s="23" t="s">
        <v>5</v>
      </c>
      <c r="C6" s="24" t="s">
        <v>11</v>
      </c>
      <c r="D6" s="25">
        <v>0.17391304347825379</v>
      </c>
      <c r="E6" s="26">
        <v>-0.51359953703704464</v>
      </c>
      <c r="F6" s="26">
        <v>-1.0633680555555469</v>
      </c>
      <c r="G6" s="26">
        <v>-0.52872474747473608</v>
      </c>
      <c r="H6" s="26">
        <v>-0.92502170138888939</v>
      </c>
      <c r="I6" s="26">
        <v>-0.87239583333332404</v>
      </c>
      <c r="J6" s="63" t="s">
        <v>12</v>
      </c>
    </row>
    <row r="7" spans="1:11" x14ac:dyDescent="0.3">
      <c r="A7" s="35">
        <v>46178</v>
      </c>
      <c r="B7" s="23" t="s">
        <v>5</v>
      </c>
      <c r="C7" s="24" t="s">
        <v>13</v>
      </c>
      <c r="D7" s="25">
        <v>0.18478260869564389</v>
      </c>
      <c r="E7" s="26">
        <v>-0.31884057971015806</v>
      </c>
      <c r="F7" s="26">
        <v>-0.89673913043479236</v>
      </c>
      <c r="G7" s="26">
        <v>-0.35902503293807342</v>
      </c>
      <c r="H7" s="26">
        <v>-0.72554347826086807</v>
      </c>
      <c r="I7" s="26">
        <v>-0.69347826086957087</v>
      </c>
      <c r="J7" s="27" t="s">
        <v>7</v>
      </c>
    </row>
    <row r="8" spans="1:11" x14ac:dyDescent="0.3">
      <c r="A8" s="35">
        <v>46189</v>
      </c>
      <c r="B8" s="23" t="s">
        <v>5</v>
      </c>
      <c r="C8" s="24" t="s">
        <v>14</v>
      </c>
      <c r="D8" s="25">
        <v>0.17391304347825401</v>
      </c>
      <c r="E8" s="26">
        <v>-0.282608695652175</v>
      </c>
      <c r="F8" s="26">
        <v>-0.85869565217391497</v>
      </c>
      <c r="G8" s="26">
        <v>-0.34255599472991399</v>
      </c>
      <c r="H8" s="26">
        <v>-0.67663043478261298</v>
      </c>
      <c r="I8" s="26">
        <v>-0.66521739130436142</v>
      </c>
      <c r="J8" s="27"/>
    </row>
    <row r="9" spans="1:11" x14ac:dyDescent="0.3">
      <c r="A9" s="35">
        <v>46178</v>
      </c>
      <c r="B9" s="23" t="s">
        <v>5</v>
      </c>
      <c r="C9" s="24" t="s">
        <v>15</v>
      </c>
      <c r="D9" s="25">
        <v>0.16304347826086366</v>
      </c>
      <c r="E9" s="26">
        <v>-0.34057971014493826</v>
      </c>
      <c r="F9" s="26">
        <v>-0.88586956521739024</v>
      </c>
      <c r="G9" s="26">
        <v>-0.36231884057971414</v>
      </c>
      <c r="H9" s="26">
        <v>-0.72010869565217306</v>
      </c>
      <c r="I9" s="26">
        <v>-0.67608695652174666</v>
      </c>
      <c r="J9" s="27" t="s">
        <v>7</v>
      </c>
      <c r="K9" s="28"/>
    </row>
    <row r="10" spans="1:11" x14ac:dyDescent="0.3">
      <c r="A10" s="35">
        <v>46045</v>
      </c>
      <c r="B10" s="23" t="s">
        <v>5</v>
      </c>
      <c r="C10" s="24" t="s">
        <v>16</v>
      </c>
      <c r="D10" s="25">
        <v>0.19565217391303399</v>
      </c>
      <c r="E10" s="26">
        <v>-0.28985507246378445</v>
      </c>
      <c r="F10" s="26">
        <v>-0.85326086956521996</v>
      </c>
      <c r="G10" s="26">
        <v>-0.34584980237153995</v>
      </c>
      <c r="H10" s="26">
        <v>-0.70652173913044136</v>
      </c>
      <c r="I10" s="26">
        <v>-0.66956521739130781</v>
      </c>
      <c r="J10" s="27"/>
    </row>
    <row r="11" spans="1:11" x14ac:dyDescent="0.3">
      <c r="A11" s="35">
        <v>46178</v>
      </c>
      <c r="B11" s="23" t="s">
        <v>5</v>
      </c>
      <c r="C11" s="24" t="s">
        <v>17</v>
      </c>
      <c r="D11" s="25">
        <v>0.17391304347825379</v>
      </c>
      <c r="E11" s="26">
        <v>-0.32608695652175146</v>
      </c>
      <c r="F11" s="26">
        <v>-0.88043478260869523</v>
      </c>
      <c r="G11" s="26">
        <v>-0.35902503293807342</v>
      </c>
      <c r="H11" s="26">
        <v>-0.73097826086957518</v>
      </c>
      <c r="I11" s="26">
        <v>-0.69565217391306333</v>
      </c>
      <c r="J11" s="27"/>
    </row>
    <row r="12" spans="1:11" x14ac:dyDescent="0.3">
      <c r="A12" s="35">
        <v>46171</v>
      </c>
      <c r="B12" s="23" t="s">
        <v>5</v>
      </c>
      <c r="C12" s="24" t="s">
        <v>18</v>
      </c>
      <c r="D12" s="25">
        <v>0.18478260869564389</v>
      </c>
      <c r="E12" s="26">
        <v>-0.27536231884058154</v>
      </c>
      <c r="F12" s="26">
        <v>-0.89673913043479236</v>
      </c>
      <c r="G12" s="26">
        <v>-0.37220026350460689</v>
      </c>
      <c r="H12" s="26">
        <v>-0.70108695652174635</v>
      </c>
      <c r="I12" s="26">
        <v>-0.68043478260871237</v>
      </c>
      <c r="J12" s="27" t="s">
        <v>7</v>
      </c>
    </row>
    <row r="13" spans="1:11" x14ac:dyDescent="0.3">
      <c r="A13" s="35">
        <v>46045</v>
      </c>
      <c r="B13" s="23" t="s">
        <v>19</v>
      </c>
      <c r="C13" s="24" t="s">
        <v>20</v>
      </c>
      <c r="D13" s="25">
        <v>0.16304347826086366</v>
      </c>
      <c r="E13" s="26">
        <v>-0.30434782608697125</v>
      </c>
      <c r="F13" s="26">
        <v>-0.89130434782608525</v>
      </c>
      <c r="G13" s="26">
        <v>-0.35902503293807342</v>
      </c>
      <c r="H13" s="26">
        <v>-0.74456521739130677</v>
      </c>
      <c r="I13" s="26">
        <v>-0.69565217391306333</v>
      </c>
      <c r="J13" s="27" t="s">
        <v>7</v>
      </c>
    </row>
    <row r="14" spans="1:11" x14ac:dyDescent="0.3">
      <c r="A14" s="35">
        <v>46185</v>
      </c>
      <c r="B14" s="23" t="s">
        <v>21</v>
      </c>
      <c r="C14" s="24" t="s">
        <v>22</v>
      </c>
      <c r="D14" s="25">
        <v>0.14130434782608345</v>
      </c>
      <c r="E14" s="26">
        <v>-0.31884057971015806</v>
      </c>
      <c r="F14" s="26">
        <v>-0.89673913043479236</v>
      </c>
      <c r="G14" s="26">
        <v>-0.35902503293807342</v>
      </c>
      <c r="H14" s="26">
        <v>-0.68750000000000266</v>
      </c>
      <c r="I14" s="26">
        <v>-0.66956521739130781</v>
      </c>
      <c r="J14" s="27" t="s">
        <v>7</v>
      </c>
    </row>
    <row r="15" spans="1:11" x14ac:dyDescent="0.3">
      <c r="A15" s="35">
        <v>46188</v>
      </c>
      <c r="B15" s="23" t="s">
        <v>23</v>
      </c>
      <c r="C15" s="24" t="s">
        <v>24</v>
      </c>
      <c r="D15" s="25">
        <v>0.16304347826086366</v>
      </c>
      <c r="E15" s="26">
        <v>-0.34057971014493826</v>
      </c>
      <c r="F15" s="26">
        <v>-0.91304347826087762</v>
      </c>
      <c r="G15" s="26">
        <v>-0.38866930171278102</v>
      </c>
      <c r="H15" s="26">
        <v>-0.76902173913044058</v>
      </c>
      <c r="I15" s="26">
        <v>-0.70434782608697544</v>
      </c>
      <c r="J15" s="27" t="s">
        <v>7</v>
      </c>
    </row>
    <row r="16" spans="1:11" x14ac:dyDescent="0.3">
      <c r="A16" s="35">
        <v>46163</v>
      </c>
      <c r="B16" s="23" t="s">
        <v>25</v>
      </c>
      <c r="C16" s="24" t="s">
        <v>26</v>
      </c>
      <c r="D16" s="25">
        <v>5.4347826086950532E-2</v>
      </c>
      <c r="E16" s="26">
        <v>-0.43478260869565255</v>
      </c>
      <c r="F16" s="26">
        <v>-1.0163043478260956</v>
      </c>
      <c r="G16" s="26">
        <v>-0.47430830039526317</v>
      </c>
      <c r="H16" s="26">
        <v>-0.80706521739130599</v>
      </c>
      <c r="I16" s="26">
        <v>-0.80217391304348151</v>
      </c>
      <c r="J16" s="63" t="s">
        <v>12</v>
      </c>
    </row>
    <row r="17" spans="1:10" x14ac:dyDescent="0.3">
      <c r="A17" s="35">
        <v>46168</v>
      </c>
      <c r="B17" s="23" t="s">
        <v>27</v>
      </c>
      <c r="C17" s="24" t="s">
        <v>28</v>
      </c>
      <c r="D17" s="25">
        <v>0.15217391304347355</v>
      </c>
      <c r="E17" s="26">
        <v>-0.34782608695653167</v>
      </c>
      <c r="F17" s="26">
        <v>-0.90217391304348749</v>
      </c>
      <c r="G17" s="26">
        <v>-0.37220026350460689</v>
      </c>
      <c r="H17" s="26">
        <v>-0.72282608695652661</v>
      </c>
      <c r="I17" s="26">
        <v>-0.69782608695653647</v>
      </c>
      <c r="J17" s="27"/>
    </row>
    <row r="18" spans="1:10" x14ac:dyDescent="0.3">
      <c r="A18" s="35">
        <v>46069</v>
      </c>
      <c r="B18" s="23" t="s">
        <v>29</v>
      </c>
      <c r="C18" s="24" t="s">
        <v>30</v>
      </c>
      <c r="D18" s="25">
        <v>0.31521739130434928</v>
      </c>
      <c r="E18" s="26">
        <v>-0.26811594202898814</v>
      </c>
      <c r="F18" s="26">
        <v>-0.88043478260869523</v>
      </c>
      <c r="G18" s="26">
        <v>-0.34255599472991394</v>
      </c>
      <c r="H18" s="26">
        <v>-0.68206521739130765</v>
      </c>
      <c r="I18" s="26">
        <v>-0.67391304347827341</v>
      </c>
      <c r="J18" s="27"/>
    </row>
    <row r="19" spans="1:10" x14ac:dyDescent="0.3">
      <c r="A19" s="35">
        <v>46078</v>
      </c>
      <c r="B19" s="23" t="s">
        <v>5</v>
      </c>
      <c r="C19" s="24" t="s">
        <v>31</v>
      </c>
      <c r="D19" s="25">
        <v>0.22826086956521638</v>
      </c>
      <c r="E19" s="26">
        <v>-0.26086956521739474</v>
      </c>
      <c r="F19" s="26">
        <v>-0.86413043478260998</v>
      </c>
      <c r="G19" s="26">
        <v>-0.34914361001318067</v>
      </c>
      <c r="H19" s="26">
        <v>-0.73369565217391663</v>
      </c>
      <c r="I19" s="26">
        <v>-0.70217391304348287</v>
      </c>
      <c r="J19" s="27"/>
    </row>
    <row r="20" spans="1:10" x14ac:dyDescent="0.3">
      <c r="A20" s="35">
        <v>46034</v>
      </c>
      <c r="B20" s="23" t="s">
        <v>5</v>
      </c>
      <c r="C20" s="24" t="s">
        <v>32</v>
      </c>
      <c r="D20" s="25">
        <v>0.15217391304347355</v>
      </c>
      <c r="E20" s="26">
        <v>-0.31884057971015806</v>
      </c>
      <c r="F20" s="26">
        <v>-0.91847826086957263</v>
      </c>
      <c r="G20" s="26">
        <v>-0.40513833992095521</v>
      </c>
      <c r="H20" s="26">
        <v>-0.73913043478261176</v>
      </c>
      <c r="I20" s="26">
        <v>-0.73260869565218489</v>
      </c>
      <c r="J20" s="27"/>
    </row>
    <row r="21" spans="1:10" x14ac:dyDescent="0.3">
      <c r="A21" s="35">
        <v>46069</v>
      </c>
      <c r="B21" s="23" t="s">
        <v>5</v>
      </c>
      <c r="C21" s="24" t="s">
        <v>33</v>
      </c>
      <c r="D21" s="25">
        <v>0.11956521739130324</v>
      </c>
      <c r="E21" s="26">
        <v>-0.32608695652175146</v>
      </c>
      <c r="F21" s="26">
        <v>-0.92391304347826764</v>
      </c>
      <c r="G21" s="26">
        <v>-0.39855072463768848</v>
      </c>
      <c r="H21" s="26">
        <v>-0.72554347826086807</v>
      </c>
      <c r="I21" s="26">
        <v>-0.72173913043479954</v>
      </c>
      <c r="J21" s="27"/>
    </row>
    <row r="22" spans="1:10" x14ac:dyDescent="0.3">
      <c r="A22" s="35">
        <v>46035</v>
      </c>
      <c r="B22" s="23" t="s">
        <v>5</v>
      </c>
      <c r="C22" s="24" t="s">
        <v>34</v>
      </c>
      <c r="D22" s="25">
        <v>0.11956521739130324</v>
      </c>
      <c r="E22" s="26">
        <v>-0.37681159420290528</v>
      </c>
      <c r="F22" s="26">
        <v>-0.96739130434782816</v>
      </c>
      <c r="G22" s="26">
        <v>-0.44466403162055557</v>
      </c>
      <c r="H22" s="26">
        <v>-0.79619565217391586</v>
      </c>
      <c r="I22" s="26">
        <v>-0.76956521739130634</v>
      </c>
      <c r="J22" s="27" t="s">
        <v>7</v>
      </c>
    </row>
    <row r="23" spans="1:10" x14ac:dyDescent="0.3">
      <c r="A23" s="35">
        <v>46168</v>
      </c>
      <c r="B23" s="23" t="s">
        <v>35</v>
      </c>
      <c r="C23" s="24" t="s">
        <v>36</v>
      </c>
      <c r="D23" s="25">
        <v>0.11956521739130324</v>
      </c>
      <c r="E23" s="26">
        <v>-0.39855072463768548</v>
      </c>
      <c r="F23" s="26">
        <v>-0.95108695652174291</v>
      </c>
      <c r="G23" s="26">
        <v>-0.41831357048748863</v>
      </c>
      <c r="H23" s="26">
        <v>-0.76902173913044058</v>
      </c>
      <c r="I23" s="26">
        <v>-0.7673913043478332</v>
      </c>
      <c r="J23" s="63"/>
    </row>
    <row r="24" spans="1:10" x14ac:dyDescent="0.3">
      <c r="A24" s="35">
        <v>46185</v>
      </c>
      <c r="B24" s="23" t="s">
        <v>37</v>
      </c>
      <c r="C24" s="24" t="s">
        <v>38</v>
      </c>
      <c r="D24" s="25">
        <v>5.4347826086950532E-2</v>
      </c>
      <c r="E24" s="26">
        <v>-0.41304347826087229</v>
      </c>
      <c r="F24" s="26">
        <v>-1.0054347826087056</v>
      </c>
      <c r="G24" s="26">
        <v>-0.4710144927536225</v>
      </c>
      <c r="H24" s="26">
        <v>-0.80163043478261087</v>
      </c>
      <c r="I24" s="26">
        <v>-0.78260869565218416</v>
      </c>
      <c r="J24" s="59" t="s">
        <v>12</v>
      </c>
    </row>
    <row r="25" spans="1:10" x14ac:dyDescent="0.3">
      <c r="A25" s="35">
        <v>46185</v>
      </c>
      <c r="B25" s="23" t="s">
        <v>5</v>
      </c>
      <c r="C25" s="24" t="s">
        <v>39</v>
      </c>
      <c r="D25" s="25">
        <v>1.0869565217390107E-2</v>
      </c>
      <c r="E25" s="26">
        <v>-0.46376811594204226</v>
      </c>
      <c r="F25" s="26">
        <v>-1.0489130434782661</v>
      </c>
      <c r="G25" s="26">
        <v>-0.50724637681159679</v>
      </c>
      <c r="H25" s="26">
        <v>-0.89402173913043881</v>
      </c>
      <c r="I25" s="26">
        <v>-0.83478260869565668</v>
      </c>
      <c r="J25" s="59" t="s">
        <v>12</v>
      </c>
    </row>
    <row r="26" spans="1:10" x14ac:dyDescent="0.3">
      <c r="A26" s="35">
        <v>46170</v>
      </c>
      <c r="B26" s="23"/>
      <c r="C26" s="24" t="s">
        <v>40</v>
      </c>
      <c r="D26" s="25">
        <v>0.26086956521738669</v>
      </c>
      <c r="E26" s="26">
        <v>-0.29710144927537785</v>
      </c>
      <c r="F26" s="26">
        <v>-0.87500000000000011</v>
      </c>
      <c r="G26" s="26">
        <v>-0.35243741765480668</v>
      </c>
      <c r="H26" s="26">
        <v>-0.6983695652173928</v>
      </c>
      <c r="I26" s="26">
        <v>-0.66739130434783456</v>
      </c>
      <c r="J26" s="27"/>
    </row>
    <row r="27" spans="1:10" x14ac:dyDescent="0.3">
      <c r="A27" s="35">
        <v>46170</v>
      </c>
      <c r="B27" s="23"/>
      <c r="C27" s="24" t="s">
        <v>41</v>
      </c>
      <c r="D27" s="25">
        <v>0.17391304347825379</v>
      </c>
      <c r="E27" s="26">
        <v>-0.31159420289856465</v>
      </c>
      <c r="F27" s="26">
        <v>-0.89673913043479236</v>
      </c>
      <c r="G27" s="26">
        <v>-0.36561264822134015</v>
      </c>
      <c r="H27" s="26">
        <v>-0.72010869565217306</v>
      </c>
      <c r="I27" s="26">
        <v>-0.68478260869565877</v>
      </c>
      <c r="J27" s="27"/>
    </row>
    <row r="28" spans="1:10" x14ac:dyDescent="0.3">
      <c r="A28" s="35">
        <v>46205</v>
      </c>
      <c r="B28" s="23"/>
      <c r="C28" s="24" t="s">
        <v>42</v>
      </c>
      <c r="D28" s="25">
        <v>0.18478260869564389</v>
      </c>
      <c r="E28" s="26">
        <v>-0.30434782608697125</v>
      </c>
      <c r="F28" s="26">
        <v>-0.89673913043479236</v>
      </c>
      <c r="G28" s="26">
        <v>-0.36231884057971414</v>
      </c>
      <c r="H28" s="26">
        <v>-0.71195652173913648</v>
      </c>
      <c r="I28" s="26">
        <v>-0.68478260869565877</v>
      </c>
      <c r="J28" s="27"/>
    </row>
    <row r="29" spans="1:10" x14ac:dyDescent="0.3">
      <c r="A29" s="35">
        <v>46205</v>
      </c>
      <c r="B29" s="23"/>
      <c r="C29" s="24" t="s">
        <v>43</v>
      </c>
      <c r="D29" s="25">
        <v>0.18478260869564389</v>
      </c>
      <c r="E29" s="26">
        <v>-0.33333333333334486</v>
      </c>
      <c r="F29" s="26">
        <v>-0.89130434782608525</v>
      </c>
      <c r="G29" s="26">
        <v>-0.37220026350460689</v>
      </c>
      <c r="H29" s="26">
        <v>-0.73097826086957518</v>
      </c>
      <c r="I29" s="26">
        <v>-0.7282608695652385</v>
      </c>
      <c r="J29" s="27"/>
    </row>
    <row r="30" spans="1:10" x14ac:dyDescent="0.3">
      <c r="A30" s="35">
        <v>46205</v>
      </c>
      <c r="B30" s="23" t="s">
        <v>5</v>
      </c>
      <c r="C30" s="24" t="s">
        <v>44</v>
      </c>
      <c r="D30" s="25">
        <v>0.17391304347825379</v>
      </c>
      <c r="E30" s="26">
        <v>-0.34782608695653167</v>
      </c>
      <c r="F30" s="26">
        <v>-0.88586956521739024</v>
      </c>
      <c r="G30" s="26">
        <v>-0.36561264822134015</v>
      </c>
      <c r="H30" s="26">
        <v>-0.72826086956522162</v>
      </c>
      <c r="I30" s="26">
        <v>-0.68260869565218552</v>
      </c>
      <c r="J30" s="27"/>
    </row>
    <row r="31" spans="1:10" x14ac:dyDescent="0.3">
      <c r="A31" s="35">
        <v>46205</v>
      </c>
      <c r="B31" s="23" t="s">
        <v>5</v>
      </c>
      <c r="C31" s="24" t="s">
        <v>45</v>
      </c>
      <c r="D31" s="25">
        <v>0.16304347826086366</v>
      </c>
      <c r="E31" s="26">
        <v>-0.34057971014493826</v>
      </c>
      <c r="F31" s="26">
        <v>-0.89673913043479236</v>
      </c>
      <c r="G31" s="26">
        <v>-0.35902503293807342</v>
      </c>
      <c r="H31" s="26">
        <v>-0.73369565217391663</v>
      </c>
      <c r="I31" s="26">
        <v>-0.68913043478262448</v>
      </c>
      <c r="J31" s="27"/>
    </row>
    <row r="32" spans="1:10" x14ac:dyDescent="0.3">
      <c r="A32" s="35">
        <v>46170</v>
      </c>
      <c r="B32" s="23" t="s">
        <v>5</v>
      </c>
      <c r="C32" s="24" t="s">
        <v>46</v>
      </c>
      <c r="D32" s="25">
        <v>0.19565217391303399</v>
      </c>
      <c r="E32" s="26">
        <v>-0.26811594202898814</v>
      </c>
      <c r="F32" s="26">
        <v>-0.88043478260869523</v>
      </c>
      <c r="G32" s="26">
        <v>-0.35573122529644741</v>
      </c>
      <c r="H32" s="26">
        <v>-0.6983695652173928</v>
      </c>
      <c r="I32" s="26">
        <v>-0.65000000000001035</v>
      </c>
      <c r="J32" s="27"/>
    </row>
    <row r="33" spans="1:16" x14ac:dyDescent="0.3">
      <c r="A33" s="35">
        <v>46170</v>
      </c>
      <c r="B33" s="23" t="s">
        <v>5</v>
      </c>
      <c r="C33" s="24" t="s">
        <v>47</v>
      </c>
      <c r="D33" s="25">
        <v>-0.31521739130434928</v>
      </c>
      <c r="E33" s="26">
        <v>-0.31159420289856465</v>
      </c>
      <c r="F33" s="26">
        <v>-0.89130434782608525</v>
      </c>
      <c r="G33" s="26">
        <v>-0.35243741765480668</v>
      </c>
      <c r="H33" s="26">
        <v>-0.70108695652174635</v>
      </c>
      <c r="I33" s="26">
        <v>-0.66739130434783456</v>
      </c>
      <c r="J33" s="27"/>
    </row>
    <row r="34" spans="1:16" x14ac:dyDescent="0.3">
      <c r="A34" s="35">
        <v>46171</v>
      </c>
      <c r="B34" s="23" t="s">
        <v>48</v>
      </c>
      <c r="C34" s="24" t="s">
        <v>49</v>
      </c>
      <c r="D34" s="25">
        <v>0.24999999999999659</v>
      </c>
      <c r="E34" s="26">
        <v>-0.21014492753624089</v>
      </c>
      <c r="F34" s="26">
        <v>-0.81521739130435456</v>
      </c>
      <c r="G34" s="26">
        <v>-0.27997364953887266</v>
      </c>
      <c r="H34" s="26">
        <v>-0.66576086956522251</v>
      </c>
      <c r="I34" s="26">
        <v>-0.65000000000001035</v>
      </c>
      <c r="J34" s="27"/>
    </row>
    <row r="35" spans="1:16" x14ac:dyDescent="0.3">
      <c r="A35" s="35">
        <v>46042</v>
      </c>
      <c r="B35" s="23" t="s">
        <v>5</v>
      </c>
      <c r="C35" s="24" t="s">
        <v>50</v>
      </c>
      <c r="D35" s="25">
        <v>0.18478260869564389</v>
      </c>
      <c r="E35" s="26">
        <v>-0.29710144927537785</v>
      </c>
      <c r="F35" s="26">
        <v>-0.88586956521739024</v>
      </c>
      <c r="G35" s="26">
        <v>-0.34584980237153995</v>
      </c>
      <c r="H35" s="26">
        <v>-0.66576086956522251</v>
      </c>
      <c r="I35" s="26">
        <v>-0.65652173913044931</v>
      </c>
      <c r="J35" s="27"/>
    </row>
    <row r="36" spans="1:16" x14ac:dyDescent="0.3">
      <c r="A36" s="35">
        <v>46042</v>
      </c>
      <c r="B36" s="23" t="s">
        <v>5</v>
      </c>
      <c r="C36" s="24" t="s">
        <v>51</v>
      </c>
      <c r="D36" s="25">
        <v>0.18478260869564389</v>
      </c>
      <c r="E36" s="26">
        <v>-0.25362318840580134</v>
      </c>
      <c r="F36" s="26">
        <v>-0.8695652173913051</v>
      </c>
      <c r="G36" s="26">
        <v>-0.34584980237153995</v>
      </c>
      <c r="H36" s="26">
        <v>-0.71195652173913648</v>
      </c>
      <c r="I36" s="26">
        <v>-0.67391304347827341</v>
      </c>
      <c r="J36" s="27"/>
    </row>
    <row r="37" spans="1:16" x14ac:dyDescent="0.3">
      <c r="A37" s="35">
        <v>46042</v>
      </c>
      <c r="B37" s="23" t="s">
        <v>5</v>
      </c>
      <c r="C37" s="24" t="s">
        <v>52</v>
      </c>
      <c r="D37" s="25">
        <v>0.18478260869564389</v>
      </c>
      <c r="E37" s="26">
        <v>-0.31884057971015806</v>
      </c>
      <c r="F37" s="26">
        <v>-0.8695652173913051</v>
      </c>
      <c r="G37" s="26">
        <v>-0.34584980237153995</v>
      </c>
      <c r="H37" s="26">
        <v>-0.6793478260869662</v>
      </c>
      <c r="I37" s="26">
        <v>-0.69347826086957087</v>
      </c>
      <c r="J37" s="27"/>
    </row>
    <row r="38" spans="1:16" x14ac:dyDescent="0.3">
      <c r="A38" s="35">
        <v>46177</v>
      </c>
      <c r="B38" s="23" t="s">
        <v>5</v>
      </c>
      <c r="C38" s="24" t="s">
        <v>53</v>
      </c>
      <c r="D38" s="25">
        <v>0.20652173913043617</v>
      </c>
      <c r="E38" s="26">
        <v>-0.28260869565217495</v>
      </c>
      <c r="F38" s="26">
        <v>-0.86413043478260998</v>
      </c>
      <c r="G38" s="26">
        <v>-0.3359683794466472</v>
      </c>
      <c r="H38" s="26">
        <v>-0.65489130434783238</v>
      </c>
      <c r="I38" s="26">
        <v>-0.65000000000001035</v>
      </c>
      <c r="J38" s="27"/>
    </row>
    <row r="39" spans="1:16" x14ac:dyDescent="0.3">
      <c r="A39" s="35">
        <v>46177</v>
      </c>
      <c r="B39" s="23" t="s">
        <v>5</v>
      </c>
      <c r="C39" s="24" t="s">
        <v>54</v>
      </c>
      <c r="D39" s="25">
        <v>0.18478260869564389</v>
      </c>
      <c r="E39" s="26">
        <v>-0.25362318840580134</v>
      </c>
      <c r="F39" s="26">
        <v>-0.87500000000000011</v>
      </c>
      <c r="G39" s="26">
        <v>-0.35573122529644741</v>
      </c>
      <c r="H39" s="26">
        <v>-0.68206521739130765</v>
      </c>
      <c r="I39" s="26">
        <v>-0.65434782608697606</v>
      </c>
      <c r="J39" s="27"/>
    </row>
    <row r="40" spans="1:16" x14ac:dyDescent="0.3">
      <c r="A40" s="35">
        <v>46103</v>
      </c>
      <c r="B40" s="23" t="s">
        <v>5</v>
      </c>
      <c r="C40" s="24" t="s">
        <v>55</v>
      </c>
      <c r="D40" s="25">
        <v>0.21739130434782628</v>
      </c>
      <c r="E40" s="26">
        <v>-0.25362318840580134</v>
      </c>
      <c r="F40" s="26">
        <v>-0.84239130434782983</v>
      </c>
      <c r="G40" s="26">
        <v>-0.31949934123847307</v>
      </c>
      <c r="H40" s="26">
        <v>-0.66032608695652739</v>
      </c>
      <c r="I40" s="26">
        <v>-0.6521739130434836</v>
      </c>
      <c r="J40" s="27"/>
      <c r="M40" s="47"/>
      <c r="P40" s="29"/>
    </row>
    <row r="41" spans="1:16" x14ac:dyDescent="0.3">
      <c r="A41" s="35">
        <v>46178</v>
      </c>
      <c r="B41" s="23" t="s">
        <v>5</v>
      </c>
      <c r="C41" s="24" t="s">
        <v>56</v>
      </c>
      <c r="D41" s="25">
        <v>0.20652173913043617</v>
      </c>
      <c r="E41" s="26">
        <v>-0.28260869565217495</v>
      </c>
      <c r="F41" s="26">
        <v>-0.85869565217391497</v>
      </c>
      <c r="G41" s="26">
        <v>-0.3359683794466472</v>
      </c>
      <c r="H41" s="26">
        <v>-0.67663043478261253</v>
      </c>
      <c r="I41" s="26">
        <v>-0.65869565217392245</v>
      </c>
      <c r="J41" s="27"/>
      <c r="P41" s="29"/>
    </row>
    <row r="42" spans="1:16" x14ac:dyDescent="0.3">
      <c r="A42" s="35">
        <v>46178</v>
      </c>
      <c r="B42" s="23" t="s">
        <v>5</v>
      </c>
      <c r="C42" s="24" t="s">
        <v>57</v>
      </c>
      <c r="D42" s="25">
        <v>0.19565217391303399</v>
      </c>
      <c r="E42" s="26">
        <v>-0.26811594202898814</v>
      </c>
      <c r="F42" s="26">
        <v>-0.86413043478260998</v>
      </c>
      <c r="G42" s="26">
        <v>-0.3359683794466472</v>
      </c>
      <c r="H42" s="26">
        <v>-0.69293478260869779</v>
      </c>
      <c r="I42" s="26">
        <v>-0.65000000000001035</v>
      </c>
      <c r="J42" s="27"/>
      <c r="P42" s="29"/>
    </row>
    <row r="43" spans="1:16" x14ac:dyDescent="0.3">
      <c r="A43" s="35">
        <v>46168</v>
      </c>
      <c r="B43" s="23" t="s">
        <v>5</v>
      </c>
      <c r="C43" s="24" t="s">
        <v>58</v>
      </c>
      <c r="D43" s="25">
        <v>0.11956521739130324</v>
      </c>
      <c r="E43" s="26">
        <v>-0.30434782608697125</v>
      </c>
      <c r="F43" s="26">
        <v>-0.86413043478260998</v>
      </c>
      <c r="G43" s="26">
        <v>-0.33926218708827327</v>
      </c>
      <c r="H43" s="26">
        <v>-0.72554347826086807</v>
      </c>
      <c r="I43" s="26">
        <v>-0.66739130434783456</v>
      </c>
      <c r="J43" s="27"/>
      <c r="P43" s="29"/>
    </row>
    <row r="44" spans="1:16" x14ac:dyDescent="0.3">
      <c r="A44" s="35">
        <v>46178</v>
      </c>
      <c r="B44" s="23" t="s">
        <v>5</v>
      </c>
      <c r="C44" s="24" t="s">
        <v>59</v>
      </c>
      <c r="D44" s="25">
        <v>0.18478260869564389</v>
      </c>
      <c r="E44" s="26">
        <v>-0.28985507246378445</v>
      </c>
      <c r="F44" s="26">
        <v>-0.86413043478260998</v>
      </c>
      <c r="G44" s="26">
        <v>-0.34255599472991394</v>
      </c>
      <c r="H44" s="26">
        <v>-0.73641304347827019</v>
      </c>
      <c r="I44" s="26">
        <v>-0.66956521739130781</v>
      </c>
      <c r="J44" s="27"/>
      <c r="P44" s="29"/>
    </row>
    <row r="45" spans="1:16" x14ac:dyDescent="0.3">
      <c r="A45" s="35">
        <v>46205</v>
      </c>
      <c r="B45" s="23" t="s">
        <v>5</v>
      </c>
      <c r="C45" s="24" t="s">
        <v>60</v>
      </c>
      <c r="D45" s="25">
        <v>0.20652173913043617</v>
      </c>
      <c r="E45" s="26">
        <v>-0.31159420289856465</v>
      </c>
      <c r="F45" s="26">
        <v>-0.8695652173913051</v>
      </c>
      <c r="G45" s="26">
        <v>-0.34255599472991394</v>
      </c>
      <c r="H45" s="26">
        <v>-0.70108695652174635</v>
      </c>
      <c r="I45" s="26">
        <v>-0.6521739130434836</v>
      </c>
      <c r="J45" s="27"/>
      <c r="P45" s="29"/>
    </row>
    <row r="46" spans="1:16" x14ac:dyDescent="0.3">
      <c r="A46" s="35">
        <v>46162</v>
      </c>
      <c r="B46" s="23" t="s">
        <v>5</v>
      </c>
      <c r="C46" s="24" t="s">
        <v>61</v>
      </c>
      <c r="D46" s="25">
        <v>0.20652173913043617</v>
      </c>
      <c r="E46" s="26">
        <v>-0.31884057971015806</v>
      </c>
      <c r="F46" s="26">
        <v>-0.86413043478260998</v>
      </c>
      <c r="G46" s="26">
        <v>-0.34255599472991394</v>
      </c>
      <c r="H46" s="26">
        <v>-0.6983695652173928</v>
      </c>
      <c r="I46" s="26">
        <v>-0.65652173913044931</v>
      </c>
      <c r="J46" s="27"/>
      <c r="P46" s="29"/>
    </row>
    <row r="47" spans="1:16" x14ac:dyDescent="0.3">
      <c r="A47" s="35">
        <v>46162</v>
      </c>
      <c r="B47" s="23" t="s">
        <v>5</v>
      </c>
      <c r="C47" s="24" t="s">
        <v>62</v>
      </c>
      <c r="D47" s="25">
        <v>0.15217391304347355</v>
      </c>
      <c r="E47" s="26">
        <v>-0.28985507246378445</v>
      </c>
      <c r="F47" s="26">
        <v>-0.8695652173913051</v>
      </c>
      <c r="G47" s="26">
        <v>-0.33926218708827327</v>
      </c>
      <c r="H47" s="26">
        <v>-0.69021739130435622</v>
      </c>
      <c r="I47" s="26">
        <v>-0.65652173913044931</v>
      </c>
      <c r="J47" s="27"/>
      <c r="P47" s="29"/>
    </row>
    <row r="48" spans="1:16" x14ac:dyDescent="0.3">
      <c r="A48" s="35">
        <v>46178</v>
      </c>
      <c r="B48" s="23" t="s">
        <v>5</v>
      </c>
      <c r="C48" s="24" t="s">
        <v>63</v>
      </c>
      <c r="D48" s="25">
        <v>0.20652173913043617</v>
      </c>
      <c r="E48" s="26">
        <v>-0.28260869565217495</v>
      </c>
      <c r="F48" s="26">
        <v>-0.84782608695652484</v>
      </c>
      <c r="G48" s="26">
        <v>-0.3260869565217398</v>
      </c>
      <c r="H48" s="26">
        <v>-0.71467391304347794</v>
      </c>
      <c r="I48" s="26">
        <v>-0.65869565217392245</v>
      </c>
      <c r="J48" s="27"/>
      <c r="P48" s="29"/>
    </row>
    <row r="49" spans="1:16" x14ac:dyDescent="0.3">
      <c r="A49" s="35">
        <v>46205</v>
      </c>
      <c r="B49" s="23" t="s">
        <v>5</v>
      </c>
      <c r="C49" s="24" t="s">
        <v>64</v>
      </c>
      <c r="D49" s="25">
        <v>0.20652173913043617</v>
      </c>
      <c r="E49" s="26">
        <v>-0.27536231884058154</v>
      </c>
      <c r="F49" s="26">
        <v>-0.86413043478260998</v>
      </c>
      <c r="G49" s="26">
        <v>-0.34584980237153995</v>
      </c>
      <c r="H49" s="26">
        <v>-0.70108695652174635</v>
      </c>
      <c r="I49" s="26">
        <v>-0.65000000000001035</v>
      </c>
      <c r="J49" s="27"/>
      <c r="P49" s="29"/>
    </row>
    <row r="50" spans="1:16" x14ac:dyDescent="0.3">
      <c r="A50" s="35">
        <v>46103</v>
      </c>
      <c r="B50" s="23" t="s">
        <v>5</v>
      </c>
      <c r="C50" s="24" t="s">
        <v>65</v>
      </c>
      <c r="D50" s="25">
        <v>0.18478260869564389</v>
      </c>
      <c r="E50" s="26">
        <v>-0.24637681159420793</v>
      </c>
      <c r="F50" s="26">
        <v>-0.84782608695652484</v>
      </c>
      <c r="G50" s="26">
        <v>-0.3260869565217398</v>
      </c>
      <c r="H50" s="26">
        <v>-0.70108695652174635</v>
      </c>
      <c r="I50" s="26">
        <v>-0.66521739130436142</v>
      </c>
      <c r="J50" s="27"/>
      <c r="P50" s="29"/>
    </row>
    <row r="51" spans="1:16" x14ac:dyDescent="0.3">
      <c r="A51" s="35">
        <v>46103</v>
      </c>
      <c r="B51" s="23" t="s">
        <v>5</v>
      </c>
      <c r="C51" s="24" t="s">
        <v>66</v>
      </c>
      <c r="D51" s="25">
        <v>0.20652173913043617</v>
      </c>
      <c r="E51" s="26">
        <v>-0.24637681159420793</v>
      </c>
      <c r="F51" s="26">
        <v>-0.84782608695652484</v>
      </c>
      <c r="G51" s="26">
        <v>-0.32279314888011373</v>
      </c>
      <c r="H51" s="26">
        <v>-0.67663043478261253</v>
      </c>
      <c r="I51" s="26">
        <v>-0.69130434782609762</v>
      </c>
      <c r="J51" s="27"/>
      <c r="P51" s="29"/>
    </row>
    <row r="52" spans="1:16" x14ac:dyDescent="0.3">
      <c r="A52" s="35">
        <v>46103</v>
      </c>
      <c r="B52" s="23" t="s">
        <v>5</v>
      </c>
      <c r="C52" s="24" t="s">
        <v>67</v>
      </c>
      <c r="D52" s="25">
        <v>0.20652173913043617</v>
      </c>
      <c r="E52" s="26">
        <v>-0.24637681159420793</v>
      </c>
      <c r="F52" s="26">
        <v>-0.84782608695652484</v>
      </c>
      <c r="G52" s="26">
        <v>-0.32938076416338047</v>
      </c>
      <c r="H52" s="26">
        <v>-0.70108695652174635</v>
      </c>
      <c r="I52" s="26">
        <v>-0.64782608695653721</v>
      </c>
      <c r="J52" s="27"/>
      <c r="P52" s="29"/>
    </row>
    <row r="53" spans="1:16" x14ac:dyDescent="0.3">
      <c r="A53" s="35">
        <v>46103</v>
      </c>
      <c r="B53" s="23" t="s">
        <v>5</v>
      </c>
      <c r="C53" s="24" t="s">
        <v>68</v>
      </c>
      <c r="D53" s="25">
        <v>0.20652173913043617</v>
      </c>
      <c r="E53" s="26">
        <v>-0.23913043478261453</v>
      </c>
      <c r="F53" s="26">
        <v>-0.84239130434782983</v>
      </c>
      <c r="G53" s="26">
        <v>-0.32279314888011373</v>
      </c>
      <c r="H53" s="26">
        <v>-0.67119565217391752</v>
      </c>
      <c r="I53" s="26">
        <v>-0.6521739130434836</v>
      </c>
      <c r="J53" s="27"/>
      <c r="P53" s="29"/>
    </row>
    <row r="54" spans="1:16" x14ac:dyDescent="0.3">
      <c r="A54" s="35">
        <v>46162</v>
      </c>
      <c r="B54" s="23" t="s">
        <v>5</v>
      </c>
      <c r="C54" s="24" t="s">
        <v>69</v>
      </c>
      <c r="D54" s="25">
        <v>0.20652173913043617</v>
      </c>
      <c r="E54" s="26">
        <v>-0.28260869565217495</v>
      </c>
      <c r="F54" s="26">
        <v>-0.86413043478260998</v>
      </c>
      <c r="G54" s="26">
        <v>-0.34914361001318067</v>
      </c>
      <c r="H54" s="26">
        <v>-0.71739130434783149</v>
      </c>
      <c r="I54" s="26">
        <v>-0.65434782608697606</v>
      </c>
      <c r="J54" s="27"/>
      <c r="P54" s="29"/>
    </row>
    <row r="55" spans="1:16" x14ac:dyDescent="0.3">
      <c r="A55" s="35">
        <v>46162</v>
      </c>
      <c r="B55" s="23" t="s">
        <v>5</v>
      </c>
      <c r="C55" s="24" t="s">
        <v>70</v>
      </c>
      <c r="D55" s="25">
        <v>0.21739130434782628</v>
      </c>
      <c r="E55" s="26">
        <v>-0.28260869565217495</v>
      </c>
      <c r="F55" s="26">
        <v>-0.86413043478260998</v>
      </c>
      <c r="G55" s="26">
        <v>-0.33267457180500654</v>
      </c>
      <c r="H55" s="26">
        <v>-0.71739130434783149</v>
      </c>
      <c r="I55" s="26">
        <v>-0.65000000000001035</v>
      </c>
      <c r="J55" s="27"/>
      <c r="P55" s="29"/>
    </row>
    <row r="56" spans="1:16" x14ac:dyDescent="0.3">
      <c r="A56" s="35">
        <v>46162</v>
      </c>
      <c r="B56" s="23" t="s">
        <v>5</v>
      </c>
      <c r="C56" s="24" t="s">
        <v>71</v>
      </c>
      <c r="D56" s="25">
        <v>0.19565217391303399</v>
      </c>
      <c r="E56" s="26">
        <v>-0.29710144927537785</v>
      </c>
      <c r="F56" s="26">
        <v>-0.86413043478260998</v>
      </c>
      <c r="G56" s="26">
        <v>-0.36231884057971414</v>
      </c>
      <c r="H56" s="26">
        <v>-0.69293478260869779</v>
      </c>
      <c r="I56" s="26">
        <v>-0.66304347826088816</v>
      </c>
      <c r="J56" s="27"/>
      <c r="P56" s="29"/>
    </row>
    <row r="57" spans="1:16" x14ac:dyDescent="0.3">
      <c r="A57" s="35">
        <v>46103</v>
      </c>
      <c r="B57" s="23" t="s">
        <v>5</v>
      </c>
      <c r="C57" s="24" t="s">
        <v>72</v>
      </c>
      <c r="D57" s="25">
        <v>0.20652173913043617</v>
      </c>
      <c r="E57" s="26">
        <v>-0.25362318840580134</v>
      </c>
      <c r="F57" s="26">
        <v>-0.85326086956521996</v>
      </c>
      <c r="G57" s="26">
        <v>-0.31620553359683234</v>
      </c>
      <c r="H57" s="26">
        <v>-0.67119565217391752</v>
      </c>
      <c r="I57" s="26">
        <v>-0.65652173913044931</v>
      </c>
      <c r="J57" s="27"/>
      <c r="P57" s="29"/>
    </row>
    <row r="58" spans="1:16" x14ac:dyDescent="0.3">
      <c r="A58" s="35">
        <v>46170</v>
      </c>
      <c r="B58" s="23" t="s">
        <v>5</v>
      </c>
      <c r="C58" s="24" t="s">
        <v>73</v>
      </c>
      <c r="D58" s="25">
        <v>0.19565217391303399</v>
      </c>
      <c r="E58" s="26">
        <v>-0.26811594202898814</v>
      </c>
      <c r="F58" s="26">
        <v>-0.84782608695652484</v>
      </c>
      <c r="G58" s="26">
        <v>-0.31949934123847307</v>
      </c>
      <c r="H58" s="26">
        <v>-0.65217391304347883</v>
      </c>
      <c r="I58" s="26">
        <v>-0.66739130434783456</v>
      </c>
      <c r="J58" s="27"/>
      <c r="P58" s="29"/>
    </row>
    <row r="59" spans="1:16" x14ac:dyDescent="0.3">
      <c r="A59" s="35">
        <v>46103</v>
      </c>
      <c r="B59" s="23" t="s">
        <v>5</v>
      </c>
      <c r="C59" s="24" t="s">
        <v>74</v>
      </c>
      <c r="D59" s="25">
        <v>0.20652173913043617</v>
      </c>
      <c r="E59" s="26">
        <v>-0.25362318840580134</v>
      </c>
      <c r="F59" s="26">
        <v>-0.84782608695652484</v>
      </c>
      <c r="G59" s="26">
        <v>-0.3260869565217398</v>
      </c>
      <c r="H59" s="26">
        <v>-0.65760869565217384</v>
      </c>
      <c r="I59" s="26">
        <v>-0.66956521739130781</v>
      </c>
      <c r="J59" s="27"/>
      <c r="P59" s="29"/>
    </row>
    <row r="60" spans="1:16" x14ac:dyDescent="0.3">
      <c r="A60" s="35">
        <v>46103</v>
      </c>
      <c r="B60" s="23" t="s">
        <v>5</v>
      </c>
      <c r="C60" s="24" t="s">
        <v>75</v>
      </c>
      <c r="D60" s="25">
        <v>0.20652173913043617</v>
      </c>
      <c r="E60" s="26">
        <v>-0.25362318840580134</v>
      </c>
      <c r="F60" s="26">
        <v>-0.84782608695652484</v>
      </c>
      <c r="G60" s="26">
        <v>-0.31949934123847307</v>
      </c>
      <c r="H60" s="26">
        <v>-0.66032608695652739</v>
      </c>
      <c r="I60" s="26">
        <v>-0.64130434782609835</v>
      </c>
      <c r="J60" s="27"/>
      <c r="P60" s="29"/>
    </row>
    <row r="61" spans="1:16" x14ac:dyDescent="0.3">
      <c r="A61" s="35">
        <v>46103</v>
      </c>
      <c r="B61" s="23" t="s">
        <v>5</v>
      </c>
      <c r="C61" s="24" t="s">
        <v>76</v>
      </c>
      <c r="D61" s="25">
        <v>0.20652173913043617</v>
      </c>
      <c r="E61" s="26">
        <v>-0.25362318840580134</v>
      </c>
      <c r="F61" s="26">
        <v>-0.85869565217391497</v>
      </c>
      <c r="G61" s="26">
        <v>-0.31949934123847307</v>
      </c>
      <c r="H61" s="26">
        <v>-0.66304347826086896</v>
      </c>
      <c r="I61" s="26">
        <v>-0.65869565217392245</v>
      </c>
      <c r="J61" s="27"/>
      <c r="P61" s="29"/>
    </row>
    <row r="62" spans="1:16" x14ac:dyDescent="0.3">
      <c r="A62" s="35">
        <v>46212</v>
      </c>
      <c r="B62" s="23" t="s">
        <v>5</v>
      </c>
      <c r="C62" s="24" t="s">
        <v>77</v>
      </c>
      <c r="D62" s="25">
        <v>0.19565217391303399</v>
      </c>
      <c r="E62" s="26">
        <v>-0.26086956521739474</v>
      </c>
      <c r="F62" s="26">
        <v>-0.8695652173913051</v>
      </c>
      <c r="G62" s="26">
        <v>-0.3359683794466472</v>
      </c>
      <c r="H62" s="26">
        <v>-0.69021739130435622</v>
      </c>
      <c r="I62" s="26">
        <v>-0.66739130434783456</v>
      </c>
      <c r="J62" s="27"/>
      <c r="P62" s="29"/>
    </row>
    <row r="63" spans="1:16" x14ac:dyDescent="0.3">
      <c r="A63" s="35">
        <v>46212</v>
      </c>
      <c r="B63" s="23" t="s">
        <v>5</v>
      </c>
      <c r="C63" s="24" t="s">
        <v>78</v>
      </c>
      <c r="D63" s="25">
        <v>0.21739130434782628</v>
      </c>
      <c r="E63" s="26">
        <v>-0.26811594202898814</v>
      </c>
      <c r="F63" s="26">
        <v>-0.8695652173913051</v>
      </c>
      <c r="G63" s="26">
        <v>-0.34584980237153995</v>
      </c>
      <c r="H63" s="26">
        <v>-0.6983695652173928</v>
      </c>
      <c r="I63" s="26">
        <v>-0.66739130434783456</v>
      </c>
      <c r="J63" s="27"/>
      <c r="P63" s="29"/>
    </row>
    <row r="64" spans="1:16" x14ac:dyDescent="0.3">
      <c r="A64" s="35">
        <v>46212</v>
      </c>
      <c r="B64" s="23" t="s">
        <v>5</v>
      </c>
      <c r="C64" s="24" t="s">
        <v>79</v>
      </c>
      <c r="D64" s="25">
        <v>0.21739130434782628</v>
      </c>
      <c r="E64" s="26">
        <v>-0.26086956521739474</v>
      </c>
      <c r="F64" s="26">
        <v>-0.86413043478260998</v>
      </c>
      <c r="G64" s="26">
        <v>-0.3359683794466472</v>
      </c>
      <c r="H64" s="26">
        <v>-0.67663043478261253</v>
      </c>
      <c r="I64" s="26">
        <v>-0.65869565217392245</v>
      </c>
      <c r="J64" s="27"/>
    </row>
    <row r="65" spans="1:10" x14ac:dyDescent="0.3">
      <c r="A65" s="35">
        <v>46212</v>
      </c>
      <c r="B65" s="23" t="s">
        <v>5</v>
      </c>
      <c r="C65" s="24" t="s">
        <v>80</v>
      </c>
      <c r="D65" s="25">
        <v>0.20652173913043617</v>
      </c>
      <c r="E65" s="26">
        <v>-0.28260869565217495</v>
      </c>
      <c r="F65" s="26">
        <v>-0.88043478260869523</v>
      </c>
      <c r="G65" s="26">
        <v>-0.34914361001318067</v>
      </c>
      <c r="H65" s="26">
        <v>-0.6983695652173928</v>
      </c>
      <c r="I65" s="26">
        <v>-0.66739130434783456</v>
      </c>
      <c r="J65" s="27"/>
    </row>
    <row r="66" spans="1:10" x14ac:dyDescent="0.3">
      <c r="A66" s="35">
        <v>46212</v>
      </c>
      <c r="B66" s="23" t="s">
        <v>5</v>
      </c>
      <c r="C66" s="24" t="s">
        <v>81</v>
      </c>
      <c r="D66" s="25">
        <v>0.22826086956521638</v>
      </c>
      <c r="E66" s="26">
        <v>-0.26086956521739474</v>
      </c>
      <c r="F66" s="26">
        <v>-0.85869565217391497</v>
      </c>
      <c r="G66" s="26">
        <v>-0.3359683794466472</v>
      </c>
      <c r="H66" s="26">
        <v>-0.68206521739130765</v>
      </c>
      <c r="I66" s="26">
        <v>-0.65869565217392245</v>
      </c>
      <c r="J66" s="27"/>
    </row>
    <row r="67" spans="1:10" x14ac:dyDescent="0.3">
      <c r="A67" s="53">
        <v>46212</v>
      </c>
      <c r="B67" s="54" t="s">
        <v>5</v>
      </c>
      <c r="C67" s="55" t="s">
        <v>82</v>
      </c>
      <c r="D67" s="56">
        <v>0.23913043478260648</v>
      </c>
      <c r="E67" s="57">
        <v>-0.28985507246378445</v>
      </c>
      <c r="F67" s="57">
        <v>-0.87500000000000011</v>
      </c>
      <c r="G67" s="57">
        <v>-0.35243741765480668</v>
      </c>
      <c r="H67" s="57">
        <v>-0.69293478260869779</v>
      </c>
      <c r="I67" s="57">
        <v>-0.66521739130436142</v>
      </c>
      <c r="J67" s="58"/>
    </row>
    <row r="68" spans="1:10" ht="23.4" x14ac:dyDescent="0.3">
      <c r="A68" s="35">
        <v>46212</v>
      </c>
      <c r="B68" s="23" t="s">
        <v>5</v>
      </c>
      <c r="C68" s="24" t="s">
        <v>83</v>
      </c>
      <c r="D68" s="25">
        <v>-100</v>
      </c>
      <c r="E68" s="26">
        <v>-99.999999999999986</v>
      </c>
      <c r="F68" s="26">
        <v>-100</v>
      </c>
      <c r="G68" s="26">
        <v>-100</v>
      </c>
      <c r="H68" s="26">
        <v>-100</v>
      </c>
      <c r="I68" s="26">
        <v>-100</v>
      </c>
      <c r="J68" s="65" t="s">
        <v>12</v>
      </c>
    </row>
    <row r="69" spans="1:10" x14ac:dyDescent="0.3">
      <c r="A69" s="35">
        <v>46212</v>
      </c>
      <c r="B69" s="23" t="s">
        <v>5</v>
      </c>
      <c r="C69" s="24" t="s">
        <v>84</v>
      </c>
      <c r="D69" s="25">
        <v>0.20652173913043617</v>
      </c>
      <c r="E69" s="26">
        <v>-0.29710144927537785</v>
      </c>
      <c r="F69" s="26">
        <v>-0.8695652173913051</v>
      </c>
      <c r="G69" s="26">
        <v>-0.34584980237153995</v>
      </c>
      <c r="H69" s="26">
        <v>-0.70923913043478293</v>
      </c>
      <c r="I69" s="26">
        <v>-0.66956521739130781</v>
      </c>
      <c r="J69" s="27"/>
    </row>
  </sheetData>
  <sheetProtection selectLockedCells="1"/>
  <mergeCells count="5">
    <mergeCell ref="D1:I1"/>
    <mergeCell ref="A1:A2"/>
    <mergeCell ref="B1:B2"/>
    <mergeCell ref="C1:C2"/>
    <mergeCell ref="J1:J2"/>
  </mergeCells>
  <phoneticPr fontId="2" type="noConversion"/>
  <conditionalFormatting sqref="A3:J69">
    <cfRule type="expression" dxfId="206" priority="7">
      <formula>TODAY() - $A3 &gt;= 90</formula>
    </cfRule>
    <cfRule type="expression" dxfId="205" priority="8">
      <formula>AND(TODAY() - $A3 &gt;= 75, TODAY() - $A3 &lt; 90)</formula>
    </cfRule>
    <cfRule type="expression" dxfId="204" priority="9">
      <formula>AND(TODAY() - $A3 &gt;= 60, TODAY() - $A3 &lt; 75)</formula>
    </cfRule>
    <cfRule type="expression" dxfId="203" priority="10">
      <formula>AND(TODAY() - $A3 &gt;= 45, TODAY() - $A3 &lt; 60)</formula>
    </cfRule>
    <cfRule type="expression" dxfId="202" priority="11">
      <formula>AND(TODAY() - $A3 &gt;= 21, TODAY() - $A3 &lt; 45)</formula>
    </cfRule>
    <cfRule type="expression" dxfId="201" priority="12">
      <formula>TODAY() - $A3 &lt; 21</formula>
    </cfRule>
  </conditionalFormatting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6"/>
  <sheetViews>
    <sheetView zoomScale="70" zoomScaleNormal="70" workbookViewId="0">
      <selection activeCell="J9" sqref="J9"/>
    </sheetView>
  </sheetViews>
  <sheetFormatPr defaultColWidth="18.33203125" defaultRowHeight="14.4" x14ac:dyDescent="0.3"/>
  <cols>
    <col min="1" max="1" width="12.88671875" style="21" customWidth="1"/>
    <col min="2" max="2" width="10.109375" style="21" bestFit="1" customWidth="1"/>
    <col min="3" max="3" width="14.5546875" style="21" bestFit="1" customWidth="1"/>
    <col min="4" max="4" width="17.109375" style="21" customWidth="1"/>
    <col min="5" max="5" width="12.109375" style="21" customWidth="1"/>
    <col min="6" max="6" width="11.5546875" style="21" customWidth="1"/>
    <col min="7" max="8" width="12.6640625" style="21" customWidth="1"/>
    <col min="9" max="9" width="11.6640625" style="21" customWidth="1"/>
    <col min="10" max="10" width="10" style="21" customWidth="1"/>
    <col min="11" max="11" width="13.44140625" style="21" customWidth="1"/>
    <col min="12" max="12" width="11.88671875" style="21" customWidth="1"/>
    <col min="13" max="13" width="12.6640625" style="21" customWidth="1"/>
    <col min="14" max="14" width="11.33203125" style="21" customWidth="1"/>
    <col min="15" max="15" width="13.5546875" style="21" customWidth="1"/>
    <col min="16" max="16" width="12.33203125" style="21" customWidth="1"/>
    <col min="17" max="18" width="18.33203125" style="21" customWidth="1"/>
    <col min="19" max="16384" width="18.33203125" style="21"/>
  </cols>
  <sheetData>
    <row r="1" spans="1:18" ht="14.7" customHeight="1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84" t="s">
        <v>90</v>
      </c>
      <c r="R1" s="82" t="s">
        <v>4</v>
      </c>
    </row>
    <row r="2" spans="1:18" ht="14.7" customHeight="1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85"/>
      <c r="R2" s="83"/>
    </row>
    <row r="3" spans="1:18" x14ac:dyDescent="0.3">
      <c r="A3" s="22">
        <v>45800</v>
      </c>
      <c r="B3" s="23" t="s">
        <v>97</v>
      </c>
      <c r="C3" s="23" t="s">
        <v>98</v>
      </c>
      <c r="D3" s="23">
        <v>0.92</v>
      </c>
      <c r="E3" s="23">
        <v>0.92779999999999996</v>
      </c>
      <c r="F3" s="23">
        <v>1.3823000000000001</v>
      </c>
      <c r="G3" s="23">
        <v>1.8312999999999999</v>
      </c>
      <c r="H3" s="23">
        <v>3.0314999999999999</v>
      </c>
      <c r="I3" s="23">
        <v>3.6665999999999999</v>
      </c>
      <c r="J3" s="23">
        <v>4.5746000000000002</v>
      </c>
      <c r="K3" s="5">
        <f t="shared" ref="K3:K16" si="0">IF(D3=0, 0, 100*(E3 - D3*1)/(D3*1))</f>
        <v>0.84782608695651285</v>
      </c>
      <c r="L3" s="5">
        <f t="shared" ref="L3:L16" si="1">IF(D3=0, 0, 100*(F3 - D3*1.5)/(D3*1.5))</f>
        <v>0.16666666666666438</v>
      </c>
      <c r="M3" s="5">
        <f t="shared" ref="M3:M16" si="2">IF(D3=0, 0, 100*(G3 - D3*2)/(D3*2))</f>
        <v>-0.47282608695653</v>
      </c>
      <c r="N3" s="5">
        <f t="shared" ref="N3:N16" si="3">IF(D3=0, 0, 100*(H3 - D3*3.3)/(D3*3.3))</f>
        <v>-0.1482213438735234</v>
      </c>
      <c r="O3" s="5">
        <f t="shared" ref="O3:O16" si="4">IF(D3=0, 0, 100*(I3 - D3*4)/(D3*4))</f>
        <v>-0.36413043478261686</v>
      </c>
      <c r="P3" s="5">
        <f t="shared" ref="P3:P16" si="5">IF(D3=0, 0, 100*(J3 - D3*5)/(D3*5))</f>
        <v>-0.55217391304348495</v>
      </c>
      <c r="Q3" s="32" t="str">
        <f t="shared" ref="Q3:Q16" si="6">IF(AND(K3&gt;=0.11,K3&lt;=0.27,L3&gt;=-0.36,L3&lt;=-0.22,M3&gt;=-0.92,M3&lt;=-0.82,N3&gt;=-0.4,N3&lt;=-0.3,O3&gt;=-0.79,O3&lt;=-0.64,P3&gt;=-0.76,P3&lt;=-0.61), "Yes", IF(AND(K3=0,L3=0,M3=0,N3=0,O3=0,P3=0), "Ready to test", "No"))</f>
        <v>No</v>
      </c>
      <c r="R3" s="27" t="s">
        <v>99</v>
      </c>
    </row>
    <row r="4" spans="1:18" x14ac:dyDescent="0.3">
      <c r="A4" s="16">
        <v>45807</v>
      </c>
      <c r="B4" s="6" t="s">
        <v>5</v>
      </c>
      <c r="C4" s="6" t="s">
        <v>100</v>
      </c>
      <c r="D4" s="6">
        <v>0.92</v>
      </c>
      <c r="E4" s="27">
        <v>0.92169999999999996</v>
      </c>
      <c r="F4" s="27">
        <v>1.3756999999999999</v>
      </c>
      <c r="G4" s="27">
        <v>1.8239000000000001</v>
      </c>
      <c r="H4" s="27">
        <v>3.0247999999999999</v>
      </c>
      <c r="I4" s="27">
        <v>3.653</v>
      </c>
      <c r="J4" s="27">
        <v>4.5686999999999998</v>
      </c>
      <c r="K4" s="5">
        <f t="shared" si="0"/>
        <v>0.18478260869564389</v>
      </c>
      <c r="L4" s="5">
        <f t="shared" si="1"/>
        <v>-0.31159420289856465</v>
      </c>
      <c r="M4" s="5">
        <f t="shared" si="2"/>
        <v>-0.87500000000000011</v>
      </c>
      <c r="N4" s="5">
        <f t="shared" si="3"/>
        <v>-0.36890645586298088</v>
      </c>
      <c r="O4" s="5">
        <f t="shared" si="4"/>
        <v>-0.73369565217391663</v>
      </c>
      <c r="P4" s="5">
        <f t="shared" si="5"/>
        <v>-0.68043478260871237</v>
      </c>
      <c r="Q4" s="33" t="str">
        <f t="shared" si="6"/>
        <v>Yes</v>
      </c>
      <c r="R4" s="27" t="s">
        <v>7</v>
      </c>
    </row>
    <row r="5" spans="1:18" x14ac:dyDescent="0.3">
      <c r="A5" s="40">
        <v>45888</v>
      </c>
      <c r="B5" s="27"/>
      <c r="C5" s="27" t="s">
        <v>101</v>
      </c>
      <c r="D5" s="27">
        <v>0.92</v>
      </c>
      <c r="E5" s="27">
        <v>0.9214</v>
      </c>
      <c r="F5" s="27">
        <v>1.3753</v>
      </c>
      <c r="G5" s="27">
        <v>1.8229</v>
      </c>
      <c r="H5" s="27">
        <v>3.0240999999999998</v>
      </c>
      <c r="I5" s="27">
        <v>3.6526000000000001</v>
      </c>
      <c r="J5" s="27">
        <v>4.5675999999999997</v>
      </c>
      <c r="K5" s="5">
        <f t="shared" si="0"/>
        <v>0.15217391304347355</v>
      </c>
      <c r="L5" s="5">
        <f t="shared" si="1"/>
        <v>-0.34057971014493826</v>
      </c>
      <c r="M5" s="5">
        <f t="shared" si="2"/>
        <v>-0.92934782608696276</v>
      </c>
      <c r="N5" s="5">
        <f t="shared" si="3"/>
        <v>-0.39196310935442175</v>
      </c>
      <c r="O5" s="5">
        <f t="shared" si="4"/>
        <v>-0.74456521739130677</v>
      </c>
      <c r="P5" s="5">
        <f t="shared" si="5"/>
        <v>-0.70434782608697544</v>
      </c>
      <c r="Q5" s="33" t="str">
        <f>IF(AND(K5&gt;=0.11,K5&lt;=0.27,L5&gt;=-0.36,L5&lt;=-0.22,M5&gt;=-0.94,M5&lt;=-0.82,N5&gt;=-0.4,N5&lt;=-0.3,O5&gt;=-0.79,O5&lt;=-0.64,P5&gt;=-0.76,P5&lt;=-0.61), "Yes", IF(AND(K5=0,L5=0,M5=0,N5=0,O5=0,P5=0), "Ready to test", "No"))</f>
        <v>Yes</v>
      </c>
      <c r="R5" s="27"/>
    </row>
    <row r="6" spans="1:18" x14ac:dyDescent="0.3">
      <c r="A6" s="40">
        <v>45916</v>
      </c>
      <c r="B6" s="27" t="s">
        <v>5</v>
      </c>
      <c r="C6" s="27" t="s">
        <v>102</v>
      </c>
      <c r="D6" s="27">
        <v>0.92</v>
      </c>
      <c r="E6" s="27">
        <v>0.92169999999999996</v>
      </c>
      <c r="F6" s="27">
        <v>1.3759999999999999</v>
      </c>
      <c r="G6" s="27">
        <v>1.8237000000000001</v>
      </c>
      <c r="H6" s="27">
        <v>3.0253999999999999</v>
      </c>
      <c r="I6" s="27">
        <v>3.6543999999999999</v>
      </c>
      <c r="J6" s="27">
        <v>4.5693000000000001</v>
      </c>
      <c r="K6" s="5">
        <f t="shared" si="0"/>
        <v>0.18478260869564389</v>
      </c>
      <c r="L6" s="5">
        <f t="shared" si="1"/>
        <v>-0.28985507246378445</v>
      </c>
      <c r="M6" s="5">
        <f t="shared" si="2"/>
        <v>-0.88586956521739024</v>
      </c>
      <c r="N6" s="5">
        <f t="shared" si="3"/>
        <v>-0.34914361001318067</v>
      </c>
      <c r="O6" s="5">
        <f t="shared" si="4"/>
        <v>-0.69565217391305134</v>
      </c>
      <c r="P6" s="5">
        <f t="shared" si="5"/>
        <v>-0.66739130434783456</v>
      </c>
      <c r="Q6" s="49" t="str">
        <f t="shared" si="6"/>
        <v>Yes</v>
      </c>
      <c r="R6" s="27"/>
    </row>
    <row r="7" spans="1:18" x14ac:dyDescent="0.3">
      <c r="A7" s="16">
        <v>46041</v>
      </c>
      <c r="B7" s="6"/>
      <c r="C7" s="6" t="s">
        <v>103</v>
      </c>
      <c r="D7" s="6">
        <v>0.92</v>
      </c>
      <c r="E7" s="27">
        <v>0.92179999999999995</v>
      </c>
      <c r="F7" s="48">
        <v>1.3761000000000001</v>
      </c>
      <c r="G7" s="27">
        <v>1.8242</v>
      </c>
      <c r="H7" s="27">
        <v>3.0255999999999998</v>
      </c>
      <c r="I7" s="27">
        <v>3.6547000000000001</v>
      </c>
      <c r="J7" s="27">
        <v>4.5689000000000002</v>
      </c>
      <c r="K7" s="5">
        <f t="shared" si="0"/>
        <v>0.19565217391303399</v>
      </c>
      <c r="L7" s="5">
        <f t="shared" si="1"/>
        <v>-0.28260869565217495</v>
      </c>
      <c r="M7" s="5">
        <f t="shared" si="2"/>
        <v>-0.85869565217391497</v>
      </c>
      <c r="N7" s="5">
        <f t="shared" si="3"/>
        <v>-0.34255599472991394</v>
      </c>
      <c r="O7" s="5">
        <f t="shared" si="4"/>
        <v>-0.68750000000000266</v>
      </c>
      <c r="P7" s="5">
        <f t="shared" si="5"/>
        <v>-0.67608695652174666</v>
      </c>
      <c r="Q7" s="49" t="str">
        <f t="shared" si="6"/>
        <v>Yes</v>
      </c>
      <c r="R7" s="27"/>
    </row>
    <row r="8" spans="1:18" x14ac:dyDescent="0.3">
      <c r="A8" s="40">
        <v>46164</v>
      </c>
      <c r="B8" s="27"/>
      <c r="C8" s="27" t="s">
        <v>104</v>
      </c>
      <c r="D8" s="27">
        <v>0.92</v>
      </c>
      <c r="E8" s="27">
        <v>0.92149999999999999</v>
      </c>
      <c r="F8" s="27">
        <v>1.3751</v>
      </c>
      <c r="G8" s="27">
        <v>1.8233999999999999</v>
      </c>
      <c r="H8" s="27">
        <v>3.0243000000000002</v>
      </c>
      <c r="I8" s="27">
        <v>3.6534</v>
      </c>
      <c r="J8" s="27">
        <v>4.5682</v>
      </c>
      <c r="K8" s="5">
        <f t="shared" si="0"/>
        <v>0.16304347826086366</v>
      </c>
      <c r="L8" s="5">
        <f t="shared" si="1"/>
        <v>-0.35507246376812507</v>
      </c>
      <c r="M8" s="5">
        <f t="shared" si="2"/>
        <v>-0.90217391304348749</v>
      </c>
      <c r="N8" s="5">
        <f t="shared" si="3"/>
        <v>-0.38537549407114036</v>
      </c>
      <c r="O8" s="5">
        <f t="shared" si="4"/>
        <v>-0.72282608695652661</v>
      </c>
      <c r="P8" s="5">
        <f t="shared" si="5"/>
        <v>-0.69130434782609762</v>
      </c>
      <c r="Q8" s="49" t="str">
        <f t="shared" si="6"/>
        <v>Yes</v>
      </c>
      <c r="R8" s="27"/>
    </row>
    <row r="9" spans="1:18" x14ac:dyDescent="0.3">
      <c r="A9" s="16" t="s">
        <v>105</v>
      </c>
      <c r="B9" s="6"/>
      <c r="C9" s="6" t="s">
        <v>106</v>
      </c>
      <c r="D9" s="6">
        <v>0.92</v>
      </c>
      <c r="E9" s="27">
        <v>0.9214</v>
      </c>
      <c r="F9" s="27">
        <v>1.3753</v>
      </c>
      <c r="G9" s="27">
        <v>1.8238000000000001</v>
      </c>
      <c r="H9" s="27">
        <v>3.0247999999999999</v>
      </c>
      <c r="I9" s="27">
        <v>3.6522999999999999</v>
      </c>
      <c r="J9" s="27">
        <v>4.5678000000000001</v>
      </c>
      <c r="K9" s="5">
        <f>IF(D9=0, 0, 100*(E9 - D9*1)/(D9*1))</f>
        <v>0.15217391304347355</v>
      </c>
      <c r="L9" s="5">
        <f t="shared" si="1"/>
        <v>-0.34057971014493826</v>
      </c>
      <c r="M9" s="5">
        <f t="shared" si="2"/>
        <v>-0.88043478260869523</v>
      </c>
      <c r="N9" s="5">
        <f t="shared" si="3"/>
        <v>-0.36890645586298088</v>
      </c>
      <c r="O9" s="5">
        <f t="shared" si="4"/>
        <v>-0.75271739130435544</v>
      </c>
      <c r="P9" s="5">
        <f t="shared" si="5"/>
        <v>-0.70000000000000973</v>
      </c>
      <c r="Q9" s="49" t="str">
        <f t="shared" si="6"/>
        <v>Yes</v>
      </c>
      <c r="R9" s="27"/>
    </row>
    <row r="10" spans="1:18" x14ac:dyDescent="0.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5">
        <f t="shared" si="0"/>
        <v>0</v>
      </c>
      <c r="L10" s="5">
        <f t="shared" si="1"/>
        <v>0</v>
      </c>
      <c r="M10" s="5">
        <f t="shared" si="2"/>
        <v>0</v>
      </c>
      <c r="N10" s="5">
        <f t="shared" si="3"/>
        <v>0</v>
      </c>
      <c r="O10" s="5">
        <f t="shared" si="4"/>
        <v>0</v>
      </c>
      <c r="P10" s="5">
        <f t="shared" si="5"/>
        <v>0</v>
      </c>
      <c r="Q10" s="33" t="str">
        <f t="shared" si="6"/>
        <v>Ready to test</v>
      </c>
      <c r="R10" s="27"/>
    </row>
    <row r="11" spans="1:18" x14ac:dyDescent="0.3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5">
        <f t="shared" si="0"/>
        <v>0</v>
      </c>
      <c r="L11" s="5">
        <f t="shared" si="1"/>
        <v>0</v>
      </c>
      <c r="M11" s="5">
        <f t="shared" si="2"/>
        <v>0</v>
      </c>
      <c r="N11" s="5">
        <f t="shared" si="3"/>
        <v>0</v>
      </c>
      <c r="O11" s="5">
        <f t="shared" si="4"/>
        <v>0</v>
      </c>
      <c r="P11" s="5">
        <f t="shared" si="5"/>
        <v>0</v>
      </c>
      <c r="Q11" s="33" t="str">
        <f t="shared" si="6"/>
        <v>Ready to test</v>
      </c>
      <c r="R11" s="27"/>
    </row>
    <row r="12" spans="1:18" x14ac:dyDescent="0.3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5">
        <f t="shared" si="0"/>
        <v>0</v>
      </c>
      <c r="L12" s="5">
        <f t="shared" si="1"/>
        <v>0</v>
      </c>
      <c r="M12" s="5">
        <f t="shared" si="2"/>
        <v>0</v>
      </c>
      <c r="N12" s="5">
        <f t="shared" si="3"/>
        <v>0</v>
      </c>
      <c r="O12" s="5">
        <f t="shared" si="4"/>
        <v>0</v>
      </c>
      <c r="P12" s="5">
        <f t="shared" si="5"/>
        <v>0</v>
      </c>
      <c r="Q12" s="33" t="str">
        <f t="shared" si="6"/>
        <v>Ready to test</v>
      </c>
      <c r="R12" s="27"/>
    </row>
    <row r="13" spans="1:18" x14ac:dyDescent="0.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5">
        <f t="shared" si="0"/>
        <v>0</v>
      </c>
      <c r="L13" s="5">
        <f t="shared" si="1"/>
        <v>0</v>
      </c>
      <c r="M13" s="5">
        <f t="shared" si="2"/>
        <v>0</v>
      </c>
      <c r="N13" s="5">
        <f t="shared" si="3"/>
        <v>0</v>
      </c>
      <c r="O13" s="5">
        <f t="shared" si="4"/>
        <v>0</v>
      </c>
      <c r="P13" s="5">
        <f t="shared" si="5"/>
        <v>0</v>
      </c>
      <c r="Q13" s="33" t="str">
        <f t="shared" si="6"/>
        <v>Ready to test</v>
      </c>
      <c r="R13" s="27"/>
    </row>
    <row r="14" spans="1:18" x14ac:dyDescent="0.3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5">
        <f t="shared" si="0"/>
        <v>0</v>
      </c>
      <c r="L14" s="5">
        <f t="shared" si="1"/>
        <v>0</v>
      </c>
      <c r="M14" s="5">
        <f t="shared" si="2"/>
        <v>0</v>
      </c>
      <c r="N14" s="5">
        <f t="shared" si="3"/>
        <v>0</v>
      </c>
      <c r="O14" s="5">
        <f t="shared" si="4"/>
        <v>0</v>
      </c>
      <c r="P14" s="5">
        <f t="shared" si="5"/>
        <v>0</v>
      </c>
      <c r="Q14" s="33" t="str">
        <f t="shared" si="6"/>
        <v>Ready to test</v>
      </c>
      <c r="R14" s="27"/>
    </row>
    <row r="15" spans="1:18" x14ac:dyDescent="0.3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5">
        <f t="shared" si="0"/>
        <v>0</v>
      </c>
      <c r="L15" s="5">
        <f t="shared" si="1"/>
        <v>0</v>
      </c>
      <c r="M15" s="5">
        <f t="shared" si="2"/>
        <v>0</v>
      </c>
      <c r="N15" s="5">
        <f t="shared" si="3"/>
        <v>0</v>
      </c>
      <c r="O15" s="5">
        <f t="shared" si="4"/>
        <v>0</v>
      </c>
      <c r="P15" s="5">
        <f t="shared" si="5"/>
        <v>0</v>
      </c>
      <c r="Q15" s="33" t="str">
        <f t="shared" si="6"/>
        <v>Ready to test</v>
      </c>
      <c r="R15" s="27"/>
    </row>
    <row r="16" spans="1:18" x14ac:dyDescent="0.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5">
        <f t="shared" si="0"/>
        <v>0</v>
      </c>
      <c r="L16" s="5">
        <f t="shared" si="1"/>
        <v>0</v>
      </c>
      <c r="M16" s="5">
        <f t="shared" si="2"/>
        <v>0</v>
      </c>
      <c r="N16" s="5">
        <f t="shared" si="3"/>
        <v>0</v>
      </c>
      <c r="O16" s="5">
        <f t="shared" si="4"/>
        <v>0</v>
      </c>
      <c r="P16" s="5">
        <f t="shared" si="5"/>
        <v>0</v>
      </c>
      <c r="Q16" s="33" t="str">
        <f t="shared" si="6"/>
        <v>Ready to test</v>
      </c>
      <c r="R16" s="27"/>
    </row>
  </sheetData>
  <sheetProtection selectLockedCells="1"/>
  <mergeCells count="8">
    <mergeCell ref="R1:R2"/>
    <mergeCell ref="Q1:Q2"/>
    <mergeCell ref="A1:A2"/>
    <mergeCell ref="B1:B2"/>
    <mergeCell ref="C1:C2"/>
    <mergeCell ref="D1:D2"/>
    <mergeCell ref="E1:J1"/>
    <mergeCell ref="K1:P1"/>
  </mergeCells>
  <conditionalFormatting sqref="Q3:Q6">
    <cfRule type="expression" dxfId="200" priority="1">
      <formula>Q3="Alert"</formula>
    </cfRule>
    <cfRule type="expression" dxfId="199" priority="2">
      <formula>Q3="Yes"</formula>
    </cfRule>
    <cfRule type="expression" dxfId="198" priority="3">
      <formula>Q3="No"</formula>
    </cfRule>
  </conditionalFormatting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6"/>
  <sheetViews>
    <sheetView zoomScale="80" zoomScaleNormal="80" workbookViewId="0">
      <selection activeCell="K10" sqref="K10:P10"/>
    </sheetView>
  </sheetViews>
  <sheetFormatPr defaultColWidth="18.33203125" defaultRowHeight="14.4" x14ac:dyDescent="0.3"/>
  <cols>
    <col min="1" max="2" width="18.33203125" style="1" customWidth="1"/>
    <col min="3" max="4" width="18.33203125" style="1"/>
    <col min="5" max="5" width="11.88671875" style="1" customWidth="1"/>
    <col min="6" max="6" width="9.109375" style="1" customWidth="1"/>
    <col min="7" max="7" width="10.109375" style="1" customWidth="1"/>
    <col min="8" max="8" width="9.44140625" style="1" customWidth="1"/>
    <col min="9" max="9" width="9.5546875" style="1" customWidth="1"/>
    <col min="10" max="10" width="9.109375" style="1" customWidth="1"/>
    <col min="11" max="11" width="15.6640625" style="1" customWidth="1"/>
    <col min="12" max="12" width="14.44140625" style="1" customWidth="1"/>
    <col min="13" max="13" width="14.6640625" style="1" customWidth="1"/>
    <col min="14" max="14" width="14.44140625" style="1" customWidth="1"/>
    <col min="15" max="15" width="14" style="1" customWidth="1"/>
    <col min="16" max="16" width="14.5546875" style="1" customWidth="1"/>
    <col min="17" max="16384" width="18.33203125" style="1"/>
  </cols>
  <sheetData>
    <row r="1" spans="1:18" ht="28.5" customHeight="1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  <c r="R1" s="80" t="s">
        <v>4</v>
      </c>
    </row>
    <row r="2" spans="1:18" ht="14.7" customHeight="1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  <c r="R2" s="81"/>
    </row>
    <row r="3" spans="1:18" x14ac:dyDescent="0.3">
      <c r="A3" s="7">
        <v>45797</v>
      </c>
      <c r="B3" s="4" t="s">
        <v>99</v>
      </c>
      <c r="C3" s="4" t="s">
        <v>107</v>
      </c>
      <c r="D3" s="4">
        <v>0.92</v>
      </c>
      <c r="E3" s="4">
        <v>0.93659999999999999</v>
      </c>
      <c r="F3" s="4">
        <v>1.3939999999999999</v>
      </c>
      <c r="G3" s="4">
        <v>1.839</v>
      </c>
      <c r="H3" s="4">
        <v>3.0400999999999998</v>
      </c>
      <c r="I3" s="4">
        <v>3.6720000000000002</v>
      </c>
      <c r="J3" s="4">
        <v>4.5815999999999999</v>
      </c>
      <c r="K3" s="5">
        <f t="shared" ref="K3:K16" si="0">IF(D3=0, 0, 100*(E3 - D3*1)/(D3*1))</f>
        <v>1.8043478260869508</v>
      </c>
      <c r="L3" s="5">
        <f t="shared" ref="L3:L16" si="1">IF(D3=0, 0, 100*(F3 - D3*1.5)/(D3*1.5))</f>
        <v>1.0144927536231731</v>
      </c>
      <c r="M3" s="5">
        <f t="shared" ref="M3:M16" si="2">IF(D3=0, 0, 100*(G3 - D3*2)/(D3*2))</f>
        <v>-5.4347826086962599E-2</v>
      </c>
      <c r="N3" s="5">
        <f t="shared" ref="N3:N16" si="3">IF(D3=0, 0, 100*(H3 - D3*3.3)/(D3*3.3))</f>
        <v>0.1350461133069753</v>
      </c>
      <c r="O3" s="5">
        <f t="shared" ref="O3:O16" si="4">IF(D3=0, 0, 100*(I3 - D3*4)/(D3*4))</f>
        <v>-0.21739130434782628</v>
      </c>
      <c r="P3" s="5">
        <f t="shared" ref="P3:P16" si="5">IF(D3=0, 0, 100*(J3 - D3*5)/(D3*5))</f>
        <v>-0.40000000000001384</v>
      </c>
      <c r="Q3" s="4" t="str">
        <f t="shared" ref="Q3:Q16" si="6">IF(AND(K3&gt;=0.11,K3&lt;=0.27,L3&gt;=-0.36,L3&lt;=-0.22,M3&gt;=-0.92,M3&lt;=-0.82,N3&gt;=-0.4,N3&lt;=-0.3,O3&gt;=-0.79,O3&lt;=-0.64,P3&gt;=-0.76,P3&lt;=-0.61), "Yes", IF(AND(K3=0,L3=0,M3=0,N3=0,O3=0,P3=0), "Ready to test", "No"))</f>
        <v>No</v>
      </c>
      <c r="R3" s="6" t="s">
        <v>99</v>
      </c>
    </row>
    <row r="4" spans="1:18" x14ac:dyDescent="0.3">
      <c r="A4" s="7">
        <v>45800</v>
      </c>
      <c r="B4" s="4" t="s">
        <v>97</v>
      </c>
      <c r="C4" s="4" t="s">
        <v>98</v>
      </c>
      <c r="D4" s="4">
        <v>0.92</v>
      </c>
      <c r="E4" s="6">
        <v>0.93</v>
      </c>
      <c r="F4" s="6">
        <v>1.38</v>
      </c>
      <c r="G4" s="6">
        <v>1.8325</v>
      </c>
      <c r="H4" s="6">
        <v>3.0287000000000002</v>
      </c>
      <c r="I4" s="6">
        <v>3.6625999999999999</v>
      </c>
      <c r="J4" s="6">
        <v>4.5777999999999999</v>
      </c>
      <c r="K4" s="5">
        <f t="shared" si="0"/>
        <v>1.0869565217391313</v>
      </c>
      <c r="L4" s="5">
        <f>IF(D4=0, 0, 100*(F4 - D4*1.5)/(D4*1.5))</f>
        <v>-1.6090188762683425E-14</v>
      </c>
      <c r="M4" s="5">
        <f t="shared" si="2"/>
        <v>-0.40760869565217728</v>
      </c>
      <c r="N4" s="5">
        <f t="shared" si="3"/>
        <v>-0.24044795783925765</v>
      </c>
      <c r="O4" s="5">
        <f t="shared" si="4"/>
        <v>-0.47282608695653</v>
      </c>
      <c r="P4" s="5">
        <f t="shared" si="5"/>
        <v>-0.48260869565218828</v>
      </c>
      <c r="Q4" s="6" t="str">
        <f t="shared" si="6"/>
        <v>No</v>
      </c>
      <c r="R4" s="6" t="s">
        <v>99</v>
      </c>
    </row>
    <row r="5" spans="1:18" x14ac:dyDescent="0.3">
      <c r="A5" s="7">
        <v>45803</v>
      </c>
      <c r="B5" s="6" t="s">
        <v>108</v>
      </c>
      <c r="C5" s="6" t="s">
        <v>109</v>
      </c>
      <c r="D5" s="6">
        <v>0.92</v>
      </c>
      <c r="E5" s="6">
        <v>0.92179999999999995</v>
      </c>
      <c r="F5" s="6">
        <v>1.3763000000000001</v>
      </c>
      <c r="G5" s="6">
        <v>1.8240000000000001</v>
      </c>
      <c r="H5" s="6">
        <v>3.0255999999999998</v>
      </c>
      <c r="I5" s="6">
        <v>3.6545000000000001</v>
      </c>
      <c r="J5" s="6">
        <v>4.5693999999999999</v>
      </c>
      <c r="K5" s="5">
        <f t="shared" si="0"/>
        <v>0.19565217391303399</v>
      </c>
      <c r="L5" s="5">
        <f t="shared" si="1"/>
        <v>-0.26811594202898814</v>
      </c>
      <c r="M5" s="5">
        <f t="shared" si="2"/>
        <v>-0.8695652173913051</v>
      </c>
      <c r="N5" s="5">
        <f>IF(D5=0, 0, 100*(H5 - D5*3.3)/(D5*3.3))</f>
        <v>-0.34255599472991394</v>
      </c>
      <c r="O5" s="15">
        <f t="shared" si="4"/>
        <v>-0.69293478260869779</v>
      </c>
      <c r="P5" s="15">
        <f t="shared" si="5"/>
        <v>-0.66521739130436142</v>
      </c>
      <c r="Q5" s="6" t="str">
        <f t="shared" si="6"/>
        <v>Yes</v>
      </c>
      <c r="R5" s="6" t="s">
        <v>110</v>
      </c>
    </row>
    <row r="6" spans="1:18" x14ac:dyDescent="0.3">
      <c r="A6" s="16">
        <v>45888</v>
      </c>
      <c r="B6" s="6"/>
      <c r="C6" s="6" t="s">
        <v>101</v>
      </c>
      <c r="D6" s="6">
        <v>0.92</v>
      </c>
      <c r="E6" s="6">
        <v>0.92179999999999995</v>
      </c>
      <c r="F6" s="6">
        <v>1.3756999999999999</v>
      </c>
      <c r="G6" s="6">
        <v>1.8234999999999999</v>
      </c>
      <c r="H6" s="6">
        <v>3.0246</v>
      </c>
      <c r="I6" s="6">
        <v>3.6516000000000002</v>
      </c>
      <c r="J6" s="6">
        <v>4.5682</v>
      </c>
      <c r="K6" s="5">
        <f t="shared" si="0"/>
        <v>0.19565217391303399</v>
      </c>
      <c r="L6" s="5">
        <f t="shared" si="1"/>
        <v>-0.31159420289856465</v>
      </c>
      <c r="M6" s="5">
        <f t="shared" si="2"/>
        <v>-0.89673913043479236</v>
      </c>
      <c r="N6" s="5">
        <f t="shared" si="3"/>
        <v>-0.37549407114624761</v>
      </c>
      <c r="O6" s="15">
        <f t="shared" si="4"/>
        <v>-0.77173913043478204</v>
      </c>
      <c r="P6" s="15">
        <f t="shared" si="5"/>
        <v>-0.69130434782609762</v>
      </c>
      <c r="Q6" s="6" t="str">
        <f t="shared" si="6"/>
        <v>Yes</v>
      </c>
      <c r="R6" s="6"/>
    </row>
    <row r="7" spans="1:18" x14ac:dyDescent="0.3">
      <c r="A7" s="40">
        <v>45916</v>
      </c>
      <c r="B7" s="27" t="s">
        <v>5</v>
      </c>
      <c r="C7" s="27" t="s">
        <v>102</v>
      </c>
      <c r="D7" s="6">
        <v>0.92</v>
      </c>
      <c r="E7" s="6">
        <v>0.92190000000000005</v>
      </c>
      <c r="F7" s="6">
        <v>1.3762000000000001</v>
      </c>
      <c r="G7" s="6">
        <v>1.8237000000000001</v>
      </c>
      <c r="H7" s="6">
        <v>3.0247999999999999</v>
      </c>
      <c r="I7" s="6">
        <v>3.6536</v>
      </c>
      <c r="J7" s="6">
        <v>4.5683999999999996</v>
      </c>
      <c r="K7" s="15">
        <f t="shared" si="0"/>
        <v>0.20652173913043617</v>
      </c>
      <c r="L7" s="15">
        <f t="shared" si="1"/>
        <v>-0.27536231884058154</v>
      </c>
      <c r="M7" s="15">
        <f t="shared" si="2"/>
        <v>-0.88586956521739024</v>
      </c>
      <c r="N7" s="5">
        <f t="shared" si="3"/>
        <v>-0.36890645586298088</v>
      </c>
      <c r="O7" s="15">
        <f t="shared" si="4"/>
        <v>-0.71739130434783149</v>
      </c>
      <c r="P7" s="15">
        <f t="shared" si="5"/>
        <v>-0.68695652173915123</v>
      </c>
      <c r="Q7" s="50" t="str">
        <f t="shared" si="6"/>
        <v>Yes</v>
      </c>
      <c r="R7" s="6"/>
    </row>
    <row r="8" spans="1:18" x14ac:dyDescent="0.3">
      <c r="A8" s="16">
        <v>46041</v>
      </c>
      <c r="B8" s="6"/>
      <c r="C8" s="6" t="s">
        <v>103</v>
      </c>
      <c r="D8" s="6">
        <v>0.92</v>
      </c>
      <c r="E8" s="6">
        <v>0.92179999999999995</v>
      </c>
      <c r="F8" s="20">
        <v>1.3758999999999999</v>
      </c>
      <c r="G8" s="6">
        <v>1.8239000000000001</v>
      </c>
      <c r="H8" s="6">
        <v>3.0257000000000001</v>
      </c>
      <c r="I8" s="6">
        <v>3.6537000000000002</v>
      </c>
      <c r="J8" s="6">
        <v>4.5696000000000003</v>
      </c>
      <c r="K8" s="15">
        <f t="shared" si="0"/>
        <v>0.19565217391303399</v>
      </c>
      <c r="L8" s="15">
        <f t="shared" si="1"/>
        <v>-0.29710144927537785</v>
      </c>
      <c r="M8" s="15">
        <f t="shared" si="2"/>
        <v>-0.87500000000000011</v>
      </c>
      <c r="N8" s="5">
        <f t="shared" si="3"/>
        <v>-0.33926218708827327</v>
      </c>
      <c r="O8" s="15">
        <f t="shared" si="4"/>
        <v>-0.71467391304347794</v>
      </c>
      <c r="P8" s="15">
        <f t="shared" si="5"/>
        <v>-0.6608695652173957</v>
      </c>
      <c r="Q8" s="50" t="str">
        <f t="shared" si="6"/>
        <v>Yes</v>
      </c>
      <c r="R8" s="6"/>
    </row>
    <row r="9" spans="1:18" x14ac:dyDescent="0.3">
      <c r="A9" s="16">
        <v>46164</v>
      </c>
      <c r="B9" s="6"/>
      <c r="C9" s="6" t="s">
        <v>104</v>
      </c>
      <c r="D9" s="6">
        <v>0.92</v>
      </c>
      <c r="E9" s="6">
        <v>0.92179999999999995</v>
      </c>
      <c r="F9" s="6">
        <v>1.3758999999999999</v>
      </c>
      <c r="G9" s="6">
        <v>1.8237000000000001</v>
      </c>
      <c r="H9" s="6">
        <v>3.0247000000000002</v>
      </c>
      <c r="I9" s="6">
        <v>3.6526000000000001</v>
      </c>
      <c r="J9" s="6">
        <v>4.5675999999999997</v>
      </c>
      <c r="K9" s="15">
        <f t="shared" si="0"/>
        <v>0.19565217391303399</v>
      </c>
      <c r="L9" s="15">
        <f t="shared" si="1"/>
        <v>-0.29710144927537785</v>
      </c>
      <c r="M9" s="15">
        <f t="shared" si="2"/>
        <v>-0.88586956521739024</v>
      </c>
      <c r="N9" s="5">
        <f t="shared" si="3"/>
        <v>-0.37220026350460689</v>
      </c>
      <c r="O9" s="15">
        <f t="shared" si="4"/>
        <v>-0.74456521739130677</v>
      </c>
      <c r="P9" s="15">
        <f t="shared" si="5"/>
        <v>-0.70434782608697544</v>
      </c>
      <c r="Q9" s="50" t="str">
        <f t="shared" si="6"/>
        <v>Yes</v>
      </c>
      <c r="R9" s="6"/>
    </row>
    <row r="10" spans="1:18" x14ac:dyDescent="0.3">
      <c r="A10" s="16">
        <v>46188</v>
      </c>
      <c r="B10" s="6" t="s">
        <v>111</v>
      </c>
      <c r="C10" s="6" t="s">
        <v>112</v>
      </c>
      <c r="D10" s="6">
        <v>0.92</v>
      </c>
      <c r="E10" s="6">
        <v>0.92159999999999997</v>
      </c>
      <c r="F10" s="6">
        <v>1.3756999999999999</v>
      </c>
      <c r="G10" s="6">
        <v>1.8236000000000001</v>
      </c>
      <c r="H10" s="6">
        <v>3.0249000000000001</v>
      </c>
      <c r="I10" s="6">
        <v>3.653</v>
      </c>
      <c r="J10" s="6">
        <v>4.5686999999999998</v>
      </c>
      <c r="K10" s="15">
        <f t="shared" si="0"/>
        <v>0.17391304347825379</v>
      </c>
      <c r="L10" s="15">
        <f t="shared" si="1"/>
        <v>-0.31159420289856465</v>
      </c>
      <c r="M10" s="15">
        <f t="shared" si="2"/>
        <v>-0.89130434782608525</v>
      </c>
      <c r="N10" s="5">
        <f t="shared" si="3"/>
        <v>-0.36561264822134015</v>
      </c>
      <c r="O10" s="15">
        <f t="shared" si="4"/>
        <v>-0.73369565217391663</v>
      </c>
      <c r="P10" s="15">
        <f t="shared" si="5"/>
        <v>-0.68043478260871237</v>
      </c>
      <c r="Q10" s="50" t="str">
        <f t="shared" si="6"/>
        <v>Yes</v>
      </c>
      <c r="R10" s="6"/>
    </row>
    <row r="11" spans="1:18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15">
        <f t="shared" si="0"/>
        <v>0</v>
      </c>
      <c r="L11" s="15">
        <f t="shared" si="1"/>
        <v>0</v>
      </c>
      <c r="M11" s="15">
        <f t="shared" si="2"/>
        <v>0</v>
      </c>
      <c r="N11" s="5">
        <f t="shared" si="3"/>
        <v>0</v>
      </c>
      <c r="O11" s="15">
        <f t="shared" si="4"/>
        <v>0</v>
      </c>
      <c r="P11" s="15">
        <f t="shared" si="5"/>
        <v>0</v>
      </c>
      <c r="Q11" s="6" t="str">
        <f t="shared" si="6"/>
        <v>Ready to test</v>
      </c>
      <c r="R11" s="6"/>
    </row>
    <row r="12" spans="1:18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15">
        <f t="shared" si="0"/>
        <v>0</v>
      </c>
      <c r="L12" s="15">
        <f t="shared" si="1"/>
        <v>0</v>
      </c>
      <c r="M12" s="15">
        <f t="shared" si="2"/>
        <v>0</v>
      </c>
      <c r="N12" s="5">
        <f t="shared" si="3"/>
        <v>0</v>
      </c>
      <c r="O12" s="15">
        <f t="shared" si="4"/>
        <v>0</v>
      </c>
      <c r="P12" s="15">
        <f t="shared" si="5"/>
        <v>0</v>
      </c>
      <c r="Q12" s="6" t="str">
        <f t="shared" si="6"/>
        <v>Ready to test</v>
      </c>
      <c r="R12" s="6"/>
    </row>
    <row r="13" spans="1:18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15">
        <f t="shared" si="0"/>
        <v>0</v>
      </c>
      <c r="L13" s="15">
        <f t="shared" si="1"/>
        <v>0</v>
      </c>
      <c r="M13" s="15">
        <f t="shared" si="2"/>
        <v>0</v>
      </c>
      <c r="N13" s="5">
        <f t="shared" si="3"/>
        <v>0</v>
      </c>
      <c r="O13" s="15">
        <f t="shared" si="4"/>
        <v>0</v>
      </c>
      <c r="P13" s="15">
        <f t="shared" si="5"/>
        <v>0</v>
      </c>
      <c r="Q13" s="6" t="str">
        <f t="shared" si="6"/>
        <v>Ready to test</v>
      </c>
      <c r="R13" s="6"/>
    </row>
    <row r="14" spans="1:18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15">
        <f t="shared" si="0"/>
        <v>0</v>
      </c>
      <c r="L14" s="15">
        <f t="shared" si="1"/>
        <v>0</v>
      </c>
      <c r="M14" s="15">
        <f t="shared" si="2"/>
        <v>0</v>
      </c>
      <c r="N14" s="5">
        <f t="shared" si="3"/>
        <v>0</v>
      </c>
      <c r="O14" s="15">
        <f t="shared" si="4"/>
        <v>0</v>
      </c>
      <c r="P14" s="15">
        <f t="shared" si="5"/>
        <v>0</v>
      </c>
      <c r="Q14" s="6" t="str">
        <f t="shared" si="6"/>
        <v>Ready to test</v>
      </c>
      <c r="R14" s="6"/>
    </row>
    <row r="15" spans="1:18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15">
        <f t="shared" si="0"/>
        <v>0</v>
      </c>
      <c r="L15" s="15">
        <f t="shared" si="1"/>
        <v>0</v>
      </c>
      <c r="M15" s="15">
        <f t="shared" si="2"/>
        <v>0</v>
      </c>
      <c r="N15" s="5">
        <f t="shared" si="3"/>
        <v>0</v>
      </c>
      <c r="O15" s="15">
        <f t="shared" si="4"/>
        <v>0</v>
      </c>
      <c r="P15" s="15">
        <f t="shared" si="5"/>
        <v>0</v>
      </c>
      <c r="Q15" s="6" t="str">
        <f t="shared" si="6"/>
        <v>Ready to test</v>
      </c>
      <c r="R15" s="6"/>
    </row>
    <row r="16" spans="1:18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15">
        <f t="shared" si="0"/>
        <v>0</v>
      </c>
      <c r="L16" s="15">
        <f t="shared" si="1"/>
        <v>0</v>
      </c>
      <c r="M16" s="15">
        <f t="shared" si="2"/>
        <v>0</v>
      </c>
      <c r="N16" s="5">
        <f t="shared" si="3"/>
        <v>0</v>
      </c>
      <c r="O16" s="15">
        <f t="shared" si="4"/>
        <v>0</v>
      </c>
      <c r="P16" s="15">
        <f t="shared" si="5"/>
        <v>0</v>
      </c>
      <c r="Q16" s="6" t="str">
        <f t="shared" si="6"/>
        <v>Ready to test</v>
      </c>
      <c r="R16" s="6"/>
    </row>
  </sheetData>
  <mergeCells count="8">
    <mergeCell ref="R1:R2"/>
    <mergeCell ref="E1:J1"/>
    <mergeCell ref="K1:P1"/>
    <mergeCell ref="Q1:Q2"/>
    <mergeCell ref="A1:A2"/>
    <mergeCell ref="B1:B2"/>
    <mergeCell ref="C1:C2"/>
    <mergeCell ref="D1:D2"/>
  </mergeCells>
  <conditionalFormatting sqref="Q3:Q6">
    <cfRule type="expression" dxfId="197" priority="1">
      <formula>Q3="Alert"</formula>
    </cfRule>
    <cfRule type="expression" dxfId="196" priority="2">
      <formula>Q3="Yes"</formula>
    </cfRule>
    <cfRule type="expression" dxfId="195" priority="3">
      <formula>Q3="No"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6"/>
  <sheetViews>
    <sheetView workbookViewId="0">
      <selection activeCell="Q6" sqref="Q6:Q10"/>
    </sheetView>
  </sheetViews>
  <sheetFormatPr defaultColWidth="9" defaultRowHeight="14.4" x14ac:dyDescent="0.3"/>
  <cols>
    <col min="1" max="1" width="11.44140625" style="1" bestFit="1" customWidth="1"/>
    <col min="2" max="2" width="9" style="1" customWidth="1"/>
    <col min="3" max="3" width="20.6640625" style="1" customWidth="1"/>
    <col min="4" max="4" width="16.44140625" style="1" bestFit="1" customWidth="1"/>
    <col min="5" max="16" width="9" style="1" customWidth="1"/>
    <col min="17" max="17" width="9.6640625" style="1" bestFit="1" customWidth="1"/>
    <col min="18" max="18" width="14.33203125" style="1" bestFit="1" customWidth="1"/>
    <col min="19" max="20" width="9" style="1" customWidth="1"/>
    <col min="21" max="16384" width="9" style="1"/>
  </cols>
  <sheetData>
    <row r="1" spans="1:18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  <c r="R1" s="86" t="s">
        <v>4</v>
      </c>
    </row>
    <row r="2" spans="1:18" ht="14.7" customHeight="1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  <c r="R2" s="87"/>
    </row>
    <row r="3" spans="1:18" x14ac:dyDescent="0.3">
      <c r="A3" s="7">
        <v>45803</v>
      </c>
      <c r="B3" s="4" t="s">
        <v>5</v>
      </c>
      <c r="C3" s="4" t="s">
        <v>107</v>
      </c>
      <c r="D3" s="4">
        <v>0.92</v>
      </c>
      <c r="E3" s="4">
        <v>0.92190000000000005</v>
      </c>
      <c r="F3" s="4">
        <v>1.3769</v>
      </c>
      <c r="G3" s="4">
        <v>1.8244</v>
      </c>
      <c r="H3" s="4">
        <v>3.0259999999999998</v>
      </c>
      <c r="I3" s="4">
        <v>3.6516000000000002</v>
      </c>
      <c r="J3" s="4">
        <v>4.5702999999999996</v>
      </c>
      <c r="K3" s="5">
        <f t="shared" ref="K3:K8" si="0">IF(D3=0, 0, 100*(E3 - D3*1)/(D3*1))</f>
        <v>0.20652173913043617</v>
      </c>
      <c r="L3" s="5">
        <f t="shared" ref="L3:L16" si="1">IF(D3=0, 0, 100*(F3 - D3*1.5)/(D3*1.5))</f>
        <v>-0.2246376811594277</v>
      </c>
      <c r="M3" s="5">
        <f t="shared" ref="M3:M16" si="2">IF(D3=0, 0, 100*(G3 - D3*2)/(D3*2))</f>
        <v>-0.84782608695652484</v>
      </c>
      <c r="N3" s="5">
        <f t="shared" ref="N3:N16" si="3">IF(D3=0, 0, 100*(H3 - D3*3.3)/(D3*3.3))</f>
        <v>-0.32938076416338047</v>
      </c>
      <c r="O3" s="5">
        <f t="shared" ref="O3:O16" si="4">IF(D3=0, 0, 100*(I3 - D3*4)/(D3*4))</f>
        <v>-0.77173913043478204</v>
      </c>
      <c r="P3" s="5">
        <f>IF(D3=0, 0, 100*(J3 - D3*5)/(D3*5))</f>
        <v>-0.64565217391306406</v>
      </c>
      <c r="Q3" s="4" t="str">
        <f t="shared" ref="Q3:Q16" si="5">IF(AND(K3&gt;=0.11,K3&lt;=0.27,L3&gt;=-0.36,L3&lt;=-0.22,M3&gt;=-0.92,M3&lt;=-0.82,N3&gt;=-0.4,N3&lt;=-0.3,O3&gt;=-0.79,O3&lt;=-0.64,P3&gt;=-0.76,P3&lt;=-0.61), "Yes", IF(AND(K3=0,L3=0,M3=0,N3=0,O3=0,P3=0), "Ready to test", "No"))</f>
        <v>Yes</v>
      </c>
      <c r="R3" s="1" t="s">
        <v>113</v>
      </c>
    </row>
    <row r="4" spans="1:18" x14ac:dyDescent="0.3">
      <c r="A4" s="16">
        <v>45807</v>
      </c>
      <c r="B4" s="6" t="s">
        <v>5</v>
      </c>
      <c r="C4" s="6" t="s">
        <v>100</v>
      </c>
      <c r="D4" s="6">
        <v>0.92</v>
      </c>
      <c r="E4" s="6">
        <v>0.92169999999999996</v>
      </c>
      <c r="F4" s="6">
        <v>1.3761000000000001</v>
      </c>
      <c r="G4" s="6">
        <v>1.8238000000000001</v>
      </c>
      <c r="H4" s="6">
        <v>3.0249999999999999</v>
      </c>
      <c r="I4" s="6">
        <v>3.6537999999999999</v>
      </c>
      <c r="J4" s="6">
        <v>4.5689000000000002</v>
      </c>
      <c r="K4" s="15">
        <f t="shared" si="0"/>
        <v>0.18478260869564389</v>
      </c>
      <c r="L4" s="15">
        <f t="shared" si="1"/>
        <v>-0.28260869565217495</v>
      </c>
      <c r="M4" s="15">
        <f t="shared" si="2"/>
        <v>-0.88043478260869523</v>
      </c>
      <c r="N4" s="15">
        <f t="shared" si="3"/>
        <v>-0.36231884057971414</v>
      </c>
      <c r="O4" s="15">
        <f t="shared" si="4"/>
        <v>-0.71195652173913648</v>
      </c>
      <c r="P4" s="15">
        <f>IF(D4=0, 0, 100*(J4 - D4*5)/(D4*5))</f>
        <v>-0.67608695652174666</v>
      </c>
      <c r="Q4" s="6" t="str">
        <f t="shared" si="5"/>
        <v>Yes</v>
      </c>
      <c r="R4" s="1" t="s">
        <v>7</v>
      </c>
    </row>
    <row r="5" spans="1:18" x14ac:dyDescent="0.3">
      <c r="A5" s="16">
        <v>45824</v>
      </c>
      <c r="B5" s="6" t="s">
        <v>5</v>
      </c>
      <c r="C5" s="6" t="s">
        <v>114</v>
      </c>
      <c r="D5" s="6">
        <v>0.92</v>
      </c>
      <c r="E5" s="6">
        <v>0.92179999999999995</v>
      </c>
      <c r="F5" s="17">
        <v>1.3756999999999999</v>
      </c>
      <c r="G5" s="6">
        <v>1.8237000000000001</v>
      </c>
      <c r="H5" s="6">
        <v>3.0249999999999999</v>
      </c>
      <c r="I5" s="6">
        <v>3.6522000000000001</v>
      </c>
      <c r="J5" s="1">
        <v>4.5682</v>
      </c>
      <c r="K5" s="15">
        <f t="shared" si="0"/>
        <v>0.19565217391303399</v>
      </c>
      <c r="L5" s="15">
        <f t="shared" si="1"/>
        <v>-0.31159420289856465</v>
      </c>
      <c r="M5" s="15">
        <f t="shared" si="2"/>
        <v>-0.88586956521739024</v>
      </c>
      <c r="N5" s="15">
        <f t="shared" si="3"/>
        <v>-0.36231884057971414</v>
      </c>
      <c r="O5" s="15">
        <f t="shared" si="4"/>
        <v>-0.7554347826086969</v>
      </c>
      <c r="P5" s="15">
        <f>IF(D5=0, 0, 100*('1-5'!J5 - D5*5)/(D5*5))</f>
        <v>-0.69782608695653647</v>
      </c>
      <c r="Q5" s="6" t="str">
        <f t="shared" si="5"/>
        <v>Yes</v>
      </c>
    </row>
    <row r="6" spans="1:18" x14ac:dyDescent="0.3">
      <c r="A6" s="16">
        <v>45888</v>
      </c>
      <c r="B6" s="6"/>
      <c r="C6" s="6" t="s">
        <v>101</v>
      </c>
      <c r="D6" s="6">
        <v>0.92</v>
      </c>
      <c r="E6" s="6">
        <v>0.92149999999999999</v>
      </c>
      <c r="F6" s="6">
        <v>1.3752</v>
      </c>
      <c r="G6" s="6">
        <v>1.8232999999999999</v>
      </c>
      <c r="H6" s="6">
        <v>3.0245000000000002</v>
      </c>
      <c r="I6" s="6">
        <v>3.6518000000000002</v>
      </c>
      <c r="J6" s="6">
        <v>4.5681000000000003</v>
      </c>
      <c r="K6" s="15">
        <f t="shared" si="0"/>
        <v>0.16304347826086366</v>
      </c>
      <c r="L6" s="15">
        <f t="shared" si="1"/>
        <v>-0.34782608695653167</v>
      </c>
      <c r="M6" s="15">
        <f t="shared" si="2"/>
        <v>-0.9076086956521825</v>
      </c>
      <c r="N6" s="15">
        <f t="shared" si="3"/>
        <v>-0.37878787878787362</v>
      </c>
      <c r="O6" s="15">
        <f t="shared" si="4"/>
        <v>-0.76630434782608703</v>
      </c>
      <c r="P6" s="15">
        <f t="shared" ref="P6:P16" si="6">IF(D6=0, 0, 100*(J6 - D6*5)/(D6*5))</f>
        <v>-0.69347826086957087</v>
      </c>
      <c r="Q6" s="6" t="str">
        <f t="shared" si="5"/>
        <v>Yes</v>
      </c>
    </row>
    <row r="7" spans="1:18" x14ac:dyDescent="0.3">
      <c r="A7" s="40">
        <v>45916</v>
      </c>
      <c r="B7" s="27" t="s">
        <v>5</v>
      </c>
      <c r="C7" s="27" t="s">
        <v>102</v>
      </c>
      <c r="D7" s="6">
        <v>0.92</v>
      </c>
      <c r="E7" s="6">
        <v>0.92169999999999996</v>
      </c>
      <c r="F7" s="6">
        <v>1.3759999999999999</v>
      </c>
      <c r="G7" s="6">
        <v>1.8240000000000001</v>
      </c>
      <c r="H7" s="6">
        <v>3.0249000000000001</v>
      </c>
      <c r="I7" s="6">
        <v>3.6526000000000001</v>
      </c>
      <c r="J7" s="6">
        <v>4.5688000000000004</v>
      </c>
      <c r="K7" s="15">
        <f t="shared" si="0"/>
        <v>0.18478260869564389</v>
      </c>
      <c r="L7" s="15">
        <f t="shared" si="1"/>
        <v>-0.28985507246378445</v>
      </c>
      <c r="M7" s="15">
        <f t="shared" si="2"/>
        <v>-0.8695652173913051</v>
      </c>
      <c r="N7" s="15">
        <f t="shared" si="3"/>
        <v>-0.36561264822134015</v>
      </c>
      <c r="O7" s="15">
        <f t="shared" si="4"/>
        <v>-0.74456521739130677</v>
      </c>
      <c r="P7" s="15">
        <f t="shared" si="6"/>
        <v>-0.6782608695652198</v>
      </c>
      <c r="Q7" s="6" t="str">
        <f t="shared" si="5"/>
        <v>Yes</v>
      </c>
    </row>
    <row r="8" spans="1:18" x14ac:dyDescent="0.3">
      <c r="A8" s="16">
        <v>46034</v>
      </c>
      <c r="B8" s="6" t="s">
        <v>5</v>
      </c>
      <c r="C8" s="6" t="s">
        <v>115</v>
      </c>
      <c r="D8" s="6">
        <v>0.92</v>
      </c>
      <c r="E8" s="6">
        <v>0.92200000000000004</v>
      </c>
      <c r="F8" s="17">
        <v>1.3767</v>
      </c>
      <c r="G8" s="6">
        <v>1.8243</v>
      </c>
      <c r="H8" s="6">
        <v>3.0261</v>
      </c>
      <c r="I8" s="6">
        <v>3.6564000000000001</v>
      </c>
      <c r="J8" s="6">
        <v>4.5698999999999996</v>
      </c>
      <c r="K8" s="15">
        <f t="shared" si="0"/>
        <v>0.21739130434782628</v>
      </c>
      <c r="L8" s="15">
        <f t="shared" si="1"/>
        <v>-0.23913043478261453</v>
      </c>
      <c r="M8" s="15">
        <f t="shared" si="2"/>
        <v>-0.85326086956521996</v>
      </c>
      <c r="N8" s="15">
        <f t="shared" si="3"/>
        <v>-0.3260869565217398</v>
      </c>
      <c r="O8" s="15">
        <f t="shared" si="4"/>
        <v>-0.64130434782608869</v>
      </c>
      <c r="P8" s="15">
        <f t="shared" si="6"/>
        <v>-0.65434782608697606</v>
      </c>
      <c r="Q8" s="6" t="str">
        <f t="shared" si="5"/>
        <v>Yes</v>
      </c>
    </row>
    <row r="9" spans="1:18" x14ac:dyDescent="0.3">
      <c r="A9" s="16">
        <v>46164</v>
      </c>
      <c r="B9" s="6"/>
      <c r="C9" s="6" t="s">
        <v>104</v>
      </c>
      <c r="D9" s="6">
        <v>0.92</v>
      </c>
      <c r="E9" s="1">
        <v>0.92149999999999999</v>
      </c>
      <c r="F9" s="6">
        <v>1.3754999999999999</v>
      </c>
      <c r="G9" s="6">
        <v>1.8236000000000001</v>
      </c>
      <c r="H9" s="6">
        <v>3.0242</v>
      </c>
      <c r="I9" s="6">
        <v>3.6514000000000002</v>
      </c>
      <c r="J9" s="6">
        <v>4.5675999999999997</v>
      </c>
      <c r="K9" s="15">
        <f>IF(D9=0, 0, 100*('1-5'!E7 - D9*1)/(D9*1))</f>
        <v>0.19565217391303399</v>
      </c>
      <c r="L9" s="15">
        <f t="shared" si="1"/>
        <v>-0.32608695652175146</v>
      </c>
      <c r="M9" s="15">
        <f t="shared" si="2"/>
        <v>-0.89130434782608525</v>
      </c>
      <c r="N9" s="15">
        <f t="shared" si="3"/>
        <v>-0.38866930171278102</v>
      </c>
      <c r="O9" s="15">
        <f t="shared" si="4"/>
        <v>-0.77717391304347716</v>
      </c>
      <c r="P9" s="15">
        <f t="shared" si="6"/>
        <v>-0.70434782608697544</v>
      </c>
      <c r="Q9" s="6" t="str">
        <f t="shared" si="5"/>
        <v>Yes</v>
      </c>
    </row>
    <row r="10" spans="1:18" x14ac:dyDescent="0.3">
      <c r="A10" s="16" t="s">
        <v>105</v>
      </c>
      <c r="B10" s="6"/>
      <c r="C10" s="6" t="s">
        <v>106</v>
      </c>
      <c r="D10" s="6">
        <v>0.92</v>
      </c>
      <c r="E10" s="6">
        <v>0.92159999999999997</v>
      </c>
      <c r="F10" s="6">
        <v>1.3758999999999999</v>
      </c>
      <c r="G10" s="6">
        <v>1.8237000000000001</v>
      </c>
      <c r="H10" s="6">
        <v>3.0249999999999999</v>
      </c>
      <c r="I10" s="6">
        <v>3.6518999999999999</v>
      </c>
      <c r="J10" s="6">
        <v>4.5689000000000002</v>
      </c>
      <c r="K10" s="15">
        <f t="shared" ref="K10:K16" si="7">IF(D10=0, 0, 100*(E10 - D10*1)/(D10*1))</f>
        <v>0.17391304347825379</v>
      </c>
      <c r="L10" s="15">
        <f t="shared" si="1"/>
        <v>-0.29710144927537785</v>
      </c>
      <c r="M10" s="15">
        <f t="shared" si="2"/>
        <v>-0.88586956521739024</v>
      </c>
      <c r="N10" s="15">
        <f t="shared" si="3"/>
        <v>-0.36231884057971414</v>
      </c>
      <c r="O10" s="15">
        <f t="shared" si="4"/>
        <v>-0.76358695652174546</v>
      </c>
      <c r="P10" s="15">
        <f t="shared" si="6"/>
        <v>-0.67608695652174666</v>
      </c>
      <c r="Q10" s="6" t="str">
        <f t="shared" si="5"/>
        <v>Yes</v>
      </c>
    </row>
    <row r="11" spans="1:18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15">
        <f t="shared" si="7"/>
        <v>0</v>
      </c>
      <c r="L11" s="15">
        <f t="shared" si="1"/>
        <v>0</v>
      </c>
      <c r="M11" s="15">
        <f t="shared" si="2"/>
        <v>0</v>
      </c>
      <c r="N11" s="15">
        <f t="shared" si="3"/>
        <v>0</v>
      </c>
      <c r="O11" s="15">
        <f t="shared" si="4"/>
        <v>0</v>
      </c>
      <c r="P11" s="15">
        <f t="shared" si="6"/>
        <v>0</v>
      </c>
      <c r="Q11" s="6" t="str">
        <f t="shared" si="5"/>
        <v>Ready to test</v>
      </c>
    </row>
    <row r="12" spans="1:18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15">
        <f t="shared" si="7"/>
        <v>0</v>
      </c>
      <c r="L12" s="15">
        <f t="shared" si="1"/>
        <v>0</v>
      </c>
      <c r="M12" s="15">
        <f t="shared" si="2"/>
        <v>0</v>
      </c>
      <c r="N12" s="15">
        <f t="shared" si="3"/>
        <v>0</v>
      </c>
      <c r="O12" s="15">
        <f t="shared" si="4"/>
        <v>0</v>
      </c>
      <c r="P12" s="15">
        <f t="shared" si="6"/>
        <v>0</v>
      </c>
      <c r="Q12" s="6" t="str">
        <f t="shared" si="5"/>
        <v>Ready to test</v>
      </c>
    </row>
    <row r="13" spans="1:18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15">
        <f t="shared" si="7"/>
        <v>0</v>
      </c>
      <c r="L13" s="15">
        <f t="shared" si="1"/>
        <v>0</v>
      </c>
      <c r="M13" s="15">
        <f t="shared" si="2"/>
        <v>0</v>
      </c>
      <c r="N13" s="15">
        <f t="shared" si="3"/>
        <v>0</v>
      </c>
      <c r="O13" s="15">
        <f t="shared" si="4"/>
        <v>0</v>
      </c>
      <c r="P13" s="15">
        <f t="shared" si="6"/>
        <v>0</v>
      </c>
      <c r="Q13" s="6" t="str">
        <f t="shared" si="5"/>
        <v>Ready to test</v>
      </c>
    </row>
    <row r="14" spans="1:18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15">
        <f t="shared" si="7"/>
        <v>0</v>
      </c>
      <c r="L14" s="15">
        <f t="shared" si="1"/>
        <v>0</v>
      </c>
      <c r="M14" s="15">
        <f t="shared" si="2"/>
        <v>0</v>
      </c>
      <c r="N14" s="15">
        <f t="shared" si="3"/>
        <v>0</v>
      </c>
      <c r="O14" s="15">
        <f t="shared" si="4"/>
        <v>0</v>
      </c>
      <c r="P14" s="15">
        <f t="shared" si="6"/>
        <v>0</v>
      </c>
      <c r="Q14" s="6" t="str">
        <f t="shared" si="5"/>
        <v>Ready to test</v>
      </c>
    </row>
    <row r="15" spans="1:18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15">
        <f t="shared" si="7"/>
        <v>0</v>
      </c>
      <c r="L15" s="15">
        <f t="shared" si="1"/>
        <v>0</v>
      </c>
      <c r="M15" s="15">
        <f t="shared" si="2"/>
        <v>0</v>
      </c>
      <c r="N15" s="15">
        <f t="shared" si="3"/>
        <v>0</v>
      </c>
      <c r="O15" s="15">
        <f t="shared" si="4"/>
        <v>0</v>
      </c>
      <c r="P15" s="15">
        <f t="shared" si="6"/>
        <v>0</v>
      </c>
      <c r="Q15" s="6" t="str">
        <f t="shared" si="5"/>
        <v>Ready to test</v>
      </c>
    </row>
    <row r="16" spans="1:18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15">
        <f t="shared" si="7"/>
        <v>0</v>
      </c>
      <c r="L16" s="15">
        <f t="shared" si="1"/>
        <v>0</v>
      </c>
      <c r="M16" s="15">
        <f t="shared" si="2"/>
        <v>0</v>
      </c>
      <c r="N16" s="15">
        <f t="shared" si="3"/>
        <v>0</v>
      </c>
      <c r="O16" s="15">
        <f t="shared" si="4"/>
        <v>0</v>
      </c>
      <c r="P16" s="15">
        <f t="shared" si="6"/>
        <v>0</v>
      </c>
      <c r="Q16" s="6" t="str">
        <f t="shared" si="5"/>
        <v>Ready to test</v>
      </c>
    </row>
  </sheetData>
  <mergeCells count="8">
    <mergeCell ref="R1:R2"/>
    <mergeCell ref="Q1:Q2"/>
    <mergeCell ref="A1:A2"/>
    <mergeCell ref="B1:B2"/>
    <mergeCell ref="C1:C2"/>
    <mergeCell ref="D1:D2"/>
    <mergeCell ref="E1:J1"/>
    <mergeCell ref="K1:P1"/>
  </mergeCells>
  <conditionalFormatting sqref="Q3:Q10">
    <cfRule type="expression" dxfId="194" priority="1">
      <formula>Q3="Alert"</formula>
    </cfRule>
    <cfRule type="expression" dxfId="193" priority="2">
      <formula>Q3="Yes"</formula>
    </cfRule>
    <cfRule type="expression" dxfId="192" priority="3">
      <formula>Q3="No"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6"/>
  <sheetViews>
    <sheetView workbookViewId="0">
      <selection activeCell="E14" sqref="E14"/>
    </sheetView>
  </sheetViews>
  <sheetFormatPr defaultColWidth="9" defaultRowHeight="14.4" x14ac:dyDescent="0.3"/>
  <cols>
    <col min="1" max="1" width="11.109375" style="1" bestFit="1" customWidth="1"/>
    <col min="2" max="2" width="13.44140625" style="1" customWidth="1"/>
    <col min="3" max="3" width="21.109375" style="1" customWidth="1"/>
    <col min="4" max="16" width="9" style="1" customWidth="1"/>
    <col min="17" max="17" width="11.109375" style="1" bestFit="1" customWidth="1"/>
    <col min="18" max="18" width="9" style="1" customWidth="1"/>
    <col min="19" max="16384" width="9" style="1"/>
  </cols>
  <sheetData>
    <row r="1" spans="1:17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116</v>
      </c>
      <c r="L1" s="72"/>
      <c r="M1" s="72"/>
      <c r="N1" s="72"/>
      <c r="O1" s="72"/>
      <c r="P1" s="73"/>
      <c r="Q1" s="66" t="s">
        <v>90</v>
      </c>
    </row>
    <row r="2" spans="1:17" ht="14.7" customHeight="1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</row>
    <row r="3" spans="1:17" x14ac:dyDescent="0.3">
      <c r="A3" s="7">
        <v>45800</v>
      </c>
      <c r="B3" s="4" t="s">
        <v>117</v>
      </c>
      <c r="C3" s="4" t="s">
        <v>98</v>
      </c>
      <c r="D3" s="4">
        <v>0.92</v>
      </c>
      <c r="E3" s="4">
        <v>0.92169999999999996</v>
      </c>
      <c r="F3" s="4">
        <v>1.3765000000000001</v>
      </c>
      <c r="G3" s="4">
        <v>1.8240000000000001</v>
      </c>
      <c r="H3" s="6">
        <v>3.0251000000000001</v>
      </c>
      <c r="I3" s="6">
        <v>3.6537000000000002</v>
      </c>
      <c r="J3" s="4">
        <v>4.5692000000000004</v>
      </c>
      <c r="K3" s="5">
        <f t="shared" ref="K3:K16" si="0">IF(D3=0, 0, 100*(E3 - D3*1)/(D3*1))</f>
        <v>0.18478260869564389</v>
      </c>
      <c r="L3" s="5">
        <f t="shared" ref="L3:L16" si="1">IF(D3=0, 0, 100*(F3 - D3*1.5)/(D3*1.5))</f>
        <v>-0.25362318840580134</v>
      </c>
      <c r="M3" s="5">
        <f t="shared" ref="M3:M16" si="2">IF(D3=0, 0, 100*(G3 - D3*2)/(D3*2))</f>
        <v>-0.8695652173913051</v>
      </c>
      <c r="N3" s="5">
        <f t="shared" ref="N3:N16" si="3">IF(D3=0, 0, 100*(H3 - D3*3.3)/(D3*3.3))</f>
        <v>-0.35902503293807342</v>
      </c>
      <c r="O3" s="5">
        <f t="shared" ref="O3:O16" si="4">IF(D3=0, 0, 100*(I3 - D3*4)/(D3*4))</f>
        <v>-0.71467391304347794</v>
      </c>
      <c r="P3" s="5">
        <f t="shared" ref="P3:P16" si="5">IF(D3=0, 0, 100*(J3 - D3*5)/(D3*5))</f>
        <v>-0.66956521739130781</v>
      </c>
      <c r="Q3" s="4" t="str">
        <f t="shared" ref="Q3:Q16" si="6"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>
        <v>45811</v>
      </c>
      <c r="B4" s="6" t="s">
        <v>7</v>
      </c>
      <c r="C4" s="6" t="s">
        <v>98</v>
      </c>
      <c r="D4" s="6">
        <v>0.92</v>
      </c>
      <c r="E4" s="4">
        <v>0.92190000000000005</v>
      </c>
      <c r="F4" s="6">
        <v>1.3761000000000001</v>
      </c>
      <c r="G4" s="6">
        <v>1.8241000000000001</v>
      </c>
      <c r="H4" s="6">
        <v>3.0255000000000001</v>
      </c>
      <c r="I4" s="6">
        <v>3.6537999999999999</v>
      </c>
      <c r="J4" s="6">
        <v>4.5693000000000001</v>
      </c>
      <c r="K4" s="15">
        <f>IF(D4=0, 0, 100*(E4 - D4*1)/(D4*1))</f>
        <v>0.20652173913043617</v>
      </c>
      <c r="L4" s="15">
        <f>IF(D4=0, 0, 100*(F4 - D4*1.5)/(D4*1.5))</f>
        <v>-0.28260869565217495</v>
      </c>
      <c r="M4" s="15">
        <f>IF(D4=0, 0, 100*(G4 - D4*2)/(D4*2))</f>
        <v>-0.86413043478260998</v>
      </c>
      <c r="N4" s="15">
        <f>IF(D4=0, 0, 100*(H4 - D4*3.3)/(D4*3.3))</f>
        <v>-0.34584980237153995</v>
      </c>
      <c r="O4" s="15">
        <f>IF(D4=0, 0, 100*(I4 - D4*4)/(D4*4))</f>
        <v>-0.71195652173913648</v>
      </c>
      <c r="P4" s="15">
        <f>IF(D4=0, 0, 100*(J4 - D4*5)/(D4*5))</f>
        <v>-0.66739130434783456</v>
      </c>
      <c r="Q4" s="6" t="str">
        <f>IF(AND(K4&gt;=0.11,K4&lt;=0.27,L4&gt;=-0.36,L4&lt;=-0.22,M4&gt;=-0.92,M4&lt;=-0.82,N4&gt;=-0.4,N4&lt;=-0.3,O4&gt;=-0.79,O4&lt;=-0.64,P4&gt;=-0.76,P4&lt;=-0.61), "Yes", IF(AND(K4=0,L4=0,M4=0,N4=0,O4=0,P4=0), "Ready to test", "No"))</f>
        <v>Yes</v>
      </c>
    </row>
    <row r="5" spans="1:17" x14ac:dyDescent="0.3">
      <c r="A5" s="16">
        <v>45824</v>
      </c>
      <c r="B5" s="6" t="s">
        <v>5</v>
      </c>
      <c r="C5" s="6" t="s">
        <v>114</v>
      </c>
      <c r="D5" s="6">
        <v>0.92</v>
      </c>
      <c r="E5" s="6">
        <v>0.92169999999999996</v>
      </c>
      <c r="F5" s="6">
        <v>1.3757999999999999</v>
      </c>
      <c r="G5" s="6">
        <v>1.8238000000000001</v>
      </c>
      <c r="H5" s="17">
        <v>3.0251999999999999</v>
      </c>
      <c r="I5" s="6">
        <v>3.6533000000000002</v>
      </c>
      <c r="J5" s="6">
        <v>4.5681000000000003</v>
      </c>
      <c r="K5" s="15">
        <f t="shared" si="0"/>
        <v>0.18478260869564389</v>
      </c>
      <c r="L5" s="15">
        <f t="shared" si="1"/>
        <v>-0.30434782608697125</v>
      </c>
      <c r="M5" s="15">
        <f t="shared" si="2"/>
        <v>-0.88043478260869523</v>
      </c>
      <c r="N5" s="15">
        <f t="shared" si="3"/>
        <v>-0.35573122529644741</v>
      </c>
      <c r="O5" s="15">
        <f t="shared" si="4"/>
        <v>-0.72554347826086807</v>
      </c>
      <c r="P5" s="15">
        <f t="shared" si="5"/>
        <v>-0.69347826086957087</v>
      </c>
      <c r="Q5" s="6" t="str">
        <f t="shared" si="6"/>
        <v>Yes</v>
      </c>
    </row>
    <row r="6" spans="1:17" x14ac:dyDescent="0.3">
      <c r="A6" s="16">
        <v>45895</v>
      </c>
      <c r="B6" s="6">
        <v>885</v>
      </c>
      <c r="C6" s="64" t="s">
        <v>103</v>
      </c>
      <c r="D6" s="6">
        <v>0.92</v>
      </c>
      <c r="E6" s="41">
        <v>0.92179999999999995</v>
      </c>
      <c r="F6" s="6">
        <v>1.3754999999999999</v>
      </c>
      <c r="G6" s="6">
        <v>1.8236000000000001</v>
      </c>
      <c r="H6" s="6">
        <v>3.0251000000000001</v>
      </c>
      <c r="I6" s="6">
        <v>3.6522000000000001</v>
      </c>
      <c r="J6" s="6">
        <v>4.5683999999999996</v>
      </c>
      <c r="K6" s="15">
        <f t="shared" si="0"/>
        <v>0.19565217391303399</v>
      </c>
      <c r="L6" s="15">
        <f t="shared" si="1"/>
        <v>-0.32608695652175146</v>
      </c>
      <c r="M6" s="15">
        <f t="shared" si="2"/>
        <v>-0.89130434782608525</v>
      </c>
      <c r="N6" s="15">
        <f t="shared" si="3"/>
        <v>-0.35902503293807342</v>
      </c>
      <c r="O6" s="15">
        <f t="shared" si="4"/>
        <v>-0.7554347826086969</v>
      </c>
      <c r="P6" s="15">
        <f t="shared" si="5"/>
        <v>-0.68695652173915123</v>
      </c>
      <c r="Q6" s="6" t="str">
        <f t="shared" si="6"/>
        <v>Yes</v>
      </c>
    </row>
    <row r="7" spans="1:17" x14ac:dyDescent="0.3">
      <c r="A7" s="16">
        <v>45952</v>
      </c>
      <c r="B7" s="6" t="s">
        <v>5</v>
      </c>
      <c r="C7" s="6" t="s">
        <v>118</v>
      </c>
      <c r="D7" s="6">
        <v>0.92</v>
      </c>
      <c r="E7" s="6">
        <v>0.92200000000000004</v>
      </c>
      <c r="F7" s="6">
        <v>1.3759999999999999</v>
      </c>
      <c r="G7" s="6">
        <v>1.8240000000000001</v>
      </c>
      <c r="H7" s="6">
        <v>3.0255000000000001</v>
      </c>
      <c r="I7" s="6">
        <v>3.6547000000000001</v>
      </c>
      <c r="J7" s="6">
        <v>4.5698999999999996</v>
      </c>
      <c r="K7" s="15">
        <f t="shared" si="0"/>
        <v>0.21739130434782628</v>
      </c>
      <c r="L7" s="15">
        <f t="shared" si="1"/>
        <v>-0.28985507246378445</v>
      </c>
      <c r="M7" s="15">
        <f t="shared" si="2"/>
        <v>-0.8695652173913051</v>
      </c>
      <c r="N7" s="15">
        <f t="shared" si="3"/>
        <v>-0.34584980237153995</v>
      </c>
      <c r="O7" s="15">
        <f t="shared" si="4"/>
        <v>-0.68750000000000266</v>
      </c>
      <c r="P7" s="15">
        <f t="shared" si="5"/>
        <v>-0.65434782608697606</v>
      </c>
      <c r="Q7" s="6" t="str">
        <f t="shared" si="6"/>
        <v>Yes</v>
      </c>
    </row>
    <row r="8" spans="1:17" x14ac:dyDescent="0.3">
      <c r="A8" s="16">
        <v>46178</v>
      </c>
      <c r="B8" s="6" t="s">
        <v>119</v>
      </c>
      <c r="C8" s="4" t="s">
        <v>120</v>
      </c>
      <c r="D8" s="4">
        <v>0.92</v>
      </c>
      <c r="E8" s="6">
        <v>0.92169999999999996</v>
      </c>
      <c r="F8" s="6">
        <v>1.3755999999999999</v>
      </c>
      <c r="G8" s="6">
        <v>1.8234999999999999</v>
      </c>
      <c r="H8" s="6">
        <v>3.0251000000000001</v>
      </c>
      <c r="I8" s="6">
        <v>3.6533000000000002</v>
      </c>
      <c r="J8" s="6">
        <v>4.5681000000000003</v>
      </c>
      <c r="K8" s="15">
        <f t="shared" si="0"/>
        <v>0.18478260869564389</v>
      </c>
      <c r="L8" s="15">
        <f t="shared" si="1"/>
        <v>-0.31884057971015806</v>
      </c>
      <c r="M8" s="15">
        <f t="shared" si="2"/>
        <v>-0.89673913043479236</v>
      </c>
      <c r="N8" s="15">
        <f t="shared" si="3"/>
        <v>-0.35902503293807342</v>
      </c>
      <c r="O8" s="15">
        <f t="shared" si="4"/>
        <v>-0.72554347826086807</v>
      </c>
      <c r="P8" s="15">
        <f t="shared" si="5"/>
        <v>-0.69347826086957087</v>
      </c>
      <c r="Q8" s="6" t="str">
        <f>IF(AND(K8&gt;=0.11,K8&lt;=0.27,L8&gt;=-0.36,L8&lt;=-0.22,M8&gt;=-0.92,M8&lt;=-0.82,N8&gt;=-0.4,N8&lt;=-0.3,O8&gt;=-0.79,O8&lt;=-0.64,P8&gt;=-0.76,P8&lt;=-0.61), "Yes", IF(AND(K8=0,L8=0,M8=0,N8=0,O8=0,P8=0), "Ready to test", "No"))</f>
        <v>Yes</v>
      </c>
    </row>
    <row r="9" spans="1:17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15">
        <f t="shared" si="0"/>
        <v>0</v>
      </c>
      <c r="L9" s="15">
        <f t="shared" si="1"/>
        <v>0</v>
      </c>
      <c r="M9" s="15">
        <f t="shared" si="2"/>
        <v>0</v>
      </c>
      <c r="N9" s="15">
        <f t="shared" si="3"/>
        <v>0</v>
      </c>
      <c r="O9" s="15">
        <f t="shared" si="4"/>
        <v>0</v>
      </c>
      <c r="P9" s="15">
        <f t="shared" si="5"/>
        <v>0</v>
      </c>
      <c r="Q9" s="6" t="str">
        <f t="shared" si="6"/>
        <v>Ready to test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15">
        <f t="shared" si="0"/>
        <v>0</v>
      </c>
      <c r="L10" s="15">
        <f t="shared" si="1"/>
        <v>0</v>
      </c>
      <c r="M10" s="15">
        <f t="shared" si="2"/>
        <v>0</v>
      </c>
      <c r="N10" s="15">
        <f t="shared" si="3"/>
        <v>0</v>
      </c>
      <c r="O10" s="15">
        <f t="shared" si="4"/>
        <v>0</v>
      </c>
      <c r="P10" s="15">
        <f t="shared" si="5"/>
        <v>0</v>
      </c>
      <c r="Q10" s="6" t="str">
        <f t="shared" si="6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15">
        <f t="shared" si="0"/>
        <v>0</v>
      </c>
      <c r="L11" s="15">
        <f t="shared" si="1"/>
        <v>0</v>
      </c>
      <c r="M11" s="15">
        <f t="shared" si="2"/>
        <v>0</v>
      </c>
      <c r="N11" s="15">
        <f t="shared" si="3"/>
        <v>0</v>
      </c>
      <c r="O11" s="15">
        <f t="shared" si="4"/>
        <v>0</v>
      </c>
      <c r="P11" s="15">
        <f t="shared" si="5"/>
        <v>0</v>
      </c>
      <c r="Q11" s="6" t="str">
        <f t="shared" si="6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15">
        <f t="shared" si="0"/>
        <v>0</v>
      </c>
      <c r="L12" s="15">
        <f t="shared" si="1"/>
        <v>0</v>
      </c>
      <c r="M12" s="15">
        <f t="shared" si="2"/>
        <v>0</v>
      </c>
      <c r="N12" s="15">
        <f t="shared" si="3"/>
        <v>0</v>
      </c>
      <c r="O12" s="15">
        <f t="shared" si="4"/>
        <v>0</v>
      </c>
      <c r="P12" s="15">
        <f t="shared" si="5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15">
        <f t="shared" si="0"/>
        <v>0</v>
      </c>
      <c r="L13" s="15">
        <f t="shared" si="1"/>
        <v>0</v>
      </c>
      <c r="M13" s="15">
        <f t="shared" si="2"/>
        <v>0</v>
      </c>
      <c r="N13" s="15">
        <f t="shared" si="3"/>
        <v>0</v>
      </c>
      <c r="O13" s="15">
        <f t="shared" si="4"/>
        <v>0</v>
      </c>
      <c r="P13" s="15">
        <f t="shared" si="5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15">
        <f t="shared" si="0"/>
        <v>0</v>
      </c>
      <c r="L14" s="15">
        <f t="shared" si="1"/>
        <v>0</v>
      </c>
      <c r="M14" s="15">
        <f t="shared" si="2"/>
        <v>0</v>
      </c>
      <c r="N14" s="15">
        <f t="shared" si="3"/>
        <v>0</v>
      </c>
      <c r="O14" s="15">
        <f t="shared" si="4"/>
        <v>0</v>
      </c>
      <c r="P14" s="15">
        <f t="shared" si="5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15">
        <f t="shared" si="0"/>
        <v>0</v>
      </c>
      <c r="L15" s="15">
        <f t="shared" si="1"/>
        <v>0</v>
      </c>
      <c r="M15" s="15">
        <f t="shared" si="2"/>
        <v>0</v>
      </c>
      <c r="N15" s="15">
        <f t="shared" si="3"/>
        <v>0</v>
      </c>
      <c r="O15" s="15">
        <f t="shared" si="4"/>
        <v>0</v>
      </c>
      <c r="P15" s="15">
        <f t="shared" si="5"/>
        <v>0</v>
      </c>
      <c r="Q15" s="6" t="str">
        <f t="shared" si="6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15">
        <f t="shared" si="0"/>
        <v>0</v>
      </c>
      <c r="L16" s="15">
        <f t="shared" si="1"/>
        <v>0</v>
      </c>
      <c r="M16" s="15">
        <f t="shared" si="2"/>
        <v>0</v>
      </c>
      <c r="N16" s="15">
        <f t="shared" si="3"/>
        <v>0</v>
      </c>
      <c r="O16" s="15">
        <f t="shared" si="4"/>
        <v>0</v>
      </c>
      <c r="P16" s="15">
        <f t="shared" si="5"/>
        <v>0</v>
      </c>
      <c r="Q16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8">
    <cfRule type="expression" dxfId="191" priority="1">
      <formula>Q3="Alert"</formula>
    </cfRule>
    <cfRule type="expression" dxfId="190" priority="2">
      <formula>Q3="Yes"</formula>
    </cfRule>
    <cfRule type="expression" dxfId="189" priority="3">
      <formula>Q3="No"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6"/>
  <sheetViews>
    <sheetView tabSelected="1" workbookViewId="0">
      <selection activeCell="M13" sqref="M13"/>
    </sheetView>
  </sheetViews>
  <sheetFormatPr defaultColWidth="9" defaultRowHeight="14.4" x14ac:dyDescent="0.3"/>
  <cols>
    <col min="1" max="1" width="12.88671875" style="1" customWidth="1"/>
    <col min="2" max="2" width="14.88671875" style="1" bestFit="1" customWidth="1"/>
    <col min="3" max="3" width="19.6640625" style="1" customWidth="1"/>
    <col min="4" max="16" width="9" style="1"/>
    <col min="17" max="17" width="11.5546875" style="1" bestFit="1" customWidth="1"/>
    <col min="18" max="16384" width="9" style="1"/>
  </cols>
  <sheetData>
    <row r="1" spans="1:18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  <c r="R1" s="80" t="s">
        <v>4</v>
      </c>
    </row>
    <row r="2" spans="1:18" ht="14.7" customHeight="1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  <c r="R2" s="81"/>
    </row>
    <row r="3" spans="1:18" x14ac:dyDescent="0.3">
      <c r="A3" s="7">
        <v>45800</v>
      </c>
      <c r="B3" s="4" t="s">
        <v>97</v>
      </c>
      <c r="C3" s="4" t="s">
        <v>98</v>
      </c>
      <c r="D3" s="4">
        <v>0.92</v>
      </c>
      <c r="E3" s="4">
        <v>0.93889999999999996</v>
      </c>
      <c r="F3" s="4">
        <v>1.393</v>
      </c>
      <c r="G3" s="4">
        <v>1.8347</v>
      </c>
      <c r="H3" s="4">
        <v>3.0366</v>
      </c>
      <c r="I3" s="4">
        <v>3.6646999999999998</v>
      </c>
      <c r="J3" s="4">
        <v>4.5785999999999998</v>
      </c>
      <c r="K3" s="5">
        <f t="shared" ref="K3:K16" si="0">IF(D3=0, 0, 100*(E3 - D3*1)/(D3*1))</f>
        <v>2.0543478260869472</v>
      </c>
      <c r="L3" s="5">
        <f t="shared" ref="L3:L16" si="1">IF(D3=0, 0, 100*(F3 - D3*1.5)/(D3*1.5))</f>
        <v>0.94202898550723912</v>
      </c>
      <c r="M3" s="5">
        <f t="shared" ref="M3:M16" si="2">IF(D3=0, 0, 100*(G3 - D3*2)/(D3*2))</f>
        <v>-0.28804347826087401</v>
      </c>
      <c r="N3" s="5">
        <f t="shared" ref="N3:N16" si="3">IF(D3=0, 0, 100*(H3 - D3*3.3)/(D3*3.3))</f>
        <v>1.9762845849800193E-2</v>
      </c>
      <c r="O3" s="5">
        <f t="shared" ref="O3:O16" si="4">IF(D3=0, 0, 100*(I3 - D3*4)/(D3*4))</f>
        <v>-0.4157608695652259</v>
      </c>
      <c r="P3" s="5">
        <f t="shared" ref="P3:P16" si="5">IF(D3=0, 0, 100*(J3 - D3*5)/(D3*5))</f>
        <v>-0.46521739130436413</v>
      </c>
      <c r="Q3" s="4" t="str">
        <f t="shared" ref="Q3:Q16" si="6">IF(AND(K3&gt;=0.11,K3&lt;=0.27,L3&gt;=-0.36,L3&lt;=-0.22,M3&gt;=-0.92,M3&lt;=-0.82,N3&gt;=-0.4,N3&lt;=-0.3,O3&gt;=-0.79,O3&lt;=-0.64,P3&gt;=-0.76,P3&lt;=-0.61), "Yes", IF(AND(K3=0,L3=0,M3=0,N3=0,O3=0,P3=0), "Ready to test", "No"))</f>
        <v>No</v>
      </c>
      <c r="R3" s="6" t="s">
        <v>99</v>
      </c>
    </row>
    <row r="4" spans="1:18" x14ac:dyDescent="0.3">
      <c r="A4" s="7">
        <v>45803</v>
      </c>
      <c r="B4" s="6" t="s">
        <v>108</v>
      </c>
      <c r="C4" s="6" t="s">
        <v>109</v>
      </c>
      <c r="D4" s="6">
        <v>0.92</v>
      </c>
      <c r="E4" s="1">
        <v>0.92179999999999995</v>
      </c>
      <c r="F4" s="6">
        <v>1.3759999999999999</v>
      </c>
      <c r="G4" s="6">
        <v>1.8242</v>
      </c>
      <c r="H4" s="6">
        <v>3.0257000000000001</v>
      </c>
      <c r="I4" s="6">
        <v>3.6528</v>
      </c>
      <c r="J4" s="6">
        <v>4.5697000000000001</v>
      </c>
      <c r="K4" s="15">
        <f t="shared" si="0"/>
        <v>0.19565217391303399</v>
      </c>
      <c r="L4" s="15">
        <f t="shared" si="1"/>
        <v>-0.28985507246378445</v>
      </c>
      <c r="M4" s="15">
        <f t="shared" si="2"/>
        <v>-0.85869565217391497</v>
      </c>
      <c r="N4" s="15">
        <f t="shared" si="3"/>
        <v>-0.33926218708827327</v>
      </c>
      <c r="O4" s="15">
        <f t="shared" si="4"/>
        <v>-0.73913043478261176</v>
      </c>
      <c r="P4" s="15">
        <f t="shared" si="5"/>
        <v>-0.65869565217392245</v>
      </c>
      <c r="Q4" s="6" t="str">
        <f t="shared" si="6"/>
        <v>Yes</v>
      </c>
      <c r="R4" s="6"/>
    </row>
    <row r="5" spans="1:18" x14ac:dyDescent="0.3">
      <c r="A5" s="16">
        <v>45824</v>
      </c>
      <c r="B5" s="6" t="s">
        <v>5</v>
      </c>
      <c r="C5" s="6" t="s">
        <v>114</v>
      </c>
      <c r="D5" s="6">
        <v>0.92</v>
      </c>
      <c r="E5" s="6">
        <v>0.92169999999999996</v>
      </c>
      <c r="F5" s="6">
        <v>1.3757999999999999</v>
      </c>
      <c r="G5" s="17">
        <v>1.8238000000000001</v>
      </c>
      <c r="H5" s="6">
        <v>3.0251000000000001</v>
      </c>
      <c r="I5" s="6">
        <v>3.653</v>
      </c>
      <c r="J5" s="6">
        <v>4.5678999999999998</v>
      </c>
      <c r="K5" s="15">
        <f t="shared" si="0"/>
        <v>0.18478260869564389</v>
      </c>
      <c r="L5" s="15">
        <f t="shared" si="1"/>
        <v>-0.30434782608697125</v>
      </c>
      <c r="M5" s="15">
        <f t="shared" si="2"/>
        <v>-0.88043478260869523</v>
      </c>
      <c r="N5" s="15">
        <f t="shared" si="3"/>
        <v>-0.35902503293807342</v>
      </c>
      <c r="O5" s="15">
        <f t="shared" si="4"/>
        <v>-0.73369565217391663</v>
      </c>
      <c r="P5" s="15">
        <f>IF(D5=0, 0, 100*(J5 - D5*5)/(D5*5))</f>
        <v>-0.69782608695653647</v>
      </c>
      <c r="Q5" s="6" t="str">
        <f t="shared" si="6"/>
        <v>Yes</v>
      </c>
      <c r="R5" s="6"/>
    </row>
    <row r="6" spans="1:18" x14ac:dyDescent="0.3">
      <c r="A6" s="16">
        <v>45974</v>
      </c>
      <c r="B6" s="6" t="s">
        <v>5</v>
      </c>
      <c r="C6" s="6" t="s">
        <v>121</v>
      </c>
      <c r="D6" s="6">
        <v>0.92</v>
      </c>
      <c r="E6" s="6">
        <v>0.92169999999999996</v>
      </c>
      <c r="F6" s="6">
        <v>1.3761000000000001</v>
      </c>
      <c r="G6" s="6">
        <v>1.8237000000000001</v>
      </c>
      <c r="H6" s="6">
        <v>3.0255000000000001</v>
      </c>
      <c r="I6" s="6">
        <v>3.6545999999999998</v>
      </c>
      <c r="J6" s="6">
        <v>4.5688000000000004</v>
      </c>
      <c r="K6" s="15">
        <f t="shared" si="0"/>
        <v>0.18478260869564389</v>
      </c>
      <c r="L6" s="15">
        <f>IF(D6=0, L70, 100*(F6 - D6*1.5)/(D6*1.5))</f>
        <v>-0.28260869565217495</v>
      </c>
      <c r="M6" s="15">
        <f t="shared" si="2"/>
        <v>-0.88586956521739024</v>
      </c>
      <c r="N6" s="15">
        <f t="shared" si="3"/>
        <v>-0.34584980237153995</v>
      </c>
      <c r="O6" s="15">
        <f t="shared" si="4"/>
        <v>-0.69021739130435622</v>
      </c>
      <c r="P6" s="15">
        <f t="shared" si="5"/>
        <v>-0.6782608695652198</v>
      </c>
      <c r="Q6" s="6" t="str">
        <f t="shared" si="6"/>
        <v>Yes</v>
      </c>
      <c r="R6" s="6"/>
    </row>
    <row r="7" spans="1:18" x14ac:dyDescent="0.3">
      <c r="A7" s="16">
        <v>46034</v>
      </c>
      <c r="B7" s="6" t="s">
        <v>5</v>
      </c>
      <c r="C7" s="6" t="s">
        <v>115</v>
      </c>
      <c r="D7" s="6">
        <v>0.92</v>
      </c>
      <c r="E7" s="6">
        <v>0.92179999999999995</v>
      </c>
      <c r="F7" s="6">
        <v>1.3765000000000001</v>
      </c>
      <c r="G7" s="6">
        <v>1.8239000000000001</v>
      </c>
      <c r="H7" s="6">
        <v>3.0255999999999998</v>
      </c>
      <c r="I7" s="6">
        <v>3.6554000000000002</v>
      </c>
      <c r="J7" s="6">
        <v>4.5697000000000001</v>
      </c>
      <c r="K7" s="15">
        <f>IF(D7=0, 0, 100*(E7 - D7*1)/(D7*1))</f>
        <v>0.19565217391303399</v>
      </c>
      <c r="L7" s="15">
        <f>IF(D7=0, 0, 100*(F7 - D7*1.5)/(D7*1.5))</f>
        <v>-0.25362318840580134</v>
      </c>
      <c r="M7" s="15">
        <f t="shared" si="2"/>
        <v>-0.87500000000000011</v>
      </c>
      <c r="N7" s="15">
        <f t="shared" si="3"/>
        <v>-0.34255599472991394</v>
      </c>
      <c r="O7" s="15">
        <f t="shared" si="4"/>
        <v>-0.66847826086956397</v>
      </c>
      <c r="P7" s="15">
        <f t="shared" si="5"/>
        <v>-0.65869565217392245</v>
      </c>
      <c r="Q7" s="6" t="str">
        <f t="shared" si="6"/>
        <v>Yes</v>
      </c>
      <c r="R7" s="6"/>
    </row>
    <row r="8" spans="1:18" x14ac:dyDescent="0.3">
      <c r="A8" s="16">
        <v>46164</v>
      </c>
      <c r="B8" s="6"/>
      <c r="C8" s="6" t="s">
        <v>104</v>
      </c>
      <c r="D8" s="1">
        <v>0.92</v>
      </c>
      <c r="E8" s="6">
        <v>0.92159999999999997</v>
      </c>
      <c r="F8" s="6">
        <v>1.3753</v>
      </c>
      <c r="G8" s="6">
        <v>1.8236000000000001</v>
      </c>
      <c r="H8" s="6">
        <v>3.0251999999999999</v>
      </c>
      <c r="I8" s="6">
        <v>3.6522999999999999</v>
      </c>
      <c r="J8" s="6">
        <v>4.5678000000000001</v>
      </c>
      <c r="K8" s="15">
        <f>IF(D8=0, 0, 100*(E8 - D8*1)/(D8*1))</f>
        <v>0.17391304347825379</v>
      </c>
      <c r="L8" s="15">
        <f>IF(D8=0, 0, 100*(F8 - D8*1.5)/(D8*1.5))</f>
        <v>-0.34057971014493826</v>
      </c>
      <c r="M8" s="15">
        <f>IF(E8=0, 0, 100*(G8 - E8*2)/(E8*2))</f>
        <v>-1.0633680555555469</v>
      </c>
      <c r="N8" s="15">
        <f>IF(E8=0, 0, 100*(H8 - E8*3.3)/(E8*3.3))</f>
        <v>-0.52872474747473608</v>
      </c>
      <c r="O8" s="15">
        <f>IF(E8=0, 0, 100*(I8 - E8*4)/(E8*4))</f>
        <v>-0.92502170138888939</v>
      </c>
      <c r="P8" s="15">
        <f>IF(E8=0, 0, 100*(J8 - E8*5)/(E8*5))</f>
        <v>-0.87239583333332404</v>
      </c>
      <c r="Q8" s="6" t="str">
        <f>IF(AND(K8&gt;=0.11,K8&lt;=0.27,L8&gt;=-0.36,L8&lt;=-0.22,M8&gt;=-0.92,M8&lt;=-0.82,N8&gt;=-0.4,N8&lt;=-0.3,O8&gt;=-0.79,O8&lt;=-0.64,P8&gt;=-0.76,P8&lt;=-0.61), "Yes", IF(AND(K8=0,L8=0,M8=0,N8=0,O8=0,P8=0), "Ready to test", "No"))</f>
        <v>No</v>
      </c>
      <c r="R8" s="6"/>
    </row>
    <row r="9" spans="1:18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15">
        <f t="shared" si="0"/>
        <v>0</v>
      </c>
      <c r="L9" s="15">
        <f>IF(D9=0, 0, 100*(F9 - D9*1.5)/(D9*1.5))</f>
        <v>0</v>
      </c>
      <c r="M9" s="15">
        <f t="shared" si="2"/>
        <v>0</v>
      </c>
      <c r="N9" s="15">
        <f t="shared" si="3"/>
        <v>0</v>
      </c>
      <c r="O9" s="15">
        <f t="shared" si="4"/>
        <v>0</v>
      </c>
      <c r="P9" s="15">
        <f t="shared" si="5"/>
        <v>0</v>
      </c>
      <c r="Q9" s="6" t="str">
        <f t="shared" si="6"/>
        <v>Ready to test</v>
      </c>
      <c r="R9" s="6"/>
    </row>
    <row r="10" spans="1:18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15">
        <f t="shared" si="0"/>
        <v>0</v>
      </c>
      <c r="L10" s="15">
        <f t="shared" si="1"/>
        <v>0</v>
      </c>
      <c r="M10" s="15">
        <f t="shared" si="2"/>
        <v>0</v>
      </c>
      <c r="N10" s="15">
        <f t="shared" si="3"/>
        <v>0</v>
      </c>
      <c r="O10" s="15">
        <f t="shared" si="4"/>
        <v>0</v>
      </c>
      <c r="P10" s="15">
        <f t="shared" si="5"/>
        <v>0</v>
      </c>
      <c r="Q10" s="6" t="str">
        <f t="shared" si="6"/>
        <v>Ready to test</v>
      </c>
      <c r="R10" s="6"/>
    </row>
    <row r="11" spans="1:18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15">
        <f t="shared" si="0"/>
        <v>0</v>
      </c>
      <c r="L11" s="15">
        <f t="shared" si="1"/>
        <v>0</v>
      </c>
      <c r="M11" s="15">
        <f t="shared" si="2"/>
        <v>0</v>
      </c>
      <c r="N11" s="15">
        <f t="shared" si="3"/>
        <v>0</v>
      </c>
      <c r="O11" s="15">
        <f t="shared" si="4"/>
        <v>0</v>
      </c>
      <c r="P11" s="15">
        <f t="shared" si="5"/>
        <v>0</v>
      </c>
      <c r="Q11" s="6" t="str">
        <f t="shared" si="6"/>
        <v>Ready to test</v>
      </c>
      <c r="R11" s="6"/>
    </row>
    <row r="12" spans="1:18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15">
        <f t="shared" si="0"/>
        <v>0</v>
      </c>
      <c r="L12" s="15">
        <f t="shared" si="1"/>
        <v>0</v>
      </c>
      <c r="M12" s="15">
        <f t="shared" si="2"/>
        <v>0</v>
      </c>
      <c r="N12" s="15">
        <f t="shared" si="3"/>
        <v>0</v>
      </c>
      <c r="O12" s="15">
        <f t="shared" si="4"/>
        <v>0</v>
      </c>
      <c r="P12" s="15">
        <f t="shared" si="5"/>
        <v>0</v>
      </c>
      <c r="Q12" s="6" t="str">
        <f t="shared" si="6"/>
        <v>Ready to test</v>
      </c>
      <c r="R12" s="6"/>
    </row>
    <row r="13" spans="1:18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15">
        <f t="shared" si="0"/>
        <v>0</v>
      </c>
      <c r="L13" s="15">
        <f t="shared" si="1"/>
        <v>0</v>
      </c>
      <c r="M13" s="15">
        <f t="shared" si="2"/>
        <v>0</v>
      </c>
      <c r="N13" s="15">
        <f t="shared" si="3"/>
        <v>0</v>
      </c>
      <c r="O13" s="15">
        <f t="shared" si="4"/>
        <v>0</v>
      </c>
      <c r="P13" s="15">
        <f t="shared" si="5"/>
        <v>0</v>
      </c>
      <c r="Q13" s="6" t="str">
        <f t="shared" si="6"/>
        <v>Ready to test</v>
      </c>
      <c r="R13" s="6"/>
    </row>
    <row r="14" spans="1:18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15">
        <f t="shared" si="0"/>
        <v>0</v>
      </c>
      <c r="L14" s="15">
        <f t="shared" si="1"/>
        <v>0</v>
      </c>
      <c r="M14" s="15">
        <f t="shared" si="2"/>
        <v>0</v>
      </c>
      <c r="N14" s="15">
        <f t="shared" si="3"/>
        <v>0</v>
      </c>
      <c r="O14" s="15">
        <f t="shared" si="4"/>
        <v>0</v>
      </c>
      <c r="P14" s="15">
        <f t="shared" si="5"/>
        <v>0</v>
      </c>
      <c r="Q14" s="6" t="str">
        <f t="shared" si="6"/>
        <v>Ready to test</v>
      </c>
      <c r="R14" s="6"/>
    </row>
    <row r="15" spans="1:18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15">
        <f t="shared" si="0"/>
        <v>0</v>
      </c>
      <c r="L15" s="15">
        <f t="shared" si="1"/>
        <v>0</v>
      </c>
      <c r="M15" s="15">
        <f t="shared" si="2"/>
        <v>0</v>
      </c>
      <c r="N15" s="15">
        <f t="shared" si="3"/>
        <v>0</v>
      </c>
      <c r="O15" s="15">
        <f t="shared" si="4"/>
        <v>0</v>
      </c>
      <c r="P15" s="15">
        <f t="shared" si="5"/>
        <v>0</v>
      </c>
      <c r="Q15" s="6" t="str">
        <f t="shared" si="6"/>
        <v>Ready to test</v>
      </c>
      <c r="R15" s="6"/>
    </row>
    <row r="16" spans="1:18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15">
        <f t="shared" si="0"/>
        <v>0</v>
      </c>
      <c r="L16" s="15">
        <f t="shared" si="1"/>
        <v>0</v>
      </c>
      <c r="M16" s="15">
        <f t="shared" si="2"/>
        <v>0</v>
      </c>
      <c r="N16" s="15">
        <f t="shared" si="3"/>
        <v>0</v>
      </c>
      <c r="O16" s="15">
        <f t="shared" si="4"/>
        <v>0</v>
      </c>
      <c r="P16" s="15">
        <f t="shared" si="5"/>
        <v>0</v>
      </c>
      <c r="Q16" s="6" t="str">
        <f t="shared" si="6"/>
        <v>Ready to test</v>
      </c>
      <c r="R16" s="6"/>
    </row>
  </sheetData>
  <mergeCells count="8">
    <mergeCell ref="R1:R2"/>
    <mergeCell ref="Q1:Q2"/>
    <mergeCell ref="A1:A2"/>
    <mergeCell ref="B1:B2"/>
    <mergeCell ref="C1:C2"/>
    <mergeCell ref="D1:D2"/>
    <mergeCell ref="E1:J1"/>
    <mergeCell ref="K1:P1"/>
  </mergeCells>
  <conditionalFormatting sqref="Q3:Q8">
    <cfRule type="expression" dxfId="188" priority="1">
      <formula>Q3="Alert"</formula>
    </cfRule>
    <cfRule type="expression" dxfId="187" priority="2">
      <formula>Q3="Yes"</formula>
    </cfRule>
    <cfRule type="expression" dxfId="186" priority="3">
      <formula>Q3="No"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7"/>
  <sheetViews>
    <sheetView workbookViewId="0">
      <selection activeCell="K7" sqref="K7:P7"/>
    </sheetView>
  </sheetViews>
  <sheetFormatPr defaultRowHeight="14.4" x14ac:dyDescent="0.3"/>
  <cols>
    <col min="1" max="1" width="11.109375" bestFit="1" customWidth="1"/>
    <col min="2" max="2" width="13.5546875" customWidth="1"/>
    <col min="3" max="3" width="20.44140625" customWidth="1"/>
    <col min="4" max="4" width="16.44140625" bestFit="1" customWidth="1"/>
    <col min="11" max="11" width="11.88671875" customWidth="1"/>
    <col min="12" max="16" width="15.5546875" bestFit="1" customWidth="1"/>
    <col min="17" max="17" width="11.109375" bestFit="1" customWidth="1"/>
    <col min="16384" max="16384" width="9.109375" bestFit="1" customWidth="1"/>
  </cols>
  <sheetData>
    <row r="1" spans="1:17" ht="15" customHeight="1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5" customHeight="1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</row>
    <row r="3" spans="1:17" ht="15" customHeight="1" x14ac:dyDescent="0.3">
      <c r="A3" s="7">
        <v>45811</v>
      </c>
      <c r="B3" s="4" t="s">
        <v>7</v>
      </c>
      <c r="C3" s="4" t="s">
        <v>98</v>
      </c>
      <c r="D3" s="4">
        <v>0.92</v>
      </c>
      <c r="E3">
        <v>0.92179999999999995</v>
      </c>
      <c r="F3" s="4">
        <v>1.3765000000000001</v>
      </c>
      <c r="G3" s="4">
        <v>1.8243</v>
      </c>
      <c r="H3">
        <v>3.0259</v>
      </c>
      <c r="I3" s="6">
        <v>3.6553</v>
      </c>
      <c r="J3" s="6">
        <v>4.5693999999999999</v>
      </c>
      <c r="K3" s="5">
        <f>IF(D3=0, 0, 100*('1-6'!E4 - D3*1)/(D3*1))</f>
        <v>0.20652173913043617</v>
      </c>
      <c r="L3" s="5">
        <f t="shared" ref="L3:L16" si="0">IF(D3=0, 0, 100*(F3 - D3*1.5)/(D3*1.5))</f>
        <v>-0.25362318840580134</v>
      </c>
      <c r="M3" s="5">
        <f t="shared" ref="M3:M16" si="1">IF(D3=0, 0, 100*(G3 - D3*2)/(D3*2))</f>
        <v>-0.85326086956521996</v>
      </c>
      <c r="N3" s="5">
        <f t="shared" ref="N3:N16" si="2">IF(D3=0, 0, 100*(H3 - D3*3.3)/(D3*3.3))</f>
        <v>-0.33267457180500654</v>
      </c>
      <c r="O3" s="5">
        <f t="shared" ref="O3:O16" si="3">IF(D3=0, 0, 100*(I3 - D3*4)/(D3*4))</f>
        <v>-0.67119565217391752</v>
      </c>
      <c r="P3" s="5">
        <f>IF(D3=0, 0, 100*(J3 - D3*5)/(D3*5))</f>
        <v>-0.66521739130436142</v>
      </c>
      <c r="Q3" s="4" t="str">
        <f t="shared" ref="Q3:Q16" si="4"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ht="15" customHeight="1" x14ac:dyDescent="0.3">
      <c r="A4" s="16">
        <v>45824</v>
      </c>
      <c r="B4" s="6" t="s">
        <v>5</v>
      </c>
      <c r="C4" s="6" t="s">
        <v>114</v>
      </c>
      <c r="D4" s="6">
        <v>0.92</v>
      </c>
      <c r="E4" s="6">
        <v>0.92179999999999995</v>
      </c>
      <c r="F4" s="6">
        <v>1.3758999999999999</v>
      </c>
      <c r="G4" s="6">
        <v>1.8240000000000001</v>
      </c>
      <c r="H4" s="6">
        <v>3.0255999999999998</v>
      </c>
      <c r="I4" s="6">
        <v>3.6541000000000001</v>
      </c>
      <c r="J4">
        <v>4.5688000000000004</v>
      </c>
      <c r="K4" s="15">
        <f t="shared" ref="K4:K16" si="5">IF(D4=0, 0, 100*(E4 - D4*1)/(D4*1))</f>
        <v>0.19565217391303399</v>
      </c>
      <c r="L4" s="15">
        <f t="shared" si="0"/>
        <v>-0.29710144927537785</v>
      </c>
      <c r="M4" s="15">
        <f t="shared" si="1"/>
        <v>-0.8695652173913051</v>
      </c>
      <c r="N4" s="15">
        <f t="shared" si="2"/>
        <v>-0.34255599472991394</v>
      </c>
      <c r="O4" s="15">
        <f t="shared" si="3"/>
        <v>-0.70380434782608781</v>
      </c>
      <c r="P4" s="15">
        <f>IF(D4=0, 0, 100*(J3 - D4*5)/(D4*5))</f>
        <v>-0.66521739130436142</v>
      </c>
      <c r="Q4" s="6" t="str">
        <f t="shared" si="4"/>
        <v>Yes</v>
      </c>
    </row>
    <row r="5" spans="1:17" s="44" customFormat="1" ht="15" customHeight="1" x14ac:dyDescent="0.3">
      <c r="A5" s="42">
        <v>45895</v>
      </c>
      <c r="B5" s="42">
        <v>886</v>
      </c>
      <c r="C5" s="43" t="s">
        <v>103</v>
      </c>
      <c r="D5" s="42">
        <v>0.92</v>
      </c>
      <c r="E5" s="18">
        <v>0.92179999999999995</v>
      </c>
      <c r="F5" s="18">
        <v>1.3759999999999999</v>
      </c>
      <c r="G5" s="18">
        <v>1.8240000000000001</v>
      </c>
      <c r="H5" s="18">
        <v>3.0253999999999999</v>
      </c>
      <c r="I5" s="18">
        <v>3.6537999999999999</v>
      </c>
      <c r="J5" s="18">
        <v>4.5696000000000003</v>
      </c>
      <c r="K5" s="42">
        <f t="shared" si="5"/>
        <v>0.19565217391303399</v>
      </c>
      <c r="L5" s="42">
        <f t="shared" si="0"/>
        <v>-0.28985507246378445</v>
      </c>
      <c r="M5" s="42">
        <f t="shared" si="1"/>
        <v>-0.8695652173913051</v>
      </c>
      <c r="N5" s="42">
        <f t="shared" si="2"/>
        <v>-0.34914361001318067</v>
      </c>
      <c r="O5" s="42">
        <f t="shared" si="3"/>
        <v>-0.71195652173913648</v>
      </c>
      <c r="P5" s="42">
        <f t="shared" ref="P5:P16" si="6">IF(D5=0, 0, 100*(J5 - D5*5)/(D5*5))</f>
        <v>-0.6608695652173957</v>
      </c>
      <c r="Q5" s="42" t="str">
        <f t="shared" si="4"/>
        <v>Yes</v>
      </c>
    </row>
    <row r="6" spans="1:17" ht="15" customHeight="1" x14ac:dyDescent="0.3">
      <c r="A6" s="16">
        <v>45952</v>
      </c>
      <c r="B6" s="6" t="s">
        <v>5</v>
      </c>
      <c r="C6" s="6" t="s">
        <v>118</v>
      </c>
      <c r="D6" s="6">
        <v>0.92</v>
      </c>
      <c r="E6" s="6">
        <v>0.92169999999999996</v>
      </c>
      <c r="F6" s="6">
        <v>1.3764000000000001</v>
      </c>
      <c r="G6" s="6">
        <v>1.8242</v>
      </c>
      <c r="H6" s="6">
        <v>3.0261999999999998</v>
      </c>
      <c r="I6">
        <v>3.6545000000000001</v>
      </c>
      <c r="J6" s="6">
        <v>4.5698999999999996</v>
      </c>
      <c r="K6" s="15">
        <f t="shared" si="5"/>
        <v>0.18478260869564389</v>
      </c>
      <c r="L6" s="15">
        <f t="shared" si="0"/>
        <v>-0.26086956521739474</v>
      </c>
      <c r="M6" s="15">
        <f t="shared" si="1"/>
        <v>-0.85869565217391497</v>
      </c>
      <c r="N6" s="15">
        <f t="shared" si="2"/>
        <v>-0.32279314888011373</v>
      </c>
      <c r="O6" s="15">
        <f>IF(D6=0, 0, 100*(I6 - D6*4)/(D6*4))</f>
        <v>-0.69293478260869779</v>
      </c>
      <c r="P6" s="15">
        <f t="shared" si="6"/>
        <v>-0.65434782608697606</v>
      </c>
      <c r="Q6" s="6" t="str">
        <f>IF(AND(K6&gt;=0.11,K6&lt;=0.27,L6&gt;=-0.36,L6&lt;=-0.22,M6&gt;=-0.92,M6&lt;=-0.82,N6&gt;=-0.4,N6&lt;=-0.3,O6&gt;=-0.79,O6&lt;=-0.64,P6&gt;=-0.76,P6&lt;=-0.61), "Yes", IF(AND(K6=0,L6=0,M6=0,N6=0,O6=0,P6=0), "Ready to test", "No"))</f>
        <v>Yes</v>
      </c>
    </row>
    <row r="7" spans="1:17" ht="15" customHeight="1" x14ac:dyDescent="0.3">
      <c r="A7" s="6" t="s">
        <v>122</v>
      </c>
      <c r="B7" s="6" t="s">
        <v>5</v>
      </c>
      <c r="C7" s="6" t="s">
        <v>123</v>
      </c>
      <c r="D7" s="6">
        <v>0.92</v>
      </c>
      <c r="E7" s="6">
        <v>0.92159999999999997</v>
      </c>
      <c r="F7" s="6">
        <v>1.3761000000000001</v>
      </c>
      <c r="G7" s="6">
        <v>1.8242</v>
      </c>
      <c r="H7" s="6">
        <v>3.0255999999999998</v>
      </c>
      <c r="I7" s="6">
        <v>3.6551</v>
      </c>
      <c r="J7" s="6">
        <v>4.5693999999999999</v>
      </c>
      <c r="K7" s="15">
        <f t="shared" si="5"/>
        <v>0.17391304347825379</v>
      </c>
      <c r="L7" s="15">
        <f t="shared" si="0"/>
        <v>-0.28260869565217495</v>
      </c>
      <c r="M7" s="15">
        <f t="shared" si="1"/>
        <v>-0.85869565217391497</v>
      </c>
      <c r="N7" s="15">
        <f t="shared" si="2"/>
        <v>-0.34255599472991394</v>
      </c>
      <c r="O7" s="15">
        <f>IF(D7=0, 0, 100*(I7 - D7*4)/(D7*4))</f>
        <v>-0.67663043478261253</v>
      </c>
      <c r="P7" s="15">
        <f t="shared" si="6"/>
        <v>-0.66521739130436142</v>
      </c>
      <c r="Q7" s="6" t="str">
        <f>IF(AND(K7&gt;=0.11,K7&lt;=0.27,L7&gt;=-0.36,L7&lt;=-0.22,M7&gt;=-0.92,M7&lt;=-0.82,N7&gt;=-0.4,N7&lt;=-0.3,O7&gt;=-0.79,O7&lt;=-0.64,P7&gt;=-0.76,P7&lt;=-0.61), "Yes", IF(AND(K7=0,L7=0,M7=0,N7=0,O7=0,P7=0), "Ready to test", "No"))</f>
        <v>Yes</v>
      </c>
    </row>
    <row r="8" spans="1:17" ht="1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>
        <f t="shared" si="5"/>
        <v>0</v>
      </c>
      <c r="L8" s="6">
        <f t="shared" si="0"/>
        <v>0</v>
      </c>
      <c r="M8" s="6">
        <f t="shared" si="1"/>
        <v>0</v>
      </c>
      <c r="N8" s="6">
        <f t="shared" si="2"/>
        <v>0</v>
      </c>
      <c r="O8" s="6">
        <f t="shared" si="3"/>
        <v>0</v>
      </c>
      <c r="P8" s="6">
        <f t="shared" si="6"/>
        <v>0</v>
      </c>
      <c r="Q8" s="6" t="str">
        <f t="shared" si="4"/>
        <v>Ready to test</v>
      </c>
    </row>
    <row r="9" spans="1:17" ht="15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>
        <f t="shared" si="5"/>
        <v>0</v>
      </c>
      <c r="L9" s="6">
        <f t="shared" si="0"/>
        <v>0</v>
      </c>
      <c r="M9" s="6">
        <f t="shared" si="1"/>
        <v>0</v>
      </c>
      <c r="N9" s="6">
        <f t="shared" si="2"/>
        <v>0</v>
      </c>
      <c r="O9" s="6">
        <f t="shared" si="3"/>
        <v>0</v>
      </c>
      <c r="P9" s="6">
        <f t="shared" si="6"/>
        <v>0</v>
      </c>
      <c r="Q9" s="6" t="str">
        <f t="shared" si="4"/>
        <v>Ready to test</v>
      </c>
    </row>
    <row r="10" spans="1:17" ht="15" customHeight="1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>
        <f t="shared" si="5"/>
        <v>0</v>
      </c>
      <c r="L10" s="6">
        <f t="shared" si="0"/>
        <v>0</v>
      </c>
      <c r="M10" s="6">
        <f t="shared" si="1"/>
        <v>0</v>
      </c>
      <c r="N10" s="6">
        <f t="shared" si="2"/>
        <v>0</v>
      </c>
      <c r="O10" s="6">
        <f t="shared" si="3"/>
        <v>0</v>
      </c>
      <c r="P10" s="6">
        <f t="shared" si="6"/>
        <v>0</v>
      </c>
      <c r="Q10" s="6" t="str">
        <f t="shared" si="4"/>
        <v>Ready to test</v>
      </c>
    </row>
    <row r="11" spans="1:17" ht="15" customHeight="1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>
        <f t="shared" si="5"/>
        <v>0</v>
      </c>
      <c r="L11" s="6">
        <f t="shared" si="0"/>
        <v>0</v>
      </c>
      <c r="M11" s="6">
        <f t="shared" si="1"/>
        <v>0</v>
      </c>
      <c r="N11" s="6">
        <f t="shared" si="2"/>
        <v>0</v>
      </c>
      <c r="O11" s="6">
        <f t="shared" si="3"/>
        <v>0</v>
      </c>
      <c r="P11" s="6">
        <f t="shared" si="6"/>
        <v>0</v>
      </c>
      <c r="Q11" s="6" t="str">
        <f t="shared" si="4"/>
        <v>Ready to test</v>
      </c>
    </row>
    <row r="12" spans="1:17" ht="15" customHeight="1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>
        <f t="shared" si="5"/>
        <v>0</v>
      </c>
      <c r="L12" s="6">
        <f t="shared" si="0"/>
        <v>0</v>
      </c>
      <c r="M12" s="6">
        <f t="shared" si="1"/>
        <v>0</v>
      </c>
      <c r="N12" s="6">
        <f t="shared" si="2"/>
        <v>0</v>
      </c>
      <c r="O12" s="6">
        <f t="shared" si="3"/>
        <v>0</v>
      </c>
      <c r="P12" s="6">
        <f t="shared" si="6"/>
        <v>0</v>
      </c>
      <c r="Q12" s="6" t="str">
        <f t="shared" si="4"/>
        <v>Ready to test</v>
      </c>
    </row>
    <row r="13" spans="1:17" ht="15" customHeight="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>
        <f t="shared" si="5"/>
        <v>0</v>
      </c>
      <c r="L13" s="6">
        <f t="shared" si="0"/>
        <v>0</v>
      </c>
      <c r="M13" s="6">
        <f t="shared" si="1"/>
        <v>0</v>
      </c>
      <c r="N13" s="6">
        <f t="shared" si="2"/>
        <v>0</v>
      </c>
      <c r="O13" s="6">
        <f t="shared" si="3"/>
        <v>0</v>
      </c>
      <c r="P13" s="6">
        <f t="shared" si="6"/>
        <v>0</v>
      </c>
      <c r="Q13" s="6" t="str">
        <f t="shared" si="4"/>
        <v>Ready to test</v>
      </c>
    </row>
    <row r="14" spans="1:17" ht="15" customHeight="1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>
        <f t="shared" si="5"/>
        <v>0</v>
      </c>
      <c r="L14" s="6">
        <f t="shared" si="0"/>
        <v>0</v>
      </c>
      <c r="M14" s="6">
        <f t="shared" si="1"/>
        <v>0</v>
      </c>
      <c r="N14" s="6">
        <f t="shared" si="2"/>
        <v>0</v>
      </c>
      <c r="O14" s="6">
        <f t="shared" si="3"/>
        <v>0</v>
      </c>
      <c r="P14" s="6">
        <f t="shared" si="6"/>
        <v>0</v>
      </c>
      <c r="Q14" s="6" t="str">
        <f t="shared" si="4"/>
        <v>Ready to test</v>
      </c>
    </row>
    <row r="15" spans="1:17" ht="15" customHeight="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>
        <f t="shared" si="5"/>
        <v>0</v>
      </c>
      <c r="L15" s="6">
        <f t="shared" si="0"/>
        <v>0</v>
      </c>
      <c r="M15" s="6">
        <f t="shared" si="1"/>
        <v>0</v>
      </c>
      <c r="N15" s="6">
        <f t="shared" si="2"/>
        <v>0</v>
      </c>
      <c r="O15" s="6">
        <f t="shared" si="3"/>
        <v>0</v>
      </c>
      <c r="P15" s="6">
        <f t="shared" si="6"/>
        <v>0</v>
      </c>
      <c r="Q15" s="6" t="str">
        <f t="shared" si="4"/>
        <v>Ready to test</v>
      </c>
    </row>
    <row r="16" spans="1:17" ht="15" customHeigh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>
        <f t="shared" si="5"/>
        <v>0</v>
      </c>
      <c r="L16" s="6">
        <f t="shared" si="0"/>
        <v>0</v>
      </c>
      <c r="M16" s="6">
        <f t="shared" si="1"/>
        <v>0</v>
      </c>
      <c r="N16" s="6">
        <f t="shared" si="2"/>
        <v>0</v>
      </c>
      <c r="O16" s="6">
        <f t="shared" si="3"/>
        <v>0</v>
      </c>
      <c r="P16" s="6">
        <f t="shared" si="6"/>
        <v>0</v>
      </c>
      <c r="Q16" s="6" t="str">
        <f t="shared" si="4"/>
        <v>Ready to test</v>
      </c>
    </row>
    <row r="17" ht="15" customHeight="1" x14ac:dyDescent="0.3"/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7">
    <cfRule type="expression" dxfId="185" priority="1">
      <formula>Q3="Alert"</formula>
    </cfRule>
    <cfRule type="expression" dxfId="184" priority="2">
      <formula>Q3="Yes"</formula>
    </cfRule>
    <cfRule type="expression" dxfId="183" priority="3">
      <formula>Q3="No"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7"/>
  <sheetViews>
    <sheetView workbookViewId="0">
      <selection activeCell="K5" sqref="K5:P5"/>
    </sheetView>
  </sheetViews>
  <sheetFormatPr defaultRowHeight="14.4" x14ac:dyDescent="0.3"/>
  <cols>
    <col min="1" max="1" width="10.44140625" bestFit="1" customWidth="1"/>
    <col min="3" max="3" width="12" bestFit="1" customWidth="1"/>
    <col min="11" max="11" width="14.88671875" bestFit="1" customWidth="1"/>
    <col min="12" max="16" width="15.5546875" bestFit="1" customWidth="1"/>
    <col min="17" max="17" width="11.5546875" bestFit="1" customWidth="1"/>
  </cols>
  <sheetData>
    <row r="1" spans="1:17" ht="15" customHeight="1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5" customHeight="1" x14ac:dyDescent="0.3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</row>
    <row r="3" spans="1:17" ht="15" customHeight="1" x14ac:dyDescent="0.3">
      <c r="A3" s="7">
        <v>45827</v>
      </c>
      <c r="B3" s="4"/>
      <c r="C3" s="4" t="s">
        <v>100</v>
      </c>
      <c r="D3" s="4">
        <v>0.92</v>
      </c>
      <c r="E3" s="19">
        <v>0.92</v>
      </c>
      <c r="F3" s="9">
        <v>1.3754999999999999</v>
      </c>
      <c r="G3" s="4">
        <v>1.8232999999999999</v>
      </c>
      <c r="H3" s="6">
        <v>3.0251999999999999</v>
      </c>
      <c r="I3" s="6">
        <v>3.6533000000000002</v>
      </c>
      <c r="J3" s="19">
        <v>4.569</v>
      </c>
      <c r="K3" s="5">
        <f>IF(D3=0, 0, 100*(E3 - D3*1)/(D3*1))</f>
        <v>0</v>
      </c>
      <c r="L3" s="5">
        <f t="shared" ref="L3:L16" si="0">IF(D3=0, 0, 100*(F3 - D3*1.5)/(D3*1.5))</f>
        <v>-0.32608695652175146</v>
      </c>
      <c r="M3" s="5">
        <f t="shared" ref="M3:M16" si="1">IF(D3=0, 0, 100*(G3 - D3*2)/(D3*2))</f>
        <v>-0.9076086956521825</v>
      </c>
      <c r="N3" s="5">
        <f t="shared" ref="N3:N16" si="2">IF(D3=0, 0, 100*(H3 - D3*3.3)/(D3*3.3))</f>
        <v>-0.35573122529644741</v>
      </c>
      <c r="O3" s="5">
        <f t="shared" ref="O3:O16" si="3">IF(D3=0, 0, 100*(I3 - D3*4)/(D3*4))</f>
        <v>-0.72554347826086807</v>
      </c>
      <c r="P3" s="5">
        <f t="shared" ref="P3:P16" si="4">IF(D3=0, 0, 100*(J3 - D3*5)/(D3*5))</f>
        <v>-0.67391304347827341</v>
      </c>
      <c r="Q3" s="4" t="str">
        <f>IF(AND(K3&gt;=0,K3&lt;=0.27,L3&gt;=-0.36,L3&lt;=-0.22,M3&gt;=-0.92,M3&lt;=-0.82,N3&gt;=-0.4,N3&lt;=-0.3,O3&gt;=-0.79,O3&lt;=-0.64,P3&gt;=-0.76,P3&lt;=-0.61),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ht="15" customHeight="1" x14ac:dyDescent="0.3">
      <c r="A4" s="6" t="s">
        <v>124</v>
      </c>
      <c r="B4" s="6"/>
      <c r="C4" s="6" t="s">
        <v>125</v>
      </c>
      <c r="D4" s="6">
        <v>0.92</v>
      </c>
      <c r="E4" s="6">
        <v>0.92200000000000004</v>
      </c>
      <c r="F4" s="6">
        <v>1.3766</v>
      </c>
      <c r="G4" s="6">
        <v>1.8244</v>
      </c>
      <c r="H4" s="6">
        <v>3.0264000000000002</v>
      </c>
      <c r="I4" s="6">
        <v>3.6558999999999999</v>
      </c>
      <c r="J4" s="6">
        <v>4.5705999999999998</v>
      </c>
      <c r="K4" s="15">
        <f t="shared" ref="K4:K16" si="5">IF(D4=0, 0, 100*(E4 - D4*1)/(D4*1))</f>
        <v>0.21739130434782628</v>
      </c>
      <c r="L4" s="15">
        <f t="shared" si="0"/>
        <v>-0.24637681159420793</v>
      </c>
      <c r="M4" s="15">
        <f t="shared" si="1"/>
        <v>-0.84782608695652484</v>
      </c>
      <c r="N4" s="15">
        <f t="shared" si="2"/>
        <v>-0.31620553359683234</v>
      </c>
      <c r="O4" s="15">
        <f t="shared" si="3"/>
        <v>-0.65489130434783238</v>
      </c>
      <c r="P4" s="15">
        <f t="shared" si="4"/>
        <v>-0.6391304347826251</v>
      </c>
      <c r="Q4" s="6" t="str">
        <f t="shared" ref="Q4:Q16" si="6">IF(AND(K4&gt;=0.11,K4&lt;=0.27,L4&gt;=-0.36,L4&lt;=-0.22,M4&gt;=-0.92,M4&lt;=-0.82,N4&gt;=-0.4,N4&lt;=-0.3,O4&gt;=-0.79,O4&lt;=-0.64,P4&gt;=-0.76,P4&lt;=-0.61), "Yes", IF(AND(K4=0,L4=0,M4=0,N4=0,O4=0,P4=0), "Ready to test", "No"))</f>
        <v>Yes</v>
      </c>
    </row>
    <row r="5" spans="1:17" ht="15" customHeight="1" x14ac:dyDescent="0.3">
      <c r="A5" s="16">
        <v>46178</v>
      </c>
      <c r="B5" s="6" t="s">
        <v>119</v>
      </c>
      <c r="C5" s="4" t="s">
        <v>120</v>
      </c>
      <c r="D5" s="4">
        <v>0.92</v>
      </c>
      <c r="E5" s="6">
        <v>0.92149999999999999</v>
      </c>
      <c r="F5" s="6">
        <v>1.3753</v>
      </c>
      <c r="G5" s="6">
        <v>1.8237000000000001</v>
      </c>
      <c r="H5" s="18">
        <v>3.0249999999999999</v>
      </c>
      <c r="I5" s="6">
        <v>3.6535000000000002</v>
      </c>
      <c r="J5" s="6">
        <v>4.5689000000000002</v>
      </c>
      <c r="K5" s="15">
        <f t="shared" si="5"/>
        <v>0.16304347826086366</v>
      </c>
      <c r="L5" s="15">
        <f t="shared" si="0"/>
        <v>-0.34057971014493826</v>
      </c>
      <c r="M5" s="15">
        <f t="shared" si="1"/>
        <v>-0.88586956521739024</v>
      </c>
      <c r="N5" s="15">
        <f t="shared" si="2"/>
        <v>-0.36231884057971414</v>
      </c>
      <c r="O5" s="15">
        <f t="shared" si="3"/>
        <v>-0.72010869565217306</v>
      </c>
      <c r="P5" s="15">
        <f t="shared" si="4"/>
        <v>-0.67608695652174666</v>
      </c>
      <c r="Q5" s="6" t="str">
        <f t="shared" si="6"/>
        <v>Yes</v>
      </c>
    </row>
    <row r="6" spans="1:17" ht="15" customHeight="1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>
        <f t="shared" si="5"/>
        <v>0</v>
      </c>
      <c r="L6" s="6">
        <f t="shared" si="0"/>
        <v>0</v>
      </c>
      <c r="M6" s="6">
        <f t="shared" si="1"/>
        <v>0</v>
      </c>
      <c r="N6" s="6">
        <f t="shared" si="2"/>
        <v>0</v>
      </c>
      <c r="O6" s="6">
        <f t="shared" si="3"/>
        <v>0</v>
      </c>
      <c r="P6" s="6">
        <f t="shared" si="4"/>
        <v>0</v>
      </c>
      <c r="Q6" s="6" t="str">
        <f t="shared" si="6"/>
        <v>Ready to test</v>
      </c>
    </row>
    <row r="7" spans="1:17" ht="15" customHeight="1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>
        <f t="shared" si="5"/>
        <v>0</v>
      </c>
      <c r="L7" s="6">
        <f t="shared" si="0"/>
        <v>0</v>
      </c>
      <c r="M7" s="6">
        <f t="shared" si="1"/>
        <v>0</v>
      </c>
      <c r="N7" s="6">
        <f t="shared" si="2"/>
        <v>0</v>
      </c>
      <c r="O7" s="6">
        <f t="shared" si="3"/>
        <v>0</v>
      </c>
      <c r="P7" s="6">
        <f t="shared" si="4"/>
        <v>0</v>
      </c>
      <c r="Q7" s="6" t="str">
        <f t="shared" si="6"/>
        <v>Ready to test</v>
      </c>
    </row>
    <row r="8" spans="1:17" ht="1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>
        <f t="shared" si="5"/>
        <v>0</v>
      </c>
      <c r="L8" s="6">
        <f t="shared" si="0"/>
        <v>0</v>
      </c>
      <c r="M8" s="6">
        <f t="shared" si="1"/>
        <v>0</v>
      </c>
      <c r="N8" s="6">
        <f t="shared" si="2"/>
        <v>0</v>
      </c>
      <c r="O8" s="6">
        <f t="shared" si="3"/>
        <v>0</v>
      </c>
      <c r="P8" s="6">
        <f t="shared" si="4"/>
        <v>0</v>
      </c>
      <c r="Q8" s="6" t="str">
        <f t="shared" si="6"/>
        <v>Ready to test</v>
      </c>
    </row>
    <row r="9" spans="1:17" ht="15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>
        <f t="shared" si="5"/>
        <v>0</v>
      </c>
      <c r="L9" s="6">
        <f t="shared" si="0"/>
        <v>0</v>
      </c>
      <c r="M9" s="6">
        <f t="shared" si="1"/>
        <v>0</v>
      </c>
      <c r="N9" s="6">
        <f t="shared" si="2"/>
        <v>0</v>
      </c>
      <c r="O9" s="6">
        <f t="shared" si="3"/>
        <v>0</v>
      </c>
      <c r="P9" s="6">
        <f t="shared" si="4"/>
        <v>0</v>
      </c>
      <c r="Q9" s="6" t="str">
        <f t="shared" si="6"/>
        <v>Ready to test</v>
      </c>
    </row>
    <row r="10" spans="1:17" ht="15" customHeight="1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>
        <f t="shared" si="5"/>
        <v>0</v>
      </c>
      <c r="L10" s="6">
        <f t="shared" si="0"/>
        <v>0</v>
      </c>
      <c r="M10" s="6">
        <f t="shared" si="1"/>
        <v>0</v>
      </c>
      <c r="N10" s="6">
        <f t="shared" si="2"/>
        <v>0</v>
      </c>
      <c r="O10" s="6">
        <f t="shared" si="3"/>
        <v>0</v>
      </c>
      <c r="P10" s="6">
        <f t="shared" si="4"/>
        <v>0</v>
      </c>
      <c r="Q10" s="6" t="str">
        <f t="shared" si="6"/>
        <v>Ready to test</v>
      </c>
    </row>
    <row r="11" spans="1:17" ht="15" customHeight="1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>
        <f t="shared" si="5"/>
        <v>0</v>
      </c>
      <c r="L11" s="6">
        <f t="shared" si="0"/>
        <v>0</v>
      </c>
      <c r="M11" s="6">
        <f t="shared" si="1"/>
        <v>0</v>
      </c>
      <c r="N11" s="6">
        <f t="shared" si="2"/>
        <v>0</v>
      </c>
      <c r="O11" s="6">
        <f t="shared" si="3"/>
        <v>0</v>
      </c>
      <c r="P11" s="6">
        <f t="shared" si="4"/>
        <v>0</v>
      </c>
      <c r="Q11" s="6" t="str">
        <f t="shared" si="6"/>
        <v>Ready to test</v>
      </c>
    </row>
    <row r="12" spans="1:17" ht="15" customHeight="1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>
        <f t="shared" si="5"/>
        <v>0</v>
      </c>
      <c r="L12" s="6">
        <f t="shared" si="0"/>
        <v>0</v>
      </c>
      <c r="M12" s="6">
        <f t="shared" si="1"/>
        <v>0</v>
      </c>
      <c r="N12" s="6">
        <f t="shared" si="2"/>
        <v>0</v>
      </c>
      <c r="O12" s="6">
        <f t="shared" si="3"/>
        <v>0</v>
      </c>
      <c r="P12" s="6">
        <f t="shared" si="4"/>
        <v>0</v>
      </c>
      <c r="Q12" s="6" t="str">
        <f t="shared" si="6"/>
        <v>Ready to test</v>
      </c>
    </row>
    <row r="13" spans="1:17" ht="15" customHeight="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>
        <f t="shared" si="5"/>
        <v>0</v>
      </c>
      <c r="L13" s="6">
        <f t="shared" si="0"/>
        <v>0</v>
      </c>
      <c r="M13" s="6">
        <f t="shared" si="1"/>
        <v>0</v>
      </c>
      <c r="N13" s="6">
        <f t="shared" si="2"/>
        <v>0</v>
      </c>
      <c r="O13" s="6">
        <f t="shared" si="3"/>
        <v>0</v>
      </c>
      <c r="P13" s="6">
        <f t="shared" si="4"/>
        <v>0</v>
      </c>
      <c r="Q13" s="6" t="str">
        <f t="shared" si="6"/>
        <v>Ready to test</v>
      </c>
    </row>
    <row r="14" spans="1:17" ht="15" customHeight="1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>
        <f t="shared" si="5"/>
        <v>0</v>
      </c>
      <c r="L14" s="6">
        <f t="shared" si="0"/>
        <v>0</v>
      </c>
      <c r="M14" s="6">
        <f t="shared" si="1"/>
        <v>0</v>
      </c>
      <c r="N14" s="6">
        <f t="shared" si="2"/>
        <v>0</v>
      </c>
      <c r="O14" s="6">
        <f t="shared" si="3"/>
        <v>0</v>
      </c>
      <c r="P14" s="6">
        <f t="shared" si="4"/>
        <v>0</v>
      </c>
      <c r="Q14" s="6" t="str">
        <f t="shared" si="6"/>
        <v>Ready to test</v>
      </c>
    </row>
    <row r="15" spans="1:17" ht="15" customHeight="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>
        <f t="shared" si="5"/>
        <v>0</v>
      </c>
      <c r="L15" s="6">
        <f t="shared" si="0"/>
        <v>0</v>
      </c>
      <c r="M15" s="6">
        <f t="shared" si="1"/>
        <v>0</v>
      </c>
      <c r="N15" s="6">
        <f t="shared" si="2"/>
        <v>0</v>
      </c>
      <c r="O15" s="6">
        <f t="shared" si="3"/>
        <v>0</v>
      </c>
      <c r="P15" s="6">
        <f t="shared" si="4"/>
        <v>0</v>
      </c>
      <c r="Q15" s="6" t="str">
        <f t="shared" si="6"/>
        <v>Ready to test</v>
      </c>
    </row>
    <row r="16" spans="1:17" ht="15" customHeigh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>
        <f t="shared" si="5"/>
        <v>0</v>
      </c>
      <c r="L16" s="6">
        <f t="shared" si="0"/>
        <v>0</v>
      </c>
      <c r="M16" s="6">
        <f t="shared" si="1"/>
        <v>0</v>
      </c>
      <c r="N16" s="6">
        <f t="shared" si="2"/>
        <v>0</v>
      </c>
      <c r="O16" s="6">
        <f t="shared" si="3"/>
        <v>0</v>
      </c>
      <c r="P16" s="6">
        <f t="shared" si="4"/>
        <v>0</v>
      </c>
      <c r="Q16" s="6" t="str">
        <f t="shared" si="6"/>
        <v>Ready to test</v>
      </c>
    </row>
    <row r="17" ht="15" customHeight="1" x14ac:dyDescent="0.3"/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6">
    <cfRule type="expression" dxfId="182" priority="1">
      <formula>Q3="Alert"</formula>
    </cfRule>
    <cfRule type="expression" dxfId="181" priority="2">
      <formula>Q3="Yes"</formula>
    </cfRule>
    <cfRule type="expression" dxfId="180" priority="3">
      <formula>Q3="No"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6"/>
  <sheetViews>
    <sheetView workbookViewId="0">
      <selection activeCell="P6" sqref="K6:P6"/>
    </sheetView>
  </sheetViews>
  <sheetFormatPr defaultColWidth="9" defaultRowHeight="14.4" x14ac:dyDescent="0.3"/>
  <cols>
    <col min="1" max="1" width="11.109375" style="1" bestFit="1" customWidth="1"/>
    <col min="2" max="2" width="13.109375" style="1" customWidth="1"/>
    <col min="3" max="3" width="20" style="1" customWidth="1"/>
    <col min="4" max="4" width="17.44140625" style="1" bestFit="1" customWidth="1"/>
    <col min="5" max="6" width="9" style="1" customWidth="1"/>
    <col min="7" max="11" width="9" style="1"/>
    <col min="12" max="16" width="9.5546875" style="1" bestFit="1" customWidth="1"/>
    <col min="17" max="17" width="12" style="1" bestFit="1" customWidth="1"/>
    <col min="18" max="16384" width="9" style="1"/>
  </cols>
  <sheetData>
    <row r="1" spans="1:17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4.7" customHeight="1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</row>
    <row r="3" spans="1:17" x14ac:dyDescent="0.3">
      <c r="A3" s="7">
        <v>45803</v>
      </c>
      <c r="B3" s="4" t="s">
        <v>5</v>
      </c>
      <c r="C3" s="4" t="s">
        <v>107</v>
      </c>
      <c r="D3" s="4">
        <v>0.92</v>
      </c>
      <c r="E3" s="4">
        <v>0.92200000000000004</v>
      </c>
      <c r="F3" s="4">
        <v>1.3768</v>
      </c>
      <c r="G3" s="4">
        <v>1.8243</v>
      </c>
      <c r="H3" s="4">
        <v>3.0261999999999998</v>
      </c>
      <c r="I3" s="4">
        <v>3.6545000000000001</v>
      </c>
      <c r="J3" s="4">
        <v>4.5707000000000004</v>
      </c>
      <c r="K3" s="5">
        <f t="shared" ref="K3:K16" si="0">IF(D3=0, 0, 100*(E3 - D3*1)/(D3*1))</f>
        <v>0.21739130434782628</v>
      </c>
      <c r="L3" s="5">
        <f t="shared" ref="L3:L16" si="1">IF(D3=0, 0, 100*(F3 - D3*1.5)/(D3*1.5))</f>
        <v>-0.23188405797102113</v>
      </c>
      <c r="M3" s="5">
        <f t="shared" ref="M3:M16" si="2">IF(D3=0, 0, 100*(G3 - D3*2)/(D3*2))</f>
        <v>-0.85326086956521996</v>
      </c>
      <c r="N3" s="5">
        <f t="shared" ref="N3:N16" si="3">IF(D3=0, 0, 100*(H3 - D3*3.3)/(D3*3.3))</f>
        <v>-0.32279314888011373</v>
      </c>
      <c r="O3" s="5">
        <f t="shared" ref="O3:O16" si="4">IF(D3=0, 0, 100*(I3 - D3*4)/(D3*4))</f>
        <v>-0.69293478260869779</v>
      </c>
      <c r="P3" s="5">
        <f t="shared" ref="P3:P16" si="5">IF(D3=0, 0, 100*(J3 - D3*5)/(D3*5))</f>
        <v>-0.63695652173913264</v>
      </c>
      <c r="Q3" s="4" t="str">
        <f t="shared" ref="Q3:Q16" si="6"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>
        <v>45824</v>
      </c>
      <c r="B4" s="6" t="s">
        <v>5</v>
      </c>
      <c r="C4" s="6" t="s">
        <v>114</v>
      </c>
      <c r="D4" s="6">
        <v>0.92</v>
      </c>
      <c r="E4" s="6">
        <v>0.92200000000000004</v>
      </c>
      <c r="F4" s="6">
        <v>1.3762000000000001</v>
      </c>
      <c r="G4" s="6">
        <v>1.8242</v>
      </c>
      <c r="H4" s="6">
        <v>3.0261</v>
      </c>
      <c r="I4" s="6">
        <v>3.6549999999999998</v>
      </c>
      <c r="J4" s="6">
        <v>4.57</v>
      </c>
      <c r="K4" s="15">
        <f t="shared" si="0"/>
        <v>0.21739130434782628</v>
      </c>
      <c r="L4" s="15">
        <f t="shared" si="1"/>
        <v>-0.27536231884058154</v>
      </c>
      <c r="M4" s="15">
        <f t="shared" si="2"/>
        <v>-0.85869565217391497</v>
      </c>
      <c r="N4" s="15">
        <f t="shared" si="3"/>
        <v>-0.3260869565217398</v>
      </c>
      <c r="O4" s="15">
        <f t="shared" si="4"/>
        <v>-0.6793478260869662</v>
      </c>
      <c r="P4" s="15">
        <f t="shared" si="5"/>
        <v>-0.6521739130434836</v>
      </c>
      <c r="Q4" s="6" t="str">
        <f t="shared" si="6"/>
        <v>Yes</v>
      </c>
    </row>
    <row r="5" spans="1:17" x14ac:dyDescent="0.3">
      <c r="A5" s="16">
        <v>45895</v>
      </c>
      <c r="B5" s="6">
        <v>887</v>
      </c>
      <c r="C5" s="6" t="s">
        <v>103</v>
      </c>
      <c r="D5" s="6">
        <v>0.92</v>
      </c>
      <c r="E5" s="6">
        <v>0.92200000000000004</v>
      </c>
      <c r="F5" s="6">
        <v>1.3759999999999999</v>
      </c>
      <c r="G5" s="6">
        <v>1.8243</v>
      </c>
      <c r="H5" s="6">
        <v>3.0253999999999999</v>
      </c>
      <c r="I5" s="6">
        <v>3.6534</v>
      </c>
      <c r="J5" s="6">
        <v>4.5697000000000001</v>
      </c>
      <c r="K5" s="15">
        <f t="shared" si="0"/>
        <v>0.21739130434782628</v>
      </c>
      <c r="L5" s="15">
        <f t="shared" si="1"/>
        <v>-0.28985507246378445</v>
      </c>
      <c r="M5" s="15">
        <f t="shared" si="2"/>
        <v>-0.85326086956521996</v>
      </c>
      <c r="N5" s="15">
        <f t="shared" si="3"/>
        <v>-0.34914361001318067</v>
      </c>
      <c r="O5" s="15">
        <f t="shared" si="4"/>
        <v>-0.72282608695652661</v>
      </c>
      <c r="P5" s="15">
        <f t="shared" si="5"/>
        <v>-0.65869565217392245</v>
      </c>
      <c r="Q5" s="6" t="str">
        <f t="shared" si="6"/>
        <v>Yes</v>
      </c>
    </row>
    <row r="6" spans="1:17" x14ac:dyDescent="0.3">
      <c r="A6" s="16">
        <v>45916</v>
      </c>
      <c r="B6" s="6" t="s">
        <v>5</v>
      </c>
      <c r="C6" s="6" t="s">
        <v>114</v>
      </c>
      <c r="D6" s="6">
        <v>0.92</v>
      </c>
      <c r="E6" s="6">
        <v>0.92220000000000002</v>
      </c>
      <c r="F6" s="6">
        <v>1.3764000000000001</v>
      </c>
      <c r="G6" s="6">
        <v>1.8244</v>
      </c>
      <c r="H6" s="6">
        <v>3.0259</v>
      </c>
      <c r="I6" s="6">
        <v>3.6541000000000001</v>
      </c>
      <c r="J6" s="6">
        <v>4.5701999999999998</v>
      </c>
      <c r="K6" s="15">
        <f t="shared" si="0"/>
        <v>0.23913043478260648</v>
      </c>
      <c r="L6" s="15">
        <f t="shared" si="1"/>
        <v>-0.26086956521739474</v>
      </c>
      <c r="M6" s="15">
        <f t="shared" si="2"/>
        <v>-0.84782608695652484</v>
      </c>
      <c r="N6" s="15">
        <f t="shared" si="3"/>
        <v>-0.33267457180500654</v>
      </c>
      <c r="O6" s="15">
        <f t="shared" si="4"/>
        <v>-0.70380434782608781</v>
      </c>
      <c r="P6" s="15">
        <f t="shared" si="5"/>
        <v>-0.64782608695653721</v>
      </c>
      <c r="Q6" s="6" t="str">
        <f t="shared" si="6"/>
        <v>Yes</v>
      </c>
    </row>
    <row r="7" spans="1:17" x14ac:dyDescent="0.3">
      <c r="A7" s="16">
        <v>46045</v>
      </c>
      <c r="B7" s="6"/>
      <c r="C7" s="6" t="s">
        <v>126</v>
      </c>
      <c r="D7" s="6">
        <v>0.92</v>
      </c>
      <c r="E7" s="6">
        <v>0.92179999999999995</v>
      </c>
      <c r="F7" s="6">
        <v>1.3759999999999999</v>
      </c>
      <c r="G7" s="6">
        <v>1.8243</v>
      </c>
      <c r="H7" s="6">
        <v>3.0255000000000001</v>
      </c>
      <c r="I7" s="6">
        <v>3.6539999999999999</v>
      </c>
      <c r="J7" s="6">
        <v>4.5692000000000004</v>
      </c>
      <c r="K7" s="6">
        <f t="shared" si="0"/>
        <v>0.19565217391303399</v>
      </c>
      <c r="L7" s="6">
        <f t="shared" si="1"/>
        <v>-0.28985507246378445</v>
      </c>
      <c r="M7" s="6">
        <f t="shared" si="2"/>
        <v>-0.85326086956521996</v>
      </c>
      <c r="N7" s="6">
        <f t="shared" si="3"/>
        <v>-0.34584980237153995</v>
      </c>
      <c r="O7" s="6">
        <f t="shared" si="4"/>
        <v>-0.70652173913044136</v>
      </c>
      <c r="P7" s="6">
        <f t="shared" si="5"/>
        <v>-0.66956521739130781</v>
      </c>
      <c r="Q7" s="6" t="str">
        <f t="shared" si="6"/>
        <v>Yes</v>
      </c>
    </row>
    <row r="8" spans="1:17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>
        <f t="shared" si="0"/>
        <v>0</v>
      </c>
      <c r="L8" s="6">
        <f t="shared" si="1"/>
        <v>0</v>
      </c>
      <c r="M8" s="6">
        <f t="shared" si="2"/>
        <v>0</v>
      </c>
      <c r="N8" s="6">
        <f t="shared" si="3"/>
        <v>0</v>
      </c>
      <c r="O8" s="6">
        <f t="shared" si="4"/>
        <v>0</v>
      </c>
      <c r="P8" s="6">
        <f t="shared" si="5"/>
        <v>0</v>
      </c>
      <c r="Q8" s="6" t="str">
        <f t="shared" si="6"/>
        <v>Ready to test</v>
      </c>
    </row>
    <row r="9" spans="1:17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>
        <f t="shared" si="0"/>
        <v>0</v>
      </c>
      <c r="L9" s="6">
        <f t="shared" si="1"/>
        <v>0</v>
      </c>
      <c r="M9" s="6">
        <f t="shared" si="2"/>
        <v>0</v>
      </c>
      <c r="N9" s="6">
        <f t="shared" si="3"/>
        <v>0</v>
      </c>
      <c r="O9" s="6">
        <f t="shared" si="4"/>
        <v>0</v>
      </c>
      <c r="P9" s="6">
        <f t="shared" si="5"/>
        <v>0</v>
      </c>
      <c r="Q9" s="6" t="str">
        <f t="shared" si="6"/>
        <v>Ready to test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>
        <f t="shared" si="0"/>
        <v>0</v>
      </c>
      <c r="L10" s="6">
        <f t="shared" si="1"/>
        <v>0</v>
      </c>
      <c r="M10" s="6">
        <f t="shared" si="2"/>
        <v>0</v>
      </c>
      <c r="N10" s="6">
        <f t="shared" si="3"/>
        <v>0</v>
      </c>
      <c r="O10" s="6">
        <f t="shared" si="4"/>
        <v>0</v>
      </c>
      <c r="P10" s="6">
        <f t="shared" si="5"/>
        <v>0</v>
      </c>
      <c r="Q10" s="6" t="str">
        <f t="shared" si="6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>
        <f t="shared" si="0"/>
        <v>0</v>
      </c>
      <c r="L11" s="6">
        <f t="shared" si="1"/>
        <v>0</v>
      </c>
      <c r="M11" s="6">
        <f t="shared" si="2"/>
        <v>0</v>
      </c>
      <c r="N11" s="6">
        <f t="shared" si="3"/>
        <v>0</v>
      </c>
      <c r="O11" s="6">
        <f t="shared" si="4"/>
        <v>0</v>
      </c>
      <c r="P11" s="6">
        <f t="shared" si="5"/>
        <v>0</v>
      </c>
      <c r="Q11" s="6" t="str">
        <f t="shared" si="6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>
        <f t="shared" si="0"/>
        <v>0</v>
      </c>
      <c r="L12" s="6">
        <f t="shared" si="1"/>
        <v>0</v>
      </c>
      <c r="M12" s="6">
        <f t="shared" si="2"/>
        <v>0</v>
      </c>
      <c r="N12" s="6">
        <f t="shared" si="3"/>
        <v>0</v>
      </c>
      <c r="O12" s="6">
        <f t="shared" si="4"/>
        <v>0</v>
      </c>
      <c r="P12" s="6">
        <f t="shared" si="5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>
        <f t="shared" si="0"/>
        <v>0</v>
      </c>
      <c r="L13" s="6">
        <f t="shared" si="1"/>
        <v>0</v>
      </c>
      <c r="M13" s="6">
        <f t="shared" si="2"/>
        <v>0</v>
      </c>
      <c r="N13" s="6">
        <f t="shared" si="3"/>
        <v>0</v>
      </c>
      <c r="O13" s="6">
        <f t="shared" si="4"/>
        <v>0</v>
      </c>
      <c r="P13" s="6">
        <f t="shared" si="5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>
        <f t="shared" si="0"/>
        <v>0</v>
      </c>
      <c r="L14" s="6">
        <f t="shared" si="1"/>
        <v>0</v>
      </c>
      <c r="M14" s="6">
        <f t="shared" si="2"/>
        <v>0</v>
      </c>
      <c r="N14" s="6">
        <f t="shared" si="3"/>
        <v>0</v>
      </c>
      <c r="O14" s="6">
        <f t="shared" si="4"/>
        <v>0</v>
      </c>
      <c r="P14" s="6">
        <f t="shared" si="5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>
        <f t="shared" si="0"/>
        <v>0</v>
      </c>
      <c r="L15" s="6">
        <f t="shared" si="1"/>
        <v>0</v>
      </c>
      <c r="M15" s="6">
        <f t="shared" si="2"/>
        <v>0</v>
      </c>
      <c r="N15" s="6">
        <f t="shared" si="3"/>
        <v>0</v>
      </c>
      <c r="O15" s="6">
        <f t="shared" si="4"/>
        <v>0</v>
      </c>
      <c r="P15" s="6">
        <f t="shared" si="5"/>
        <v>0</v>
      </c>
      <c r="Q15" s="6" t="str">
        <f t="shared" si="6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>
        <f t="shared" si="0"/>
        <v>0</v>
      </c>
      <c r="L16" s="6">
        <f t="shared" si="1"/>
        <v>0</v>
      </c>
      <c r="M16" s="6">
        <f t="shared" si="2"/>
        <v>0</v>
      </c>
      <c r="N16" s="6">
        <f t="shared" si="3"/>
        <v>0</v>
      </c>
      <c r="O16" s="6">
        <f t="shared" si="4"/>
        <v>0</v>
      </c>
      <c r="P16" s="6">
        <f t="shared" si="5"/>
        <v>0</v>
      </c>
      <c r="Q16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6">
    <cfRule type="expression" dxfId="179" priority="1">
      <formula>Q3="Alert"</formula>
    </cfRule>
    <cfRule type="expression" dxfId="178" priority="2">
      <formula>Q3="Yes"</formula>
    </cfRule>
    <cfRule type="expression" dxfId="177" priority="3">
      <formula>Q3="No"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6"/>
  <sheetViews>
    <sheetView workbookViewId="0">
      <selection activeCell="C3" sqref="C3:C7"/>
    </sheetView>
  </sheetViews>
  <sheetFormatPr defaultRowHeight="14.4" x14ac:dyDescent="0.3"/>
  <cols>
    <col min="1" max="1" width="11.109375" bestFit="1" customWidth="1"/>
    <col min="3" max="3" width="19.33203125" bestFit="1" customWidth="1"/>
    <col min="11" max="11" width="12.109375" customWidth="1"/>
    <col min="12" max="16" width="10.33203125" bestFit="1" customWidth="1"/>
    <col min="17" max="17" width="14.44140625" customWidth="1"/>
  </cols>
  <sheetData>
    <row r="1" spans="1:17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4.7" customHeight="1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</row>
    <row r="3" spans="1:17" x14ac:dyDescent="0.3">
      <c r="A3" s="16">
        <v>45799</v>
      </c>
      <c r="B3" s="6"/>
      <c r="C3" s="6" t="s">
        <v>127</v>
      </c>
      <c r="D3" s="6">
        <v>0.92</v>
      </c>
      <c r="E3" s="4">
        <v>0.92190000000000005</v>
      </c>
      <c r="F3" s="4">
        <v>1.3766</v>
      </c>
      <c r="G3" s="4">
        <v>1.8244</v>
      </c>
      <c r="H3" s="4">
        <v>3.0264000000000002</v>
      </c>
      <c r="I3" s="4">
        <v>3.6551</v>
      </c>
      <c r="J3" s="4">
        <v>4.5705</v>
      </c>
      <c r="K3" s="5">
        <f t="shared" ref="K3:K16" si="0">IF(D3=0, 0, 100*(E3 - D3*1)/(D3*1))</f>
        <v>0.20652173913043617</v>
      </c>
      <c r="L3" s="5">
        <f t="shared" ref="L3:L16" si="1">IF(D3=0, 0, 100*(F3 - D3*1.5)/(D3*1.5))</f>
        <v>-0.24637681159420793</v>
      </c>
      <c r="M3" s="5">
        <f t="shared" ref="M3:M16" si="2">IF(D3=0, 0, 100*(G3 - D3*2)/(D3*2))</f>
        <v>-0.84782608695652484</v>
      </c>
      <c r="N3" s="5">
        <f t="shared" ref="N3:N16" si="3">IF(D3=0, 0, 100*(H3 - D3*3.3)/(D3*3.3))</f>
        <v>-0.31620553359683234</v>
      </c>
      <c r="O3" s="5">
        <f t="shared" ref="O3:O16" si="4">IF(D3=0, 0, 100*(I3 - D3*4)/(D3*4))</f>
        <v>-0.67663043478261253</v>
      </c>
      <c r="P3" s="5">
        <f t="shared" ref="P3:P16" si="5">IF(D3=0, 0, 100*(J3 - D3*5)/(D3*5))</f>
        <v>-0.64130434782609835</v>
      </c>
      <c r="Q3" s="4" t="str">
        <f t="shared" ref="Q3:Q16" si="6"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>
        <v>45820</v>
      </c>
      <c r="B4" s="6" t="s">
        <v>5</v>
      </c>
      <c r="C4" s="6" t="s">
        <v>128</v>
      </c>
      <c r="D4" s="6">
        <v>0.92</v>
      </c>
      <c r="E4" s="6">
        <v>0.92200000000000004</v>
      </c>
      <c r="F4" s="6">
        <v>1.3763000000000001</v>
      </c>
      <c r="G4" s="6">
        <v>1.8244</v>
      </c>
      <c r="H4" s="6">
        <v>3.0263</v>
      </c>
      <c r="I4" s="6">
        <v>3.6551999999999998</v>
      </c>
      <c r="J4" s="6">
        <v>4.5702999999999996</v>
      </c>
      <c r="K4" s="5">
        <f t="shared" si="0"/>
        <v>0.21739130434782628</v>
      </c>
      <c r="L4" s="5">
        <f t="shared" si="1"/>
        <v>-0.26811594202898814</v>
      </c>
      <c r="M4" s="5">
        <f t="shared" si="2"/>
        <v>-0.84782608695652484</v>
      </c>
      <c r="N4" s="5">
        <f t="shared" si="3"/>
        <v>-0.31949934123847307</v>
      </c>
      <c r="O4" s="5">
        <f t="shared" si="4"/>
        <v>-0.67391304347827108</v>
      </c>
      <c r="P4" s="5">
        <f t="shared" si="5"/>
        <v>-0.64565217391306406</v>
      </c>
      <c r="Q4" s="6" t="str">
        <f t="shared" si="6"/>
        <v>Yes</v>
      </c>
    </row>
    <row r="5" spans="1:17" x14ac:dyDescent="0.3">
      <c r="A5" s="16">
        <v>45916</v>
      </c>
      <c r="B5" s="6" t="s">
        <v>5</v>
      </c>
      <c r="C5" s="6" t="s">
        <v>102</v>
      </c>
      <c r="D5" s="6">
        <v>0.92</v>
      </c>
      <c r="E5" s="6">
        <v>0.92210000000000003</v>
      </c>
      <c r="F5" s="6">
        <v>1.3759999999999999</v>
      </c>
      <c r="G5" s="6">
        <v>1.8241000000000001</v>
      </c>
      <c r="H5" s="17">
        <v>3.0255000000000001</v>
      </c>
      <c r="I5" s="6">
        <v>3.6535000000000002</v>
      </c>
      <c r="J5" s="6">
        <v>4.5697000000000001</v>
      </c>
      <c r="K5" s="5">
        <f t="shared" si="0"/>
        <v>0.22826086956521638</v>
      </c>
      <c r="L5" s="5">
        <f t="shared" si="1"/>
        <v>-0.28985507246378445</v>
      </c>
      <c r="M5" s="5">
        <f t="shared" si="2"/>
        <v>-0.86413043478260998</v>
      </c>
      <c r="N5" s="5">
        <f t="shared" si="3"/>
        <v>-0.34584980237153995</v>
      </c>
      <c r="O5" s="5">
        <f t="shared" si="4"/>
        <v>-0.72010869565217306</v>
      </c>
      <c r="P5" s="5">
        <f t="shared" si="5"/>
        <v>-0.65869565217392245</v>
      </c>
      <c r="Q5" s="6" t="str">
        <f t="shared" si="6"/>
        <v>Yes</v>
      </c>
    </row>
    <row r="6" spans="1:17" x14ac:dyDescent="0.3">
      <c r="A6" s="16">
        <v>46069</v>
      </c>
      <c r="B6" s="6"/>
      <c r="C6" s="6" t="s">
        <v>125</v>
      </c>
      <c r="D6" s="6">
        <v>0.92</v>
      </c>
      <c r="E6" s="6">
        <v>0.92200000000000004</v>
      </c>
      <c r="F6" s="6">
        <v>1.3767</v>
      </c>
      <c r="G6" s="1">
        <v>1.8241000000000001</v>
      </c>
      <c r="H6" s="6">
        <v>3.0261</v>
      </c>
      <c r="I6" s="6">
        <v>3.6555</v>
      </c>
      <c r="J6" s="6">
        <v>4.5705999999999998</v>
      </c>
      <c r="K6" s="5">
        <f t="shared" si="0"/>
        <v>0.21739130434782628</v>
      </c>
      <c r="L6" s="5">
        <f t="shared" si="1"/>
        <v>-0.23913043478261453</v>
      </c>
      <c r="M6" s="5">
        <f>IF(D6=0, 0, 100*(G6 - D6*2)/(D6*2))</f>
        <v>-0.86413043478260998</v>
      </c>
      <c r="N6" s="5">
        <f t="shared" si="3"/>
        <v>-0.3260869565217398</v>
      </c>
      <c r="O6" s="5">
        <f t="shared" si="4"/>
        <v>-0.66576086956522251</v>
      </c>
      <c r="P6" s="5">
        <f t="shared" si="5"/>
        <v>-0.6391304347826251</v>
      </c>
      <c r="Q6" s="6" t="str">
        <f t="shared" si="6"/>
        <v>Yes</v>
      </c>
    </row>
    <row r="7" spans="1:17" x14ac:dyDescent="0.3">
      <c r="A7" s="16">
        <v>46178</v>
      </c>
      <c r="B7" s="6" t="s">
        <v>119</v>
      </c>
      <c r="C7" s="4" t="s">
        <v>120</v>
      </c>
      <c r="D7" s="4">
        <v>0.92</v>
      </c>
      <c r="E7" s="6">
        <v>0.92159999999999997</v>
      </c>
      <c r="F7" s="6">
        <v>1.3754999999999999</v>
      </c>
      <c r="G7" s="6">
        <v>1.8238000000000001</v>
      </c>
      <c r="H7" s="6">
        <v>3.0251000000000001</v>
      </c>
      <c r="I7" s="6">
        <v>3.6530999999999998</v>
      </c>
      <c r="J7" s="18">
        <v>4.5679999999999996</v>
      </c>
      <c r="K7" s="5">
        <f t="shared" ref="K7" si="7">IF(D7=0, 0, 100*(E7 - D7*1)/(D7*1))</f>
        <v>0.17391304347825379</v>
      </c>
      <c r="L7" s="5">
        <f t="shared" ref="L7" si="8">IF(D7=0, 0, 100*(F7 - D7*1.5)/(D7*1.5))</f>
        <v>-0.32608695652175146</v>
      </c>
      <c r="M7" s="5">
        <f>IF(D7=0, 0, 100*(G7 - D7*2)/(D7*2))</f>
        <v>-0.88043478260869523</v>
      </c>
      <c r="N7" s="5">
        <f t="shared" ref="N7" si="9">IF(D7=0, 0, 100*(H7 - D7*3.3)/(D7*3.3))</f>
        <v>-0.35902503293807342</v>
      </c>
      <c r="O7" s="5">
        <f t="shared" ref="O7" si="10">IF(D7=0, 0, 100*(I7 - D7*4)/(D7*4))</f>
        <v>-0.73097826086957518</v>
      </c>
      <c r="P7" s="5">
        <f t="shared" ref="P7" si="11">IF(D7=0, 0, 100*(J7 - D7*5)/(D7*5))</f>
        <v>-0.69565217391306333</v>
      </c>
      <c r="Q7" s="6" t="str">
        <f t="shared" ref="Q7" si="12">IF(AND(K7&gt;=0.11,K7&lt;=0.27,L7&gt;=-0.36,L7&lt;=-0.22,M7&gt;=-0.92,M7&lt;=-0.82,N7&gt;=-0.4,N7&lt;=-0.3,O7&gt;=-0.79,O7&lt;=-0.64,P7&gt;=-0.76,P7&lt;=-0.61), "Yes", IF(AND(K7=0,L7=0,M7=0,N7=0,O7=0,P7=0), "Ready to test", "No"))</f>
        <v>Yes</v>
      </c>
    </row>
    <row r="8" spans="1:17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5">
        <f t="shared" si="0"/>
        <v>0</v>
      </c>
      <c r="L8" s="5">
        <f t="shared" si="1"/>
        <v>0</v>
      </c>
      <c r="M8" s="5">
        <f t="shared" si="2"/>
        <v>0</v>
      </c>
      <c r="N8" s="5">
        <f t="shared" si="3"/>
        <v>0</v>
      </c>
      <c r="O8" s="5">
        <f t="shared" si="4"/>
        <v>0</v>
      </c>
      <c r="P8" s="5">
        <f t="shared" si="5"/>
        <v>0</v>
      </c>
      <c r="Q8" s="6" t="str">
        <f t="shared" si="6"/>
        <v>Ready to test</v>
      </c>
    </row>
    <row r="9" spans="1:17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5">
        <f t="shared" si="0"/>
        <v>0</v>
      </c>
      <c r="L9" s="5">
        <f t="shared" si="1"/>
        <v>0</v>
      </c>
      <c r="M9" s="5">
        <f t="shared" si="2"/>
        <v>0</v>
      </c>
      <c r="N9" s="5">
        <f t="shared" si="3"/>
        <v>0</v>
      </c>
      <c r="O9" s="5">
        <f t="shared" si="4"/>
        <v>0</v>
      </c>
      <c r="P9" s="5">
        <f t="shared" si="5"/>
        <v>0</v>
      </c>
      <c r="Q9" s="6" t="str">
        <f t="shared" si="6"/>
        <v>Ready to test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5">
        <f t="shared" si="0"/>
        <v>0</v>
      </c>
      <c r="L10" s="5">
        <f t="shared" si="1"/>
        <v>0</v>
      </c>
      <c r="M10" s="5">
        <f t="shared" si="2"/>
        <v>0</v>
      </c>
      <c r="N10" s="5">
        <f t="shared" si="3"/>
        <v>0</v>
      </c>
      <c r="O10" s="5">
        <f t="shared" si="4"/>
        <v>0</v>
      </c>
      <c r="P10" s="5">
        <f t="shared" si="5"/>
        <v>0</v>
      </c>
      <c r="Q10" s="6" t="str">
        <f t="shared" si="6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5">
        <f t="shared" si="0"/>
        <v>0</v>
      </c>
      <c r="L11" s="5">
        <f t="shared" si="1"/>
        <v>0</v>
      </c>
      <c r="M11" s="5">
        <f t="shared" si="2"/>
        <v>0</v>
      </c>
      <c r="N11" s="5">
        <f t="shared" si="3"/>
        <v>0</v>
      </c>
      <c r="O11" s="5">
        <f t="shared" si="4"/>
        <v>0</v>
      </c>
      <c r="P11" s="5">
        <f t="shared" si="5"/>
        <v>0</v>
      </c>
      <c r="Q11" s="6" t="str">
        <f t="shared" si="6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5">
        <f t="shared" si="0"/>
        <v>0</v>
      </c>
      <c r="L12" s="5">
        <f t="shared" si="1"/>
        <v>0</v>
      </c>
      <c r="M12" s="5">
        <f t="shared" si="2"/>
        <v>0</v>
      </c>
      <c r="N12" s="5">
        <f t="shared" si="3"/>
        <v>0</v>
      </c>
      <c r="O12" s="5">
        <f t="shared" si="4"/>
        <v>0</v>
      </c>
      <c r="P12" s="5">
        <f t="shared" si="5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5">
        <f t="shared" si="0"/>
        <v>0</v>
      </c>
      <c r="L13" s="5">
        <f t="shared" si="1"/>
        <v>0</v>
      </c>
      <c r="M13" s="5">
        <f t="shared" si="2"/>
        <v>0</v>
      </c>
      <c r="N13" s="5">
        <f t="shared" si="3"/>
        <v>0</v>
      </c>
      <c r="O13" s="5">
        <f t="shared" si="4"/>
        <v>0</v>
      </c>
      <c r="P13" s="5">
        <f t="shared" si="5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5">
        <f t="shared" si="0"/>
        <v>0</v>
      </c>
      <c r="L14" s="5">
        <f t="shared" si="1"/>
        <v>0</v>
      </c>
      <c r="M14" s="5">
        <f t="shared" si="2"/>
        <v>0</v>
      </c>
      <c r="N14" s="5">
        <f t="shared" si="3"/>
        <v>0</v>
      </c>
      <c r="O14" s="5">
        <f t="shared" si="4"/>
        <v>0</v>
      </c>
      <c r="P14" s="5">
        <f t="shared" si="5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5">
        <f t="shared" si="0"/>
        <v>0</v>
      </c>
      <c r="L15" s="5">
        <f t="shared" si="1"/>
        <v>0</v>
      </c>
      <c r="M15" s="5">
        <f t="shared" si="2"/>
        <v>0</v>
      </c>
      <c r="N15" s="5">
        <f t="shared" si="3"/>
        <v>0</v>
      </c>
      <c r="O15" s="5">
        <f t="shared" si="4"/>
        <v>0</v>
      </c>
      <c r="P15" s="5">
        <f t="shared" si="5"/>
        <v>0</v>
      </c>
      <c r="Q15" s="6" t="str">
        <f t="shared" si="6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5">
        <f t="shared" si="0"/>
        <v>0</v>
      </c>
      <c r="L16" s="5">
        <f t="shared" si="1"/>
        <v>0</v>
      </c>
      <c r="M16" s="5">
        <f t="shared" si="2"/>
        <v>0</v>
      </c>
      <c r="N16" s="5">
        <f t="shared" si="3"/>
        <v>0</v>
      </c>
      <c r="O16" s="5">
        <f t="shared" si="4"/>
        <v>0</v>
      </c>
      <c r="P16" s="5">
        <f t="shared" si="5"/>
        <v>0</v>
      </c>
      <c r="Q16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7">
    <cfRule type="expression" dxfId="176" priority="1">
      <formula>Q3="Alert"</formula>
    </cfRule>
    <cfRule type="expression" dxfId="175" priority="2">
      <formula>Q3="Yes"</formula>
    </cfRule>
    <cfRule type="expression" dxfId="174" priority="3">
      <formula>Q3="No"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6"/>
  <sheetViews>
    <sheetView workbookViewId="0">
      <selection activeCell="K8" sqref="K8:P8"/>
    </sheetView>
  </sheetViews>
  <sheetFormatPr defaultColWidth="8.6640625" defaultRowHeight="14.4" x14ac:dyDescent="0.3"/>
  <cols>
    <col min="1" max="1" width="12.88671875" style="1" customWidth="1"/>
    <col min="2" max="2" width="11.33203125" style="1" customWidth="1"/>
    <col min="3" max="3" width="14" style="1" bestFit="1" customWidth="1"/>
    <col min="4" max="4" width="17.44140625" style="1" bestFit="1" customWidth="1"/>
    <col min="5" max="10" width="8.6640625" style="1" customWidth="1"/>
    <col min="11" max="11" width="9.109375" style="1" bestFit="1" customWidth="1"/>
    <col min="12" max="15" width="8.6640625" style="1" customWidth="1"/>
    <col min="16" max="16" width="9.109375" style="1" bestFit="1" customWidth="1"/>
    <col min="17" max="17" width="11.109375" style="1" bestFit="1" customWidth="1"/>
    <col min="18" max="18" width="8.6640625" style="1" customWidth="1"/>
    <col min="19" max="16384" width="8.6640625" style="1"/>
  </cols>
  <sheetData>
    <row r="1" spans="1:17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4.7" customHeight="1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</row>
    <row r="3" spans="1:17" x14ac:dyDescent="0.3">
      <c r="A3" s="7">
        <v>45797</v>
      </c>
      <c r="B3" s="4" t="s">
        <v>129</v>
      </c>
      <c r="C3" s="4" t="s">
        <v>98</v>
      </c>
      <c r="D3" s="4">
        <v>0.92</v>
      </c>
      <c r="E3" s="4">
        <v>0.92179999999999995</v>
      </c>
      <c r="F3" s="4">
        <v>1.3758999999999999</v>
      </c>
      <c r="G3" s="4">
        <v>1.8239000000000001</v>
      </c>
      <c r="H3" s="4">
        <v>3.0259</v>
      </c>
      <c r="I3" s="4">
        <v>3.6532</v>
      </c>
      <c r="J3" s="4">
        <v>4.5693999999999999</v>
      </c>
      <c r="K3" s="5">
        <f t="shared" ref="K3:K16" si="0">IF(D3=0, 0, 100*(E3 - D3*1)/(D3*1))</f>
        <v>0.19565217391303399</v>
      </c>
      <c r="L3" s="5">
        <f t="shared" ref="L3:L16" si="1">IF(D3=0, 0, 100*(F3 - D3*1.5)/(D3*1.5))</f>
        <v>-0.29710144927537785</v>
      </c>
      <c r="M3" s="5">
        <f t="shared" ref="M3:M16" si="2">IF(D3=0, 0, 100*(G3 - D3*2)/(D3*2))</f>
        <v>-0.87500000000000011</v>
      </c>
      <c r="N3" s="5">
        <f t="shared" ref="N3:N16" si="3">IF(D3=0, 0, 100*(H3 - D3*3.3)/(D3*3.3))</f>
        <v>-0.33267457180500654</v>
      </c>
      <c r="O3" s="5">
        <f t="shared" ref="O3:O16" si="4">IF(D3=0, 0, 100*(I3 - D3*4)/(D3*4))</f>
        <v>-0.72826086956522162</v>
      </c>
      <c r="P3" s="5">
        <f t="shared" ref="P3:P16" si="5">IF(D3=0, 0, 100*(J3 - D3*5)/(D3*5))</f>
        <v>-0.66521739130436142</v>
      </c>
      <c r="Q3" s="4" t="str">
        <f t="shared" ref="Q3:Q16" si="6"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>
        <v>45818</v>
      </c>
      <c r="B4" s="6" t="s">
        <v>5</v>
      </c>
      <c r="C4" s="6" t="s">
        <v>98</v>
      </c>
      <c r="D4" s="6">
        <v>0.92</v>
      </c>
      <c r="E4" s="6">
        <v>0.9214</v>
      </c>
      <c r="F4" s="6">
        <v>1.3764000000000001</v>
      </c>
      <c r="G4" s="6">
        <v>1.8242</v>
      </c>
      <c r="H4" s="6">
        <v>3.0261</v>
      </c>
      <c r="I4" s="6">
        <v>3.6549</v>
      </c>
      <c r="J4" s="6">
        <v>4.5690999999999997</v>
      </c>
      <c r="K4" s="5">
        <f t="shared" si="0"/>
        <v>0.15217391304347355</v>
      </c>
      <c r="L4" s="5">
        <f t="shared" si="1"/>
        <v>-0.26086956521739474</v>
      </c>
      <c r="M4" s="5">
        <f t="shared" si="2"/>
        <v>-0.85869565217391497</v>
      </c>
      <c r="N4" s="5">
        <f t="shared" si="3"/>
        <v>-0.3260869565217398</v>
      </c>
      <c r="O4" s="5">
        <f t="shared" si="4"/>
        <v>-0.68206521739130765</v>
      </c>
      <c r="P4" s="5">
        <f t="shared" si="5"/>
        <v>-0.67173913043480027</v>
      </c>
      <c r="Q4" s="6" t="str">
        <f t="shared" si="6"/>
        <v>Yes</v>
      </c>
    </row>
    <row r="5" spans="1:17" x14ac:dyDescent="0.3">
      <c r="A5" s="16">
        <v>45974</v>
      </c>
      <c r="B5" s="6"/>
      <c r="C5" s="6" t="s">
        <v>121</v>
      </c>
      <c r="D5" s="6">
        <v>0.92</v>
      </c>
      <c r="E5" s="6">
        <v>0.92179999999999995</v>
      </c>
      <c r="F5" s="6">
        <v>1.3759999999999999</v>
      </c>
      <c r="G5" s="6">
        <v>1.8240000000000001</v>
      </c>
      <c r="H5" s="6">
        <v>3.0259999999999998</v>
      </c>
      <c r="I5" s="6">
        <v>3.6539000000000001</v>
      </c>
      <c r="J5" s="6">
        <v>4.5694999999999997</v>
      </c>
      <c r="K5" s="5">
        <f t="shared" si="0"/>
        <v>0.19565217391303399</v>
      </c>
      <c r="L5" s="5">
        <f t="shared" si="1"/>
        <v>-0.28985507246378445</v>
      </c>
      <c r="M5" s="5">
        <f t="shared" si="2"/>
        <v>-0.8695652173913051</v>
      </c>
      <c r="N5" s="5">
        <f t="shared" si="3"/>
        <v>-0.32938076416338047</v>
      </c>
      <c r="O5" s="5">
        <f t="shared" si="4"/>
        <v>-0.70923913043478293</v>
      </c>
      <c r="P5" s="5">
        <f t="shared" si="5"/>
        <v>-0.66304347826088816</v>
      </c>
      <c r="Q5" s="6" t="str">
        <f t="shared" si="6"/>
        <v>Yes</v>
      </c>
    </row>
    <row r="6" spans="1:17" x14ac:dyDescent="0.3">
      <c r="A6" s="16">
        <v>46034</v>
      </c>
      <c r="B6" s="6" t="s">
        <v>5</v>
      </c>
      <c r="C6" s="6" t="s">
        <v>115</v>
      </c>
      <c r="D6" s="6">
        <v>0.92</v>
      </c>
      <c r="E6" s="6">
        <v>0.92179999999999995</v>
      </c>
      <c r="F6" s="6">
        <v>1.3761000000000001</v>
      </c>
      <c r="G6" s="6">
        <v>1.8240000000000001</v>
      </c>
      <c r="H6" s="6">
        <v>3.0255999999999998</v>
      </c>
      <c r="I6" s="6">
        <v>3.6558999999999999</v>
      </c>
      <c r="J6" s="6">
        <v>4.5693999999999999</v>
      </c>
      <c r="K6" s="5">
        <f t="shared" si="0"/>
        <v>0.19565217391303399</v>
      </c>
      <c r="L6" s="5">
        <f t="shared" si="1"/>
        <v>-0.28260869565217495</v>
      </c>
      <c r="M6" s="5">
        <f t="shared" si="2"/>
        <v>-0.8695652173913051</v>
      </c>
      <c r="N6" s="5">
        <f t="shared" si="3"/>
        <v>-0.34255599472991394</v>
      </c>
      <c r="O6" s="5">
        <f t="shared" si="4"/>
        <v>-0.65489130434783238</v>
      </c>
      <c r="P6" s="5">
        <f t="shared" si="5"/>
        <v>-0.66521739130436142</v>
      </c>
      <c r="Q6" s="6" t="str">
        <f t="shared" si="6"/>
        <v>Yes</v>
      </c>
    </row>
    <row r="7" spans="1:17" x14ac:dyDescent="0.3">
      <c r="A7" s="16">
        <v>46099</v>
      </c>
      <c r="B7" s="6"/>
      <c r="C7" s="6" t="s">
        <v>98</v>
      </c>
      <c r="D7" s="6">
        <v>0.92</v>
      </c>
      <c r="E7" s="6">
        <v>0.92159999999999997</v>
      </c>
      <c r="F7" s="6">
        <v>1.3757999999999999</v>
      </c>
      <c r="G7" s="6">
        <v>1.8236000000000001</v>
      </c>
      <c r="H7" s="6">
        <v>3.0251000000000001</v>
      </c>
      <c r="I7" s="6">
        <v>3.6543999999999999</v>
      </c>
      <c r="J7" s="6">
        <v>4.5688000000000004</v>
      </c>
      <c r="K7" s="5">
        <f t="shared" si="0"/>
        <v>0.17391304347825379</v>
      </c>
      <c r="L7" s="5">
        <f t="shared" si="1"/>
        <v>-0.30434782608697125</v>
      </c>
      <c r="M7" s="5">
        <f t="shared" si="2"/>
        <v>-0.89130434782608525</v>
      </c>
      <c r="N7" s="5">
        <f t="shared" si="3"/>
        <v>-0.35902503293807342</v>
      </c>
      <c r="O7" s="5">
        <f t="shared" si="4"/>
        <v>-0.69565217391305134</v>
      </c>
      <c r="P7" s="5">
        <f t="shared" si="5"/>
        <v>-0.6782608695652198</v>
      </c>
      <c r="Q7" s="6" t="str">
        <f t="shared" si="6"/>
        <v>Yes</v>
      </c>
    </row>
    <row r="8" spans="1:17" x14ac:dyDescent="0.3">
      <c r="A8" s="16" t="s">
        <v>105</v>
      </c>
      <c r="B8" s="6"/>
      <c r="C8" s="6" t="s">
        <v>106</v>
      </c>
      <c r="D8" s="6">
        <v>0.92</v>
      </c>
      <c r="E8" s="6">
        <v>0.92169999999999996</v>
      </c>
      <c r="F8" s="6">
        <v>1.3762000000000001</v>
      </c>
      <c r="G8" s="6">
        <v>1.8234999999999999</v>
      </c>
      <c r="H8" s="6">
        <v>3.0247000000000002</v>
      </c>
      <c r="I8" s="6">
        <v>3.6541999999999999</v>
      </c>
      <c r="J8" s="6">
        <v>4.5686999999999998</v>
      </c>
      <c r="K8" s="5">
        <f t="shared" si="0"/>
        <v>0.18478260869564389</v>
      </c>
      <c r="L8" s="5">
        <f t="shared" si="1"/>
        <v>-0.27536231884058154</v>
      </c>
      <c r="M8" s="5">
        <f t="shared" si="2"/>
        <v>-0.89673913043479236</v>
      </c>
      <c r="N8" s="5">
        <f t="shared" si="3"/>
        <v>-0.37220026350460689</v>
      </c>
      <c r="O8" s="5">
        <f t="shared" si="4"/>
        <v>-0.70108695652174635</v>
      </c>
      <c r="P8" s="5">
        <f t="shared" si="5"/>
        <v>-0.68043478260871237</v>
      </c>
      <c r="Q8" s="6" t="str">
        <f>IF(AND(K8&gt;=0.11,K8&lt;=0.27,L8&gt;=-0.36,L8&lt;=-0.22,M8&gt;=-0.92,M8&lt;=-0.82,N8&gt;=-0.4,N8&lt;=-0.3,O8&gt;=-0.79,O8&lt;=-0.64,P8&gt;=-0.76,P8&lt;=-0.61), "Yes", IF(AND(K8=0,L8=0,M8=0,N8=0,O8=0,P8=0), "Ready to test", "No"))</f>
        <v>Yes</v>
      </c>
    </row>
    <row r="9" spans="1:17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5">
        <f t="shared" si="0"/>
        <v>0</v>
      </c>
      <c r="L9" s="5">
        <f t="shared" si="1"/>
        <v>0</v>
      </c>
      <c r="M9" s="5">
        <f t="shared" si="2"/>
        <v>0</v>
      </c>
      <c r="N9" s="5">
        <f t="shared" si="3"/>
        <v>0</v>
      </c>
      <c r="O9" s="5">
        <f t="shared" si="4"/>
        <v>0</v>
      </c>
      <c r="P9" s="5">
        <f t="shared" si="5"/>
        <v>0</v>
      </c>
      <c r="Q9" s="6" t="str">
        <f t="shared" si="6"/>
        <v>Ready to test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5">
        <f t="shared" si="0"/>
        <v>0</v>
      </c>
      <c r="L10" s="5">
        <f t="shared" si="1"/>
        <v>0</v>
      </c>
      <c r="M10" s="5">
        <f t="shared" si="2"/>
        <v>0</v>
      </c>
      <c r="N10" s="5">
        <f t="shared" si="3"/>
        <v>0</v>
      </c>
      <c r="O10" s="5">
        <f t="shared" si="4"/>
        <v>0</v>
      </c>
      <c r="P10" s="5">
        <f t="shared" si="5"/>
        <v>0</v>
      </c>
      <c r="Q10" s="6" t="str">
        <f t="shared" si="6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5">
        <f t="shared" si="0"/>
        <v>0</v>
      </c>
      <c r="L11" s="5">
        <f t="shared" si="1"/>
        <v>0</v>
      </c>
      <c r="M11" s="5">
        <f t="shared" si="2"/>
        <v>0</v>
      </c>
      <c r="N11" s="5">
        <f t="shared" si="3"/>
        <v>0</v>
      </c>
      <c r="O11" s="5">
        <f t="shared" si="4"/>
        <v>0</v>
      </c>
      <c r="P11" s="5">
        <f t="shared" si="5"/>
        <v>0</v>
      </c>
      <c r="Q11" s="6" t="str">
        <f t="shared" si="6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5">
        <f t="shared" si="0"/>
        <v>0</v>
      </c>
      <c r="L12" s="5">
        <f t="shared" si="1"/>
        <v>0</v>
      </c>
      <c r="M12" s="5">
        <f t="shared" si="2"/>
        <v>0</v>
      </c>
      <c r="N12" s="5">
        <f t="shared" si="3"/>
        <v>0</v>
      </c>
      <c r="O12" s="5">
        <f t="shared" si="4"/>
        <v>0</v>
      </c>
      <c r="P12" s="5">
        <f t="shared" si="5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5">
        <f t="shared" si="0"/>
        <v>0</v>
      </c>
      <c r="L13" s="5">
        <f t="shared" si="1"/>
        <v>0</v>
      </c>
      <c r="M13" s="5">
        <f t="shared" si="2"/>
        <v>0</v>
      </c>
      <c r="N13" s="5">
        <f t="shared" si="3"/>
        <v>0</v>
      </c>
      <c r="O13" s="5">
        <f t="shared" si="4"/>
        <v>0</v>
      </c>
      <c r="P13" s="5">
        <f t="shared" si="5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5">
        <f t="shared" si="0"/>
        <v>0</v>
      </c>
      <c r="L14" s="5">
        <f t="shared" si="1"/>
        <v>0</v>
      </c>
      <c r="M14" s="5">
        <f t="shared" si="2"/>
        <v>0</v>
      </c>
      <c r="N14" s="5">
        <f t="shared" si="3"/>
        <v>0</v>
      </c>
      <c r="O14" s="5">
        <f t="shared" si="4"/>
        <v>0</v>
      </c>
      <c r="P14" s="5">
        <f t="shared" si="5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5">
        <f t="shared" si="0"/>
        <v>0</v>
      </c>
      <c r="L15" s="5">
        <f t="shared" si="1"/>
        <v>0</v>
      </c>
      <c r="M15" s="5">
        <f t="shared" si="2"/>
        <v>0</v>
      </c>
      <c r="N15" s="5">
        <f t="shared" si="3"/>
        <v>0</v>
      </c>
      <c r="O15" s="5">
        <f t="shared" si="4"/>
        <v>0</v>
      </c>
      <c r="P15" s="5">
        <f t="shared" si="5"/>
        <v>0</v>
      </c>
      <c r="Q15" s="6" t="str">
        <f t="shared" si="6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5">
        <f t="shared" si="0"/>
        <v>0</v>
      </c>
      <c r="L16" s="5">
        <f t="shared" si="1"/>
        <v>0</v>
      </c>
      <c r="M16" s="5">
        <f t="shared" si="2"/>
        <v>0</v>
      </c>
      <c r="N16" s="5">
        <f t="shared" si="3"/>
        <v>0</v>
      </c>
      <c r="O16" s="5">
        <f t="shared" si="4"/>
        <v>0</v>
      </c>
      <c r="P16" s="5">
        <f t="shared" si="5"/>
        <v>0</v>
      </c>
      <c r="Q16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6">
    <cfRule type="expression" dxfId="173" priority="1">
      <formula>Q3="Alert"</formula>
    </cfRule>
    <cfRule type="expression" dxfId="172" priority="2">
      <formula>Q3="Yes"</formula>
    </cfRule>
    <cfRule type="expression" dxfId="171" priority="3">
      <formula>Q3="No"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5"/>
  <sheetViews>
    <sheetView workbookViewId="0">
      <selection activeCell="K7" sqref="K7:P7"/>
    </sheetView>
  </sheetViews>
  <sheetFormatPr defaultRowHeight="14.4" x14ac:dyDescent="0.3"/>
  <cols>
    <col min="1" max="1" width="11.109375" bestFit="1" customWidth="1"/>
    <col min="2" max="2" width="9.109375" bestFit="1" customWidth="1"/>
    <col min="3" max="3" width="11.44140625" bestFit="1" customWidth="1"/>
    <col min="4" max="4" width="16.44140625" bestFit="1" customWidth="1"/>
    <col min="17" max="17" width="9.6640625" bestFit="1" customWidth="1"/>
    <col min="18" max="18" width="14.6640625" bestFit="1" customWidth="1"/>
  </cols>
  <sheetData>
    <row r="1" spans="1:18" ht="14.25" customHeight="1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  <c r="R1" s="86" t="s">
        <v>4</v>
      </c>
    </row>
    <row r="2" spans="1:18" ht="14.7" customHeight="1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  <c r="R2" s="87"/>
    </row>
    <row r="3" spans="1:18" x14ac:dyDescent="0.3">
      <c r="A3" s="7">
        <v>45797</v>
      </c>
      <c r="B3" s="4" t="s">
        <v>129</v>
      </c>
      <c r="C3" s="4" t="s">
        <v>98</v>
      </c>
      <c r="D3" s="4">
        <v>0.92</v>
      </c>
      <c r="E3" s="4">
        <v>0.92190000000000005</v>
      </c>
      <c r="F3" s="4">
        <v>1.3765000000000001</v>
      </c>
      <c r="G3" s="4">
        <v>1.8244</v>
      </c>
      <c r="H3" s="4">
        <v>3.0263</v>
      </c>
      <c r="I3" s="4">
        <v>3.6551999999999998</v>
      </c>
      <c r="J3" s="4">
        <v>4.5705999999999998</v>
      </c>
      <c r="K3" s="5">
        <f t="shared" ref="K3:K15" si="0">IF(D3=0, 0, 100*(E3 - D3*1)/(D3*1))</f>
        <v>0.20652173913043617</v>
      </c>
      <c r="L3" s="5">
        <f t="shared" ref="L3:L15" si="1">IF(D3=0, 0, 100*(F3 - D3*1.5)/(D3*1.5))</f>
        <v>-0.25362318840580134</v>
      </c>
      <c r="M3" s="5">
        <f t="shared" ref="M3:M15" si="2">IF(D3=0, 0, 100*(G3 - D3*2)/(D3*2))</f>
        <v>-0.84782608695652484</v>
      </c>
      <c r="N3" s="5">
        <f t="shared" ref="N3:N15" si="3">IF(D3=0, 0, 100*(H3 - D3*3.3)/(D3*3.3))</f>
        <v>-0.31949934123847307</v>
      </c>
      <c r="O3" s="5">
        <f t="shared" ref="O3:O15" si="4">IF(D3=0, 0, 100*(I3 - D3*4)/(D3*4))</f>
        <v>-0.67391304347827108</v>
      </c>
      <c r="P3" s="5">
        <f t="shared" ref="P3:P15" si="5">IF(D3=0, 0, 100*(J3 - D3*5)/(D3*5))</f>
        <v>-0.6391304347826251</v>
      </c>
      <c r="Q3" s="4" t="str">
        <f t="shared" ref="Q3:Q4" si="6">IF(AND(K3&gt;=0.11,K3&lt;=0.27,L3&gt;=-0.36,L3&lt;=-0.22,M3&gt;=-0.92,M3&lt;=-0.82,N3&gt;=-0.4,N3&lt;=-0.3,O3&gt;=-0.79,O3&lt;=-0.64,P3&gt;=-0.76,P3&lt;=-0.61), "Yes", IF(AND(K3=0,L3=0,M3=0,N3=0,O3=0,P3=0), "Ready to test", "No"))</f>
        <v>Yes</v>
      </c>
      <c r="R3" s="1" t="s">
        <v>113</v>
      </c>
    </row>
    <row r="4" spans="1:18" x14ac:dyDescent="0.3">
      <c r="A4" s="16">
        <v>45807</v>
      </c>
      <c r="B4" s="6" t="s">
        <v>19</v>
      </c>
      <c r="C4" s="6" t="s">
        <v>100</v>
      </c>
      <c r="D4" s="6">
        <v>0.92</v>
      </c>
      <c r="E4" s="6">
        <v>0.92159999999999997</v>
      </c>
      <c r="F4" s="6">
        <v>1.3761000000000001</v>
      </c>
      <c r="G4" s="6">
        <v>1.8242</v>
      </c>
      <c r="H4" s="6">
        <v>3.0257000000000001</v>
      </c>
      <c r="I4" s="6">
        <v>3.6537000000000002</v>
      </c>
      <c r="J4" s="6">
        <v>4.5692000000000004</v>
      </c>
      <c r="K4" s="5">
        <f t="shared" si="0"/>
        <v>0.17391304347825379</v>
      </c>
      <c r="L4" s="5">
        <f t="shared" si="1"/>
        <v>-0.28260869565217495</v>
      </c>
      <c r="M4" s="5">
        <f t="shared" si="2"/>
        <v>-0.85869565217391497</v>
      </c>
      <c r="N4" s="5">
        <f t="shared" si="3"/>
        <v>-0.33926218708827327</v>
      </c>
      <c r="O4" s="5">
        <f t="shared" si="4"/>
        <v>-0.71467391304347794</v>
      </c>
      <c r="P4" s="5">
        <f>IF(D4=0, 0, 100*(J4 - D4*5)/(D4*5))</f>
        <v>-0.66956521739130781</v>
      </c>
      <c r="Q4" s="6" t="str">
        <f t="shared" si="6"/>
        <v>Yes</v>
      </c>
      <c r="R4" t="s">
        <v>7</v>
      </c>
    </row>
    <row r="5" spans="1:18" x14ac:dyDescent="0.3">
      <c r="A5" s="16">
        <v>45840</v>
      </c>
      <c r="B5" s="6" t="s">
        <v>5</v>
      </c>
      <c r="C5" s="6" t="s">
        <v>100</v>
      </c>
      <c r="D5" s="6">
        <v>0.92</v>
      </c>
      <c r="E5" s="6">
        <v>0.92100000000000004</v>
      </c>
      <c r="F5" s="6">
        <v>1.375</v>
      </c>
      <c r="G5" s="6">
        <v>1.823</v>
      </c>
      <c r="H5" s="6">
        <v>3.0244</v>
      </c>
      <c r="I5" s="6">
        <v>3.6528999999999998</v>
      </c>
      <c r="J5" s="6">
        <v>4.5663999999999998</v>
      </c>
      <c r="K5" s="5">
        <f t="shared" si="0"/>
        <v>0.10869565217391314</v>
      </c>
      <c r="L5" s="5">
        <f t="shared" si="1"/>
        <v>-0.36231884057971847</v>
      </c>
      <c r="M5" s="5">
        <f t="shared" si="2"/>
        <v>-0.92391304347826764</v>
      </c>
      <c r="N5" s="5">
        <f t="shared" si="3"/>
        <v>-0.38208168642951429</v>
      </c>
      <c r="O5" s="5">
        <f t="shared" si="4"/>
        <v>-0.73641304347827019</v>
      </c>
      <c r="P5" s="5">
        <f t="shared" si="5"/>
        <v>-0.73043478260871164</v>
      </c>
      <c r="Q5" s="6" t="str">
        <f>IF(AND(K5&gt;=0.11,K5&lt;=0.27,L5&gt;=-0.36,L5&lt;=-0.22,M5&gt;=-0.92,M5&lt;=-0.82,N5&gt;=-0.4,N5&lt;=-0.3,O5&gt;=-0.79,O5&lt;=-0.64,P5&gt;=-0.76,P5&lt;=-0.61), "Yes", IF(AND(K5=0,L5=0,M5=0,N5=0,O5=0,P5=0), "Ready to test", "No"))</f>
        <v>No</v>
      </c>
    </row>
    <row r="6" spans="1:18" x14ac:dyDescent="0.3">
      <c r="A6" s="16">
        <v>45840</v>
      </c>
      <c r="B6" s="6" t="s">
        <v>5</v>
      </c>
      <c r="C6" s="6" t="s">
        <v>100</v>
      </c>
      <c r="D6" s="6">
        <v>0.92</v>
      </c>
      <c r="E6" s="6">
        <v>0.92110000000000003</v>
      </c>
      <c r="F6" s="6">
        <v>1.3751</v>
      </c>
      <c r="G6" s="6">
        <v>1.8231999999999999</v>
      </c>
      <c r="H6" s="6">
        <v>3.0243000000000002</v>
      </c>
      <c r="I6" s="6">
        <v>3.6513</v>
      </c>
      <c r="J6" s="6">
        <v>4.5677000000000003</v>
      </c>
      <c r="K6" s="5">
        <f t="shared" si="0"/>
        <v>0.11956521739130324</v>
      </c>
      <c r="L6" s="5">
        <f t="shared" si="1"/>
        <v>-0.35507246376812507</v>
      </c>
      <c r="M6" s="5">
        <f t="shared" si="2"/>
        <v>-0.91304347826087762</v>
      </c>
      <c r="N6" s="5">
        <f t="shared" si="3"/>
        <v>-0.38537549407114036</v>
      </c>
      <c r="O6" s="5">
        <f t="shared" si="4"/>
        <v>-0.77989130434783072</v>
      </c>
      <c r="P6" s="5">
        <f t="shared" si="5"/>
        <v>-0.70217391304348287</v>
      </c>
      <c r="Q6" s="6" t="str">
        <f>IF(AND(K6&gt;=0.11,K6&lt;=0.27,L6&gt;=-0.36,L6&lt;=-0.22,M6&gt;=-0.92,M6&lt;=-0.82,N6&gt;=-0.4,N6&lt;=-0.3,O6&gt;=-0.79,O6&lt;=-0.64,P6&gt;=-0.76,P6&lt;=-0.61), "Yes", IF(AND(K6=0,L6=0,M6=0,N6=0,O6=0,P6=0), "Ready to test", "No"))</f>
        <v>Yes</v>
      </c>
    </row>
    <row r="7" spans="1:18" x14ac:dyDescent="0.3">
      <c r="A7" s="16">
        <v>45916</v>
      </c>
      <c r="B7" s="6" t="s">
        <v>5</v>
      </c>
      <c r="C7" s="4" t="s">
        <v>102</v>
      </c>
      <c r="D7" s="6">
        <v>0.92</v>
      </c>
      <c r="E7" s="6">
        <v>0.92159999999999997</v>
      </c>
      <c r="F7" s="6">
        <v>1.3757999999999999</v>
      </c>
      <c r="G7" s="6">
        <v>1.8236000000000001</v>
      </c>
      <c r="H7" s="6">
        <v>3.0255000000000001</v>
      </c>
      <c r="I7" s="6">
        <v>3.6533000000000002</v>
      </c>
      <c r="J7" s="6">
        <v>4.569</v>
      </c>
      <c r="K7" s="5">
        <f t="shared" si="0"/>
        <v>0.17391304347825379</v>
      </c>
      <c r="L7" s="5">
        <f t="shared" si="1"/>
        <v>-0.30434782608697125</v>
      </c>
      <c r="M7" s="5">
        <f t="shared" si="2"/>
        <v>-0.89130434782608525</v>
      </c>
      <c r="N7" s="5">
        <f t="shared" si="3"/>
        <v>-0.34584980237153995</v>
      </c>
      <c r="O7" s="5">
        <f t="shared" si="4"/>
        <v>-0.72554347826086807</v>
      </c>
      <c r="P7" s="5">
        <f t="shared" si="5"/>
        <v>-0.67391304347827341</v>
      </c>
      <c r="Q7" s="6" t="str">
        <f t="shared" ref="Q7:Q15" si="7">IF(AND(K7&gt;=0.11,K7&lt;=0.27,L7&gt;=-0.36,L7&lt;=-0.22,M7&gt;=-0.92,M7&lt;=-0.82,N7&gt;=-0.4,N7&lt;=-0.3,O7&gt;=-0.79,O7&lt;=-0.64,P7&gt;=-0.76,P7&lt;=-0.61), "Yes", IF(AND(K7=0,L7=0,M7=0,N7=0,O7=0,P7=0), "Ready to test", "No"))</f>
        <v>Yes</v>
      </c>
    </row>
    <row r="8" spans="1:18" x14ac:dyDescent="0.3">
      <c r="A8" s="16">
        <v>46045</v>
      </c>
      <c r="B8" s="6"/>
      <c r="C8" s="6" t="s">
        <v>126</v>
      </c>
      <c r="D8" s="6">
        <v>0.92</v>
      </c>
      <c r="E8" s="6">
        <v>0.92149999999999999</v>
      </c>
      <c r="F8" s="6">
        <v>1.3757999999999999</v>
      </c>
      <c r="G8" s="6">
        <v>1.8236000000000001</v>
      </c>
      <c r="H8" s="6">
        <v>3.0251000000000001</v>
      </c>
      <c r="I8" s="6">
        <v>3.6526000000000001</v>
      </c>
      <c r="J8" s="6">
        <v>4.5679999999999996</v>
      </c>
      <c r="K8" s="5">
        <f t="shared" si="0"/>
        <v>0.16304347826086366</v>
      </c>
      <c r="L8" s="5">
        <f t="shared" si="1"/>
        <v>-0.30434782608697125</v>
      </c>
      <c r="M8" s="5">
        <f t="shared" si="2"/>
        <v>-0.89130434782608525</v>
      </c>
      <c r="N8" s="5">
        <f t="shared" si="3"/>
        <v>-0.35902503293807342</v>
      </c>
      <c r="O8" s="5">
        <f t="shared" si="4"/>
        <v>-0.74456521739130677</v>
      </c>
      <c r="P8" s="5">
        <f t="shared" si="5"/>
        <v>-0.69565217391306333</v>
      </c>
      <c r="Q8" s="6" t="str">
        <f t="shared" si="7"/>
        <v>Yes</v>
      </c>
    </row>
    <row r="9" spans="1:18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5">
        <f t="shared" si="0"/>
        <v>0</v>
      </c>
      <c r="L9" s="5">
        <f t="shared" si="1"/>
        <v>0</v>
      </c>
      <c r="M9" s="5">
        <f t="shared" si="2"/>
        <v>0</v>
      </c>
      <c r="N9" s="5">
        <f t="shared" si="3"/>
        <v>0</v>
      </c>
      <c r="O9" s="5">
        <f t="shared" si="4"/>
        <v>0</v>
      </c>
      <c r="P9" s="5">
        <f t="shared" si="5"/>
        <v>0</v>
      </c>
      <c r="Q9" s="6" t="str">
        <f t="shared" si="7"/>
        <v>Ready to test</v>
      </c>
    </row>
    <row r="10" spans="1:18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5">
        <f t="shared" si="0"/>
        <v>0</v>
      </c>
      <c r="L10" s="5">
        <f t="shared" si="1"/>
        <v>0</v>
      </c>
      <c r="M10" s="5">
        <f t="shared" si="2"/>
        <v>0</v>
      </c>
      <c r="N10" s="5">
        <f t="shared" si="3"/>
        <v>0</v>
      </c>
      <c r="O10" s="5">
        <f t="shared" si="4"/>
        <v>0</v>
      </c>
      <c r="P10" s="5">
        <f t="shared" si="5"/>
        <v>0</v>
      </c>
      <c r="Q10" s="6" t="str">
        <f t="shared" si="7"/>
        <v>Ready to test</v>
      </c>
    </row>
    <row r="11" spans="1:18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5">
        <f t="shared" si="0"/>
        <v>0</v>
      </c>
      <c r="L11" s="5">
        <f t="shared" si="1"/>
        <v>0</v>
      </c>
      <c r="M11" s="5">
        <f t="shared" si="2"/>
        <v>0</v>
      </c>
      <c r="N11" s="5">
        <f t="shared" si="3"/>
        <v>0</v>
      </c>
      <c r="O11" s="5">
        <f t="shared" si="4"/>
        <v>0</v>
      </c>
      <c r="P11" s="5">
        <f t="shared" si="5"/>
        <v>0</v>
      </c>
      <c r="Q11" s="6" t="str">
        <f t="shared" si="7"/>
        <v>Ready to test</v>
      </c>
    </row>
    <row r="12" spans="1:18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5">
        <f t="shared" si="0"/>
        <v>0</v>
      </c>
      <c r="L12" s="5">
        <f t="shared" si="1"/>
        <v>0</v>
      </c>
      <c r="M12" s="5">
        <f t="shared" si="2"/>
        <v>0</v>
      </c>
      <c r="N12" s="5">
        <f t="shared" si="3"/>
        <v>0</v>
      </c>
      <c r="O12" s="5">
        <f t="shared" si="4"/>
        <v>0</v>
      </c>
      <c r="P12" s="5">
        <f t="shared" si="5"/>
        <v>0</v>
      </c>
      <c r="Q12" s="6" t="str">
        <f t="shared" si="7"/>
        <v>Ready to test</v>
      </c>
    </row>
    <row r="13" spans="1:18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5">
        <f t="shared" si="0"/>
        <v>0</v>
      </c>
      <c r="L13" s="5">
        <f t="shared" si="1"/>
        <v>0</v>
      </c>
      <c r="M13" s="5">
        <f t="shared" si="2"/>
        <v>0</v>
      </c>
      <c r="N13" s="5">
        <f t="shared" si="3"/>
        <v>0</v>
      </c>
      <c r="O13" s="5">
        <f t="shared" si="4"/>
        <v>0</v>
      </c>
      <c r="P13" s="5">
        <f t="shared" si="5"/>
        <v>0</v>
      </c>
      <c r="Q13" s="6" t="str">
        <f t="shared" si="7"/>
        <v>Ready to test</v>
      </c>
    </row>
    <row r="14" spans="1:18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5">
        <f t="shared" si="0"/>
        <v>0</v>
      </c>
      <c r="L14" s="5">
        <f t="shared" si="1"/>
        <v>0</v>
      </c>
      <c r="M14" s="5">
        <f t="shared" si="2"/>
        <v>0</v>
      </c>
      <c r="N14" s="5">
        <f t="shared" si="3"/>
        <v>0</v>
      </c>
      <c r="O14" s="5">
        <f t="shared" si="4"/>
        <v>0</v>
      </c>
      <c r="P14" s="5">
        <f t="shared" si="5"/>
        <v>0</v>
      </c>
      <c r="Q14" s="6" t="str">
        <f t="shared" si="7"/>
        <v>Ready to test</v>
      </c>
    </row>
    <row r="15" spans="1:18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5">
        <f t="shared" si="0"/>
        <v>0</v>
      </c>
      <c r="L15" s="5">
        <f t="shared" si="1"/>
        <v>0</v>
      </c>
      <c r="M15" s="5">
        <f t="shared" si="2"/>
        <v>0</v>
      </c>
      <c r="N15" s="5">
        <f t="shared" si="3"/>
        <v>0</v>
      </c>
      <c r="O15" s="5">
        <f t="shared" si="4"/>
        <v>0</v>
      </c>
      <c r="P15" s="5">
        <f t="shared" si="5"/>
        <v>0</v>
      </c>
      <c r="Q15" s="6" t="str">
        <f t="shared" si="7"/>
        <v>Ready to test</v>
      </c>
    </row>
  </sheetData>
  <mergeCells count="8">
    <mergeCell ref="Q1:Q2"/>
    <mergeCell ref="R1:R2"/>
    <mergeCell ref="A1:A2"/>
    <mergeCell ref="B1:B2"/>
    <mergeCell ref="C1:C2"/>
    <mergeCell ref="D1:D2"/>
    <mergeCell ref="E1:J1"/>
    <mergeCell ref="K1:P1"/>
  </mergeCells>
  <conditionalFormatting sqref="Q3:Q15">
    <cfRule type="expression" dxfId="170" priority="1">
      <formula>Q3="Alert"</formula>
    </cfRule>
    <cfRule type="expression" dxfId="169" priority="2">
      <formula>Q3="Yes"</formula>
    </cfRule>
    <cfRule type="expression" dxfId="168" priority="3">
      <formula>Q3="No"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16"/>
  <sheetViews>
    <sheetView workbookViewId="0">
      <selection activeCell="J26" sqref="J26"/>
    </sheetView>
  </sheetViews>
  <sheetFormatPr defaultRowHeight="14.4" x14ac:dyDescent="0.3"/>
  <cols>
    <col min="1" max="1" width="10.44140625" bestFit="1" customWidth="1"/>
    <col min="17" max="17" width="11.109375" bestFit="1" customWidth="1"/>
  </cols>
  <sheetData>
    <row r="1" spans="1:17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4.7" customHeight="1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</row>
    <row r="3" spans="1:17" x14ac:dyDescent="0.3">
      <c r="A3" s="16">
        <v>45799</v>
      </c>
      <c r="B3" s="6"/>
      <c r="C3" s="6" t="s">
        <v>127</v>
      </c>
      <c r="D3" s="6">
        <v>0.92</v>
      </c>
      <c r="E3" s="4">
        <v>0.92190000000000005</v>
      </c>
      <c r="F3" s="4">
        <v>1.3766</v>
      </c>
      <c r="G3" s="4">
        <v>1.8243</v>
      </c>
      <c r="H3" s="4">
        <v>3.0263</v>
      </c>
      <c r="I3" s="4">
        <v>3.6560000000000001</v>
      </c>
      <c r="J3" s="4">
        <v>4.5709999999999997</v>
      </c>
      <c r="K3" s="5">
        <f t="shared" ref="K3:K16" si="0">IF(D3=0, 0, 100*(E3 - D3*1)/(D3*1))</f>
        <v>0.20652173913043617</v>
      </c>
      <c r="L3" s="5">
        <f t="shared" ref="L3:L16" si="1">IF(D3=0, 0, 100*(F3 - D3*1.5)/(D3*1.5))</f>
        <v>-0.24637681159420793</v>
      </c>
      <c r="M3" s="5">
        <f t="shared" ref="M3:M16" si="2">IF(D3=0, 0, 100*(G3 - D3*2)/(D3*2))</f>
        <v>-0.85326086956521996</v>
      </c>
      <c r="N3" s="5">
        <f t="shared" ref="N3:N16" si="3">IF(D3=0, 0, 100*(H3 - D3*3.3)/(D3*3.3))</f>
        <v>-0.31949934123847307</v>
      </c>
      <c r="O3" s="5">
        <f t="shared" ref="O3:O16" si="4">IF(D3=0, 0, 100*(I3 - D3*4)/(D3*4))</f>
        <v>-0.65217391304347883</v>
      </c>
      <c r="P3" s="5">
        <f t="shared" ref="P3:P16" si="5">IF(D3=0, 0, 100*(J3 - D3*5)/(D3*5))</f>
        <v>-0.630434782608713</v>
      </c>
      <c r="Q3" s="4" t="str">
        <f t="shared" ref="Q3:Q16" si="6"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>
        <v>45818</v>
      </c>
      <c r="B4" s="6" t="s">
        <v>21</v>
      </c>
      <c r="C4" s="6" t="s">
        <v>98</v>
      </c>
      <c r="D4" s="6">
        <v>0.92</v>
      </c>
      <c r="E4" s="6">
        <v>0.92190000000000005</v>
      </c>
      <c r="F4" s="6">
        <v>1.3764000000000001</v>
      </c>
      <c r="G4" s="6">
        <v>1.8244</v>
      </c>
      <c r="H4" s="6">
        <v>3.0259</v>
      </c>
      <c r="I4" s="6">
        <v>3.6553</v>
      </c>
      <c r="J4" s="6">
        <v>4.5697000000000001</v>
      </c>
      <c r="K4" s="5">
        <f t="shared" si="0"/>
        <v>0.20652173913043617</v>
      </c>
      <c r="L4" s="5">
        <f t="shared" si="1"/>
        <v>-0.26086956521739474</v>
      </c>
      <c r="M4" s="5">
        <f t="shared" si="2"/>
        <v>-0.84782608695652484</v>
      </c>
      <c r="N4" s="5">
        <f t="shared" si="3"/>
        <v>-0.33267457180500654</v>
      </c>
      <c r="O4" s="5">
        <f t="shared" si="4"/>
        <v>-0.67119565217391752</v>
      </c>
      <c r="P4" s="5">
        <f t="shared" si="5"/>
        <v>-0.65869565217392245</v>
      </c>
      <c r="Q4" s="6" t="str">
        <f t="shared" si="6"/>
        <v>Yes</v>
      </c>
    </row>
    <row r="5" spans="1:17" x14ac:dyDescent="0.3">
      <c r="A5" s="16">
        <v>45966</v>
      </c>
      <c r="B5" s="6" t="s">
        <v>5</v>
      </c>
      <c r="C5" s="6" t="s">
        <v>130</v>
      </c>
      <c r="D5" s="6">
        <v>0.92</v>
      </c>
      <c r="E5" s="6">
        <v>0.92159999999999997</v>
      </c>
      <c r="F5" s="6">
        <v>1.3757999999999999</v>
      </c>
      <c r="G5" s="6">
        <v>1.8240000000000001</v>
      </c>
      <c r="H5" s="6">
        <v>3.0253000000000001</v>
      </c>
      <c r="I5" s="6">
        <v>3.6524000000000001</v>
      </c>
      <c r="J5" s="6">
        <v>4.5690999999999997</v>
      </c>
      <c r="K5" s="5">
        <f t="shared" si="0"/>
        <v>0.17391304347825379</v>
      </c>
      <c r="L5" s="5">
        <f t="shared" si="1"/>
        <v>-0.30434782608697125</v>
      </c>
      <c r="M5" s="5">
        <f t="shared" si="2"/>
        <v>-0.8695652173913051</v>
      </c>
      <c r="N5" s="5">
        <f t="shared" si="3"/>
        <v>-0.35243741765480668</v>
      </c>
      <c r="O5" s="5">
        <f t="shared" si="4"/>
        <v>-0.75000000000000189</v>
      </c>
      <c r="P5" s="5">
        <f t="shared" si="5"/>
        <v>-0.67173913043480027</v>
      </c>
      <c r="Q5" s="6" t="str">
        <f t="shared" si="6"/>
        <v>Yes</v>
      </c>
    </row>
    <row r="6" spans="1:17" x14ac:dyDescent="0.3">
      <c r="A6" s="16">
        <v>46034</v>
      </c>
      <c r="B6" s="6" t="s">
        <v>5</v>
      </c>
      <c r="C6" s="6" t="s">
        <v>115</v>
      </c>
      <c r="D6" s="6">
        <v>0.92</v>
      </c>
      <c r="E6" s="6">
        <v>0.92200000000000004</v>
      </c>
      <c r="F6" s="6">
        <v>1.3763000000000001</v>
      </c>
      <c r="G6" s="6">
        <v>1.8241000000000001</v>
      </c>
      <c r="H6" s="6">
        <v>3.0259</v>
      </c>
      <c r="I6" s="6">
        <v>3.6553</v>
      </c>
      <c r="J6" s="6">
        <v>4.5705999999999998</v>
      </c>
      <c r="K6" s="5">
        <f>IF(D6=0, 0, 100*(E6 - D6*1)/(D6*1))</f>
        <v>0.21739130434782628</v>
      </c>
      <c r="L6" s="5">
        <f t="shared" si="1"/>
        <v>-0.26811594202898814</v>
      </c>
      <c r="M6" s="5">
        <f t="shared" si="2"/>
        <v>-0.86413043478260998</v>
      </c>
      <c r="N6" s="5">
        <f t="shared" si="3"/>
        <v>-0.33267457180500654</v>
      </c>
      <c r="O6" s="5">
        <f t="shared" si="4"/>
        <v>-0.67119565217391752</v>
      </c>
      <c r="P6" s="5">
        <f t="shared" si="5"/>
        <v>-0.6391304347826251</v>
      </c>
      <c r="Q6" s="6" t="str">
        <f t="shared" si="6"/>
        <v>Yes</v>
      </c>
    </row>
    <row r="7" spans="1:17" x14ac:dyDescent="0.3">
      <c r="A7" s="16">
        <v>46362</v>
      </c>
      <c r="B7" s="6"/>
      <c r="C7" s="6" t="s">
        <v>131</v>
      </c>
      <c r="D7" s="6">
        <v>0.92</v>
      </c>
      <c r="E7" s="6">
        <v>0.92130000000000001</v>
      </c>
      <c r="F7" s="6">
        <v>1.3755999999999999</v>
      </c>
      <c r="G7" s="6">
        <v>1.8234999999999999</v>
      </c>
      <c r="H7" s="6">
        <v>3.0251000000000001</v>
      </c>
      <c r="I7" s="6">
        <v>3.6547000000000001</v>
      </c>
      <c r="J7" s="6">
        <v>4.5692000000000004</v>
      </c>
      <c r="K7" s="5">
        <f t="shared" si="0"/>
        <v>0.14130434782608345</v>
      </c>
      <c r="L7" s="5">
        <f t="shared" si="1"/>
        <v>-0.31884057971015806</v>
      </c>
      <c r="M7" s="5">
        <f t="shared" si="2"/>
        <v>-0.89673913043479236</v>
      </c>
      <c r="N7" s="5">
        <f t="shared" si="3"/>
        <v>-0.35902503293807342</v>
      </c>
      <c r="O7" s="5">
        <f t="shared" si="4"/>
        <v>-0.68750000000000266</v>
      </c>
      <c r="P7" s="5">
        <f t="shared" si="5"/>
        <v>-0.66956521739130781</v>
      </c>
      <c r="Q7" s="6" t="str">
        <f t="shared" si="6"/>
        <v>Yes</v>
      </c>
    </row>
    <row r="8" spans="1:17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5">
        <f t="shared" si="0"/>
        <v>0</v>
      </c>
      <c r="L8" s="5">
        <f t="shared" si="1"/>
        <v>0</v>
      </c>
      <c r="M8" s="5">
        <f t="shared" si="2"/>
        <v>0</v>
      </c>
      <c r="N8" s="5">
        <f t="shared" si="3"/>
        <v>0</v>
      </c>
      <c r="O8" s="5">
        <f t="shared" si="4"/>
        <v>0</v>
      </c>
      <c r="P8" s="5">
        <f t="shared" si="5"/>
        <v>0</v>
      </c>
      <c r="Q8" s="6" t="str">
        <f t="shared" si="6"/>
        <v>Ready to test</v>
      </c>
    </row>
    <row r="9" spans="1:17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5">
        <f t="shared" si="0"/>
        <v>0</v>
      </c>
      <c r="L9" s="5">
        <f t="shared" si="1"/>
        <v>0</v>
      </c>
      <c r="M9" s="5">
        <f t="shared" si="2"/>
        <v>0</v>
      </c>
      <c r="N9" s="5">
        <f t="shared" si="3"/>
        <v>0</v>
      </c>
      <c r="O9" s="5">
        <f t="shared" si="4"/>
        <v>0</v>
      </c>
      <c r="P9" s="5">
        <f t="shared" si="5"/>
        <v>0</v>
      </c>
      <c r="Q9" s="6" t="str">
        <f t="shared" si="6"/>
        <v>Ready to test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5">
        <f t="shared" si="0"/>
        <v>0</v>
      </c>
      <c r="L10" s="5">
        <f t="shared" si="1"/>
        <v>0</v>
      </c>
      <c r="M10" s="5">
        <f t="shared" si="2"/>
        <v>0</v>
      </c>
      <c r="N10" s="5">
        <f t="shared" si="3"/>
        <v>0</v>
      </c>
      <c r="O10" s="5">
        <f t="shared" si="4"/>
        <v>0</v>
      </c>
      <c r="P10" s="5">
        <f t="shared" si="5"/>
        <v>0</v>
      </c>
      <c r="Q10" s="6" t="str">
        <f t="shared" si="6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5">
        <f t="shared" si="0"/>
        <v>0</v>
      </c>
      <c r="L11" s="5">
        <f t="shared" si="1"/>
        <v>0</v>
      </c>
      <c r="M11" s="5">
        <f t="shared" si="2"/>
        <v>0</v>
      </c>
      <c r="N11" s="5">
        <f t="shared" si="3"/>
        <v>0</v>
      </c>
      <c r="O11" s="5">
        <f t="shared" si="4"/>
        <v>0</v>
      </c>
      <c r="P11" s="5">
        <f t="shared" si="5"/>
        <v>0</v>
      </c>
      <c r="Q11" s="6" t="str">
        <f t="shared" si="6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5">
        <f t="shared" si="0"/>
        <v>0</v>
      </c>
      <c r="L12" s="5">
        <f t="shared" si="1"/>
        <v>0</v>
      </c>
      <c r="M12" s="5">
        <f t="shared" si="2"/>
        <v>0</v>
      </c>
      <c r="N12" s="5">
        <f t="shared" si="3"/>
        <v>0</v>
      </c>
      <c r="O12" s="5">
        <f t="shared" si="4"/>
        <v>0</v>
      </c>
      <c r="P12" s="5">
        <f t="shared" si="5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5">
        <f t="shared" si="0"/>
        <v>0</v>
      </c>
      <c r="L13" s="5">
        <f t="shared" si="1"/>
        <v>0</v>
      </c>
      <c r="M13" s="5">
        <f t="shared" si="2"/>
        <v>0</v>
      </c>
      <c r="N13" s="5">
        <f t="shared" si="3"/>
        <v>0</v>
      </c>
      <c r="O13" s="5">
        <f t="shared" si="4"/>
        <v>0</v>
      </c>
      <c r="P13" s="5">
        <f t="shared" si="5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5">
        <f t="shared" si="0"/>
        <v>0</v>
      </c>
      <c r="L14" s="5">
        <f t="shared" si="1"/>
        <v>0</v>
      </c>
      <c r="M14" s="5">
        <f t="shared" si="2"/>
        <v>0</v>
      </c>
      <c r="N14" s="5">
        <f t="shared" si="3"/>
        <v>0</v>
      </c>
      <c r="O14" s="5">
        <f t="shared" si="4"/>
        <v>0</v>
      </c>
      <c r="P14" s="5">
        <f t="shared" si="5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5">
        <f t="shared" si="0"/>
        <v>0</v>
      </c>
      <c r="L15" s="5">
        <f t="shared" si="1"/>
        <v>0</v>
      </c>
      <c r="M15" s="5">
        <f t="shared" si="2"/>
        <v>0</v>
      </c>
      <c r="N15" s="5">
        <f t="shared" si="3"/>
        <v>0</v>
      </c>
      <c r="O15" s="5">
        <f t="shared" si="4"/>
        <v>0</v>
      </c>
      <c r="P15" s="5">
        <f t="shared" si="5"/>
        <v>0</v>
      </c>
      <c r="Q15" s="6" t="str">
        <f t="shared" si="6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5">
        <f t="shared" si="0"/>
        <v>0</v>
      </c>
      <c r="L16" s="5">
        <f t="shared" si="1"/>
        <v>0</v>
      </c>
      <c r="M16" s="5">
        <f t="shared" si="2"/>
        <v>0</v>
      </c>
      <c r="N16" s="5">
        <f t="shared" si="3"/>
        <v>0</v>
      </c>
      <c r="O16" s="5">
        <f t="shared" si="4"/>
        <v>0</v>
      </c>
      <c r="P16" s="5">
        <f t="shared" si="5"/>
        <v>0</v>
      </c>
      <c r="Q16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7">
    <cfRule type="expression" dxfId="167" priority="1">
      <formula>Q3="Alert"</formula>
    </cfRule>
    <cfRule type="expression" dxfId="166" priority="2">
      <formula>Q3="Yes"</formula>
    </cfRule>
    <cfRule type="expression" dxfId="165" priority="3">
      <formula>Q3="No"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16"/>
  <sheetViews>
    <sheetView workbookViewId="0">
      <selection activeCell="K9" sqref="K9:P9"/>
    </sheetView>
  </sheetViews>
  <sheetFormatPr defaultRowHeight="14.4" x14ac:dyDescent="0.3"/>
  <cols>
    <col min="1" max="1" width="11.44140625" bestFit="1" customWidth="1"/>
    <col min="2" max="2" width="9.5546875" bestFit="1" customWidth="1"/>
    <col min="3" max="3" width="14" bestFit="1" customWidth="1"/>
    <col min="4" max="4" width="17.44140625" bestFit="1" customWidth="1"/>
  </cols>
  <sheetData>
    <row r="1" spans="1:17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4.7" customHeight="1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</row>
    <row r="3" spans="1:17" x14ac:dyDescent="0.3">
      <c r="A3" s="7">
        <v>45798</v>
      </c>
      <c r="B3" s="4" t="s">
        <v>132</v>
      </c>
      <c r="C3" s="4" t="s">
        <v>100</v>
      </c>
      <c r="D3" s="4">
        <v>0.92</v>
      </c>
      <c r="E3" s="4">
        <v>0.92210000000000003</v>
      </c>
      <c r="F3" s="4">
        <v>1.3763000000000001</v>
      </c>
      <c r="G3" s="4">
        <v>1.8243</v>
      </c>
      <c r="H3" s="4">
        <v>3.0257000000000001</v>
      </c>
      <c r="I3" s="4">
        <v>3.6549</v>
      </c>
      <c r="J3" s="4">
        <v>4.5709999999999997</v>
      </c>
      <c r="K3" s="5">
        <f t="shared" ref="K3:K16" si="0">IF(D3=0, 0, 100*(E3 - D3*1)/(D3*1))</f>
        <v>0.22826086956521638</v>
      </c>
      <c r="L3" s="5">
        <f t="shared" ref="L3:L16" si="1">IF(D3=0, 0, 100*(F3 - D3*1.5)/(D3*1.5))</f>
        <v>-0.26811594202898814</v>
      </c>
      <c r="M3" s="5">
        <f t="shared" ref="M3:M16" si="2">IF(D3=0, 0, 100*(G3 - D3*2)/(D3*2))</f>
        <v>-0.85326086956521996</v>
      </c>
      <c r="N3" s="5">
        <f t="shared" ref="N3:N16" si="3">IF(D3=0, 0, 100*(H3 - D3*3.3)/(D3*3.3))</f>
        <v>-0.33926218708827327</v>
      </c>
      <c r="O3" s="5">
        <f t="shared" ref="O3:O16" si="4">IF(D3=0, 0, 100*(I3 - D3*4)/(D3*4))</f>
        <v>-0.68206521739130765</v>
      </c>
      <c r="P3" s="5">
        <f t="shared" ref="P3:P16" si="5">IF(D3=0, 0, 100*(J3 - D3*5)/(D3*5))</f>
        <v>-0.630434782608713</v>
      </c>
      <c r="Q3" s="4" t="str">
        <f t="shared" ref="Q3:Q16" si="6"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>
        <v>45818</v>
      </c>
      <c r="B4" s="6" t="s">
        <v>133</v>
      </c>
      <c r="C4" s="6" t="s">
        <v>98</v>
      </c>
      <c r="D4" s="6">
        <v>0.92</v>
      </c>
      <c r="E4" s="6">
        <v>0.92179999999999995</v>
      </c>
      <c r="F4" s="6">
        <v>1.3764000000000001</v>
      </c>
      <c r="G4" s="6">
        <v>1.8241000000000001</v>
      </c>
      <c r="H4" s="6">
        <v>3.0259999999999998</v>
      </c>
      <c r="I4" s="6">
        <v>3.6556000000000002</v>
      </c>
      <c r="J4" s="6">
        <v>4.5693000000000001</v>
      </c>
      <c r="K4" s="5">
        <f t="shared" si="0"/>
        <v>0.19565217391303399</v>
      </c>
      <c r="L4" s="5">
        <f t="shared" si="1"/>
        <v>-0.26086956521739474</v>
      </c>
      <c r="M4" s="5">
        <f t="shared" si="2"/>
        <v>-0.86413043478260998</v>
      </c>
      <c r="N4" s="5">
        <f t="shared" si="3"/>
        <v>-0.32938076416338047</v>
      </c>
      <c r="O4" s="5">
        <f t="shared" si="4"/>
        <v>-0.66304347826086896</v>
      </c>
      <c r="P4" s="5">
        <f t="shared" si="5"/>
        <v>-0.66739130434783456</v>
      </c>
      <c r="Q4" s="6" t="str">
        <f t="shared" si="6"/>
        <v>Yes</v>
      </c>
    </row>
    <row r="5" spans="1:17" x14ac:dyDescent="0.3">
      <c r="A5" s="16">
        <v>45974</v>
      </c>
      <c r="B5" s="6"/>
      <c r="C5" s="6" t="s">
        <v>121</v>
      </c>
      <c r="D5" s="6">
        <v>0.92</v>
      </c>
      <c r="E5" s="6">
        <v>0.92190000000000005</v>
      </c>
      <c r="F5" s="6">
        <v>1.3761000000000001</v>
      </c>
      <c r="G5" s="6">
        <v>1.8239000000000001</v>
      </c>
      <c r="H5" s="6">
        <v>3.0253000000000001</v>
      </c>
      <c r="I5" s="6">
        <v>3.6535000000000002</v>
      </c>
      <c r="J5" s="6">
        <v>4.5690999999999997</v>
      </c>
      <c r="K5" s="5">
        <f>IF(D5=0, 0, 100*(E5 - D5*1)/(D5*1))</f>
        <v>0.20652173913043617</v>
      </c>
      <c r="L5" s="5">
        <f t="shared" si="1"/>
        <v>-0.28260869565217495</v>
      </c>
      <c r="M5" s="5">
        <f t="shared" si="2"/>
        <v>-0.87500000000000011</v>
      </c>
      <c r="N5" s="5">
        <f t="shared" si="3"/>
        <v>-0.35243741765480668</v>
      </c>
      <c r="O5" s="5">
        <f t="shared" si="4"/>
        <v>-0.72010869565217306</v>
      </c>
      <c r="P5" s="5">
        <f t="shared" si="5"/>
        <v>-0.67173913043480027</v>
      </c>
      <c r="Q5" s="6" t="str">
        <f t="shared" si="6"/>
        <v>Yes</v>
      </c>
    </row>
    <row r="6" spans="1:17" x14ac:dyDescent="0.3">
      <c r="A6" s="16">
        <v>46034</v>
      </c>
      <c r="B6" s="6" t="s">
        <v>5</v>
      </c>
      <c r="C6" s="6" t="s">
        <v>115</v>
      </c>
      <c r="D6" s="6">
        <v>0.92</v>
      </c>
      <c r="E6" s="6">
        <v>0.92159999999999997</v>
      </c>
      <c r="F6" s="6">
        <v>1.3759999999999999</v>
      </c>
      <c r="G6" s="6">
        <v>1.8234999999999999</v>
      </c>
      <c r="H6" s="6">
        <v>3.0253999999999999</v>
      </c>
      <c r="I6" s="6">
        <v>3.6543000000000001</v>
      </c>
      <c r="J6" s="6">
        <v>4.5689000000000002</v>
      </c>
      <c r="K6" s="5">
        <f t="shared" si="0"/>
        <v>0.17391304347825379</v>
      </c>
      <c r="L6" s="5">
        <f t="shared" si="1"/>
        <v>-0.28985507246378445</v>
      </c>
      <c r="M6" s="5">
        <f t="shared" si="2"/>
        <v>-0.89673913043479236</v>
      </c>
      <c r="N6" s="5">
        <f t="shared" si="3"/>
        <v>-0.34914361001318067</v>
      </c>
      <c r="O6" s="5">
        <f t="shared" si="4"/>
        <v>-0.6983695652173928</v>
      </c>
      <c r="P6" s="5">
        <f t="shared" si="5"/>
        <v>-0.67608695652174666</v>
      </c>
      <c r="Q6" s="6" t="str">
        <f t="shared" si="6"/>
        <v>Yes</v>
      </c>
    </row>
    <row r="7" spans="1:17" x14ac:dyDescent="0.3">
      <c r="A7" s="16">
        <v>46099</v>
      </c>
      <c r="B7" s="6"/>
      <c r="C7" s="6" t="s">
        <v>98</v>
      </c>
      <c r="D7" s="6">
        <v>0.92</v>
      </c>
      <c r="E7" s="6">
        <v>0.92169999999999996</v>
      </c>
      <c r="F7" s="6">
        <v>1.3762000000000001</v>
      </c>
      <c r="G7" s="6">
        <v>1.8238000000000001</v>
      </c>
      <c r="H7" s="6">
        <v>3.0251999999999999</v>
      </c>
      <c r="I7" s="6">
        <v>3.6547999999999998</v>
      </c>
      <c r="J7" s="6">
        <v>4.5686</v>
      </c>
      <c r="K7" s="5">
        <f t="shared" si="0"/>
        <v>0.18478260869564389</v>
      </c>
      <c r="L7" s="5">
        <f t="shared" si="1"/>
        <v>-0.27536231884058154</v>
      </c>
      <c r="M7" s="5">
        <f t="shared" si="2"/>
        <v>-0.88043478260869523</v>
      </c>
      <c r="N7" s="5">
        <f t="shared" si="3"/>
        <v>-0.35573122529644741</v>
      </c>
      <c r="O7" s="5">
        <f t="shared" si="4"/>
        <v>-0.68478260869566121</v>
      </c>
      <c r="P7" s="5">
        <f t="shared" si="5"/>
        <v>-0.68260869565218552</v>
      </c>
      <c r="Q7" s="61" t="str">
        <f t="shared" si="6"/>
        <v>Yes</v>
      </c>
    </row>
    <row r="8" spans="1:17" x14ac:dyDescent="0.3">
      <c r="A8" s="60">
        <v>46163</v>
      </c>
      <c r="B8" s="6"/>
      <c r="C8" s="6" t="s">
        <v>134</v>
      </c>
      <c r="D8" s="6">
        <v>0.92</v>
      </c>
      <c r="E8" s="6">
        <v>0.92179999999999995</v>
      </c>
      <c r="F8" s="6">
        <v>1.3758999999999999</v>
      </c>
      <c r="G8" s="6">
        <v>1.8237000000000001</v>
      </c>
      <c r="H8" s="6">
        <v>3.0247999999999999</v>
      </c>
      <c r="I8" s="6">
        <v>3.6541999999999999</v>
      </c>
      <c r="J8" s="6">
        <v>4.5685000000000002</v>
      </c>
      <c r="K8" s="5">
        <f t="shared" si="0"/>
        <v>0.19565217391303399</v>
      </c>
      <c r="L8" s="5">
        <f t="shared" si="1"/>
        <v>-0.29710144927537785</v>
      </c>
      <c r="M8" s="5">
        <f t="shared" si="2"/>
        <v>-0.88586956521739024</v>
      </c>
      <c r="N8" s="5">
        <f t="shared" si="3"/>
        <v>-0.36890645586298088</v>
      </c>
      <c r="O8" s="5">
        <f t="shared" si="4"/>
        <v>-0.70108695652174635</v>
      </c>
      <c r="P8" s="5">
        <f t="shared" si="5"/>
        <v>-0.68478260869565877</v>
      </c>
      <c r="Q8" s="61" t="str">
        <f t="shared" si="6"/>
        <v>Yes</v>
      </c>
    </row>
    <row r="9" spans="1:17" x14ac:dyDescent="0.3">
      <c r="A9" s="16">
        <v>46188</v>
      </c>
      <c r="B9" s="6" t="s">
        <v>23</v>
      </c>
      <c r="C9" s="6" t="s">
        <v>112</v>
      </c>
      <c r="D9" s="6">
        <v>0.92</v>
      </c>
      <c r="E9" s="6">
        <v>0.92149999999999999</v>
      </c>
      <c r="F9" s="6">
        <v>1.3753</v>
      </c>
      <c r="G9" s="6">
        <v>1.8231999999999999</v>
      </c>
      <c r="H9" s="6">
        <v>3.0242</v>
      </c>
      <c r="I9" s="6">
        <v>3.6516999999999999</v>
      </c>
      <c r="J9" s="6">
        <v>4.5675999999999997</v>
      </c>
      <c r="K9" s="5">
        <f t="shared" si="0"/>
        <v>0.16304347826086366</v>
      </c>
      <c r="L9" s="5">
        <f t="shared" si="1"/>
        <v>-0.34057971014493826</v>
      </c>
      <c r="M9" s="5">
        <f t="shared" si="2"/>
        <v>-0.91304347826087762</v>
      </c>
      <c r="N9" s="5">
        <f t="shared" si="3"/>
        <v>-0.38866930171278102</v>
      </c>
      <c r="O9" s="5">
        <f t="shared" si="4"/>
        <v>-0.76902173913044058</v>
      </c>
      <c r="P9" s="5">
        <f t="shared" si="5"/>
        <v>-0.70434782608697544</v>
      </c>
      <c r="Q9" s="61" t="str">
        <f t="shared" si="6"/>
        <v>Yes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5">
        <f t="shared" si="0"/>
        <v>0</v>
      </c>
      <c r="L10" s="5">
        <f t="shared" si="1"/>
        <v>0</v>
      </c>
      <c r="M10" s="5">
        <f t="shared" si="2"/>
        <v>0</v>
      </c>
      <c r="N10" s="5">
        <f t="shared" si="3"/>
        <v>0</v>
      </c>
      <c r="O10" s="5">
        <f t="shared" si="4"/>
        <v>0</v>
      </c>
      <c r="P10" s="5">
        <f t="shared" si="5"/>
        <v>0</v>
      </c>
      <c r="Q10" s="6" t="str">
        <f t="shared" si="6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5">
        <f t="shared" si="0"/>
        <v>0</v>
      </c>
      <c r="L11" s="5">
        <f t="shared" si="1"/>
        <v>0</v>
      </c>
      <c r="M11" s="5">
        <f t="shared" si="2"/>
        <v>0</v>
      </c>
      <c r="N11" s="5">
        <f t="shared" si="3"/>
        <v>0</v>
      </c>
      <c r="O11" s="5">
        <f t="shared" si="4"/>
        <v>0</v>
      </c>
      <c r="P11" s="5">
        <f t="shared" si="5"/>
        <v>0</v>
      </c>
      <c r="Q11" s="6" t="str">
        <f t="shared" si="6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5">
        <f t="shared" si="0"/>
        <v>0</v>
      </c>
      <c r="L12" s="5">
        <f t="shared" si="1"/>
        <v>0</v>
      </c>
      <c r="M12" s="5">
        <f t="shared" si="2"/>
        <v>0</v>
      </c>
      <c r="N12" s="5">
        <f t="shared" si="3"/>
        <v>0</v>
      </c>
      <c r="O12" s="5">
        <f t="shared" si="4"/>
        <v>0</v>
      </c>
      <c r="P12" s="5">
        <f t="shared" si="5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5">
        <f t="shared" si="0"/>
        <v>0</v>
      </c>
      <c r="L13" s="5">
        <f t="shared" si="1"/>
        <v>0</v>
      </c>
      <c r="M13" s="5">
        <f t="shared" si="2"/>
        <v>0</v>
      </c>
      <c r="N13" s="5">
        <f t="shared" si="3"/>
        <v>0</v>
      </c>
      <c r="O13" s="5">
        <f t="shared" si="4"/>
        <v>0</v>
      </c>
      <c r="P13" s="5">
        <f t="shared" si="5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5">
        <f t="shared" si="0"/>
        <v>0</v>
      </c>
      <c r="L14" s="5">
        <f t="shared" si="1"/>
        <v>0</v>
      </c>
      <c r="M14" s="5">
        <f t="shared" si="2"/>
        <v>0</v>
      </c>
      <c r="N14" s="5">
        <f t="shared" si="3"/>
        <v>0</v>
      </c>
      <c r="O14" s="5">
        <f t="shared" si="4"/>
        <v>0</v>
      </c>
      <c r="P14" s="5">
        <f t="shared" si="5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5">
        <f t="shared" si="0"/>
        <v>0</v>
      </c>
      <c r="L15" s="5">
        <f t="shared" si="1"/>
        <v>0</v>
      </c>
      <c r="M15" s="5">
        <f t="shared" si="2"/>
        <v>0</v>
      </c>
      <c r="N15" s="5">
        <f t="shared" si="3"/>
        <v>0</v>
      </c>
      <c r="O15" s="5">
        <f t="shared" si="4"/>
        <v>0</v>
      </c>
      <c r="P15" s="5">
        <f t="shared" si="5"/>
        <v>0</v>
      </c>
      <c r="Q15" s="6" t="str">
        <f t="shared" si="6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5">
        <f t="shared" si="0"/>
        <v>0</v>
      </c>
      <c r="L16" s="5">
        <f t="shared" si="1"/>
        <v>0</v>
      </c>
      <c r="M16" s="5">
        <f t="shared" si="2"/>
        <v>0</v>
      </c>
      <c r="N16" s="5">
        <f t="shared" si="3"/>
        <v>0</v>
      </c>
      <c r="O16" s="5">
        <f t="shared" si="4"/>
        <v>0</v>
      </c>
      <c r="P16" s="5">
        <f t="shared" si="5"/>
        <v>0</v>
      </c>
      <c r="Q16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6">
    <cfRule type="expression" dxfId="164" priority="1">
      <formula>Q3="Alert"</formula>
    </cfRule>
    <cfRule type="expression" dxfId="163" priority="2">
      <formula>Q3="Yes"</formula>
    </cfRule>
    <cfRule type="expression" dxfId="162" priority="3">
      <formula>Q3="No"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16"/>
  <sheetViews>
    <sheetView workbookViewId="0">
      <selection activeCell="Q5" sqref="Q5"/>
    </sheetView>
  </sheetViews>
  <sheetFormatPr defaultRowHeight="14.4" x14ac:dyDescent="0.3"/>
  <cols>
    <col min="1" max="1" width="11.109375" bestFit="1" customWidth="1"/>
    <col min="3" max="3" width="11.44140625" bestFit="1" customWidth="1"/>
    <col min="17" max="17" width="14.33203125" customWidth="1"/>
  </cols>
  <sheetData>
    <row r="1" spans="1:17" ht="14.25" customHeight="1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4.7" customHeight="1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</row>
    <row r="3" spans="1:17" ht="14.25" customHeight="1" x14ac:dyDescent="0.3">
      <c r="A3" s="16">
        <v>45803</v>
      </c>
      <c r="B3" s="6" t="s">
        <v>5</v>
      </c>
      <c r="C3" s="6" t="s">
        <v>107</v>
      </c>
      <c r="D3" s="6">
        <v>0.92</v>
      </c>
      <c r="E3" s="4">
        <v>0.92200000000000004</v>
      </c>
      <c r="F3" s="4">
        <v>1.3766</v>
      </c>
      <c r="G3" s="4">
        <v>1.8243</v>
      </c>
      <c r="H3" s="4">
        <v>3.0259</v>
      </c>
      <c r="I3" s="4">
        <v>3.6547000000000001</v>
      </c>
      <c r="J3" s="4">
        <v>4.5694999999999997</v>
      </c>
      <c r="K3" s="5">
        <f t="shared" ref="K3:K16" si="0">IF(D3=0, 0, 100*(E3 - D3*1)/(D3*1))</f>
        <v>0.21739130434782628</v>
      </c>
      <c r="L3" s="5">
        <f t="shared" ref="L3:L16" si="1">IF(D3=0, 0, 100*(F3 - D3*1.5)/(D3*1.5))</f>
        <v>-0.24637681159420793</v>
      </c>
      <c r="M3" s="5">
        <f t="shared" ref="M3:M16" si="2">IF(D3=0, 0, 100*(G3 - D3*2)/(D3*2))</f>
        <v>-0.85326086956521996</v>
      </c>
      <c r="N3" s="5">
        <f t="shared" ref="N3:N16" si="3">IF(D3=0, 0, 100*(H3 - D3*3.3)/(D3*3.3))</f>
        <v>-0.33267457180500654</v>
      </c>
      <c r="O3" s="5">
        <f t="shared" ref="O3:O16" si="4">IF(D3=0, 0, 100*(I3 - D3*4)/(D3*4))</f>
        <v>-0.68750000000000266</v>
      </c>
      <c r="P3" s="5">
        <f t="shared" ref="P3:P16" si="5">IF(D3=0, 0, 100*(J3 - D3*5)/(D3*5))</f>
        <v>-0.66304347826088816</v>
      </c>
      <c r="Q3" s="4" t="str">
        <f t="shared" ref="Q3:Q16" si="6"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ht="14.25" customHeight="1" x14ac:dyDescent="0.3">
      <c r="A4" s="16">
        <v>45824</v>
      </c>
      <c r="B4" s="6"/>
      <c r="C4" s="6" t="s">
        <v>98</v>
      </c>
      <c r="D4" s="6">
        <v>0.92</v>
      </c>
      <c r="E4" s="6">
        <v>0.92190000000000005</v>
      </c>
      <c r="F4" s="6">
        <v>1.3759999999999999</v>
      </c>
      <c r="G4" s="6">
        <v>1.8240000000000001</v>
      </c>
      <c r="H4" s="6">
        <v>3.0255000000000001</v>
      </c>
      <c r="I4" s="6">
        <v>3.6528</v>
      </c>
      <c r="J4" s="6">
        <v>4.57</v>
      </c>
      <c r="K4" s="5">
        <f t="shared" si="0"/>
        <v>0.20652173913043617</v>
      </c>
      <c r="L4" s="5">
        <f t="shared" si="1"/>
        <v>-0.28985507246378445</v>
      </c>
      <c r="M4" s="5">
        <f t="shared" si="2"/>
        <v>-0.8695652173913051</v>
      </c>
      <c r="N4" s="5">
        <f t="shared" si="3"/>
        <v>-0.34584980237153995</v>
      </c>
      <c r="O4" s="5">
        <f t="shared" si="4"/>
        <v>-0.73913043478261176</v>
      </c>
      <c r="P4" s="5">
        <f t="shared" si="5"/>
        <v>-0.6521739130434836</v>
      </c>
      <c r="Q4" s="6" t="str">
        <f t="shared" si="6"/>
        <v>Yes</v>
      </c>
    </row>
    <row r="5" spans="1:17" ht="14.25" customHeight="1" x14ac:dyDescent="0.3">
      <c r="A5" s="16">
        <v>45863</v>
      </c>
      <c r="B5" s="6" t="s">
        <v>25</v>
      </c>
      <c r="C5" s="6" t="s">
        <v>103</v>
      </c>
      <c r="D5" s="6">
        <v>0.92</v>
      </c>
      <c r="E5" s="6">
        <v>0.92190000000000005</v>
      </c>
      <c r="F5" s="6">
        <v>1.3758999999999999</v>
      </c>
      <c r="G5" s="6">
        <v>1.8240000000000001</v>
      </c>
      <c r="H5" s="6">
        <v>3.0253000000000001</v>
      </c>
      <c r="I5" s="6">
        <v>3.6535000000000002</v>
      </c>
      <c r="J5" s="6">
        <v>4.5696000000000003</v>
      </c>
      <c r="K5" s="5">
        <f t="shared" si="0"/>
        <v>0.20652173913043617</v>
      </c>
      <c r="L5" s="5">
        <f t="shared" si="1"/>
        <v>-0.29710144927537785</v>
      </c>
      <c r="M5" s="5">
        <f t="shared" si="2"/>
        <v>-0.8695652173913051</v>
      </c>
      <c r="N5" s="5">
        <f t="shared" si="3"/>
        <v>-0.35243741765480668</v>
      </c>
      <c r="O5" s="5">
        <f t="shared" si="4"/>
        <v>-0.72010869565217306</v>
      </c>
      <c r="P5" s="5">
        <f t="shared" si="5"/>
        <v>-0.6608695652173957</v>
      </c>
      <c r="Q5" s="6" t="str">
        <f t="shared" si="6"/>
        <v>Yes</v>
      </c>
    </row>
    <row r="6" spans="1:17" ht="14.25" customHeight="1" x14ac:dyDescent="0.3">
      <c r="A6" s="16">
        <v>46155</v>
      </c>
      <c r="B6" s="6" t="s">
        <v>5</v>
      </c>
      <c r="C6" s="6" t="s">
        <v>135</v>
      </c>
      <c r="D6" s="6">
        <v>0.92</v>
      </c>
      <c r="E6" s="6">
        <v>0.9204</v>
      </c>
      <c r="F6" s="6">
        <v>1.3735999999999999</v>
      </c>
      <c r="G6" s="6">
        <v>1.8211999999999999</v>
      </c>
      <c r="H6" s="6">
        <v>3.0213999999999999</v>
      </c>
      <c r="I6" s="6">
        <v>3.6471</v>
      </c>
      <c r="J6" s="6">
        <v>4.5631000000000004</v>
      </c>
      <c r="K6" s="5">
        <f t="shared" si="0"/>
        <v>4.3478260869560428E-2</v>
      </c>
      <c r="L6" s="5">
        <f t="shared" si="1"/>
        <v>-0.46376811594204226</v>
      </c>
      <c r="M6" s="5">
        <f t="shared" si="2"/>
        <v>-1.0217391304347907</v>
      </c>
      <c r="N6" s="5">
        <f t="shared" si="3"/>
        <v>-0.48089591567852991</v>
      </c>
      <c r="O6" s="5">
        <f t="shared" si="4"/>
        <v>-0.89402173913043881</v>
      </c>
      <c r="P6" s="5">
        <f t="shared" si="5"/>
        <v>-0.80217391304348151</v>
      </c>
      <c r="Q6" s="6" t="str">
        <f>IF(AND(K6&gt;=0.11,K6&lt;=0.27,L6&gt;=-0.36,L6&lt;=-0.22,M6&gt;=-0.92,M6&lt;=-0.82,N6&gt;=-0.4,N6&lt;=-0.3,O6&gt;=-0.79,O6&lt;=-0.64,P6&gt;=-0.76,P6&lt;=-0.61), "Yes", IF(AND(K6=0,L6=0,M6=0,N6=0,O6=0,P6=0), "Ready to test", "No"))</f>
        <v>No</v>
      </c>
    </row>
    <row r="7" spans="1:17" ht="14.25" customHeight="1" x14ac:dyDescent="0.3">
      <c r="A7" s="16">
        <v>46163</v>
      </c>
      <c r="B7" s="6" t="s">
        <v>5</v>
      </c>
      <c r="C7" s="6" t="s">
        <v>134</v>
      </c>
      <c r="D7" s="6">
        <v>0.92</v>
      </c>
      <c r="E7" s="6">
        <v>0.92049999999999998</v>
      </c>
      <c r="F7" s="6">
        <v>1.3740000000000001</v>
      </c>
      <c r="G7" s="6">
        <v>1.8212999999999999</v>
      </c>
      <c r="H7" s="6">
        <v>3.0215999999999998</v>
      </c>
      <c r="I7" s="6">
        <v>3.6503000000000001</v>
      </c>
      <c r="J7" s="6">
        <v>4.5631000000000004</v>
      </c>
      <c r="K7" s="5">
        <f t="shared" si="0"/>
        <v>5.4347826086950532E-2</v>
      </c>
      <c r="L7" s="5">
        <f t="shared" si="1"/>
        <v>-0.43478260869565255</v>
      </c>
      <c r="M7" s="5">
        <f t="shared" si="2"/>
        <v>-1.0163043478260956</v>
      </c>
      <c r="N7" s="5">
        <f t="shared" si="3"/>
        <v>-0.47430830039526317</v>
      </c>
      <c r="O7" s="5">
        <f t="shared" si="4"/>
        <v>-0.80706521739130599</v>
      </c>
      <c r="P7" s="5">
        <f t="shared" si="5"/>
        <v>-0.80217391304348151</v>
      </c>
      <c r="Q7" s="62" t="str">
        <f t="shared" si="6"/>
        <v>No</v>
      </c>
    </row>
    <row r="8" spans="1:17" ht="14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5">
        <f t="shared" si="0"/>
        <v>0</v>
      </c>
      <c r="L8" s="5">
        <f t="shared" si="1"/>
        <v>0</v>
      </c>
      <c r="M8" s="5">
        <f t="shared" si="2"/>
        <v>0</v>
      </c>
      <c r="N8" s="5">
        <f t="shared" si="3"/>
        <v>0</v>
      </c>
      <c r="O8" s="5">
        <f t="shared" si="4"/>
        <v>0</v>
      </c>
      <c r="P8" s="5">
        <f t="shared" si="5"/>
        <v>0</v>
      </c>
      <c r="Q8" s="6" t="str">
        <f t="shared" si="6"/>
        <v>Ready to test</v>
      </c>
    </row>
    <row r="9" spans="1:17" ht="14.25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5">
        <f t="shared" si="0"/>
        <v>0</v>
      </c>
      <c r="L9" s="5">
        <f t="shared" si="1"/>
        <v>0</v>
      </c>
      <c r="M9" s="5">
        <f t="shared" si="2"/>
        <v>0</v>
      </c>
      <c r="N9" s="5">
        <f t="shared" si="3"/>
        <v>0</v>
      </c>
      <c r="O9" s="5">
        <f t="shared" si="4"/>
        <v>0</v>
      </c>
      <c r="P9" s="5">
        <f t="shared" si="5"/>
        <v>0</v>
      </c>
      <c r="Q9" s="6" t="str">
        <f t="shared" si="6"/>
        <v>Ready to test</v>
      </c>
    </row>
    <row r="10" spans="1:17" ht="14.25" customHeight="1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5">
        <f t="shared" si="0"/>
        <v>0</v>
      </c>
      <c r="L10" s="5">
        <f t="shared" si="1"/>
        <v>0</v>
      </c>
      <c r="M10" s="5">
        <f t="shared" si="2"/>
        <v>0</v>
      </c>
      <c r="N10" s="5">
        <f t="shared" si="3"/>
        <v>0</v>
      </c>
      <c r="O10" s="5">
        <f t="shared" si="4"/>
        <v>0</v>
      </c>
      <c r="P10" s="5">
        <f t="shared" si="5"/>
        <v>0</v>
      </c>
      <c r="Q10" s="6" t="str">
        <f t="shared" si="6"/>
        <v>Ready to test</v>
      </c>
    </row>
    <row r="11" spans="1:17" ht="14.25" customHeight="1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5">
        <f t="shared" si="0"/>
        <v>0</v>
      </c>
      <c r="L11" s="5">
        <f t="shared" si="1"/>
        <v>0</v>
      </c>
      <c r="M11" s="5">
        <f t="shared" si="2"/>
        <v>0</v>
      </c>
      <c r="N11" s="5">
        <f t="shared" si="3"/>
        <v>0</v>
      </c>
      <c r="O11" s="5">
        <f t="shared" si="4"/>
        <v>0</v>
      </c>
      <c r="P11" s="5">
        <f t="shared" si="5"/>
        <v>0</v>
      </c>
      <c r="Q11" s="6" t="str">
        <f t="shared" si="6"/>
        <v>Ready to test</v>
      </c>
    </row>
    <row r="12" spans="1:17" ht="14.25" customHeight="1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5">
        <f t="shared" si="0"/>
        <v>0</v>
      </c>
      <c r="L12" s="5">
        <f t="shared" si="1"/>
        <v>0</v>
      </c>
      <c r="M12" s="5">
        <f t="shared" si="2"/>
        <v>0</v>
      </c>
      <c r="N12" s="5">
        <f t="shared" si="3"/>
        <v>0</v>
      </c>
      <c r="O12" s="5">
        <f t="shared" si="4"/>
        <v>0</v>
      </c>
      <c r="P12" s="5">
        <f t="shared" si="5"/>
        <v>0</v>
      </c>
      <c r="Q12" s="6" t="str">
        <f t="shared" si="6"/>
        <v>Ready to test</v>
      </c>
    </row>
    <row r="13" spans="1:17" ht="14.25" customHeight="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5">
        <f t="shared" si="0"/>
        <v>0</v>
      </c>
      <c r="L13" s="5">
        <f t="shared" si="1"/>
        <v>0</v>
      </c>
      <c r="M13" s="5">
        <f t="shared" si="2"/>
        <v>0</v>
      </c>
      <c r="N13" s="5">
        <f t="shared" si="3"/>
        <v>0</v>
      </c>
      <c r="O13" s="5">
        <f t="shared" si="4"/>
        <v>0</v>
      </c>
      <c r="P13" s="5">
        <f t="shared" si="5"/>
        <v>0</v>
      </c>
      <c r="Q13" s="6" t="str">
        <f t="shared" si="6"/>
        <v>Ready to test</v>
      </c>
    </row>
    <row r="14" spans="1:17" ht="14.25" customHeight="1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5">
        <f t="shared" si="0"/>
        <v>0</v>
      </c>
      <c r="L14" s="5">
        <f t="shared" si="1"/>
        <v>0</v>
      </c>
      <c r="M14" s="5">
        <f t="shared" si="2"/>
        <v>0</v>
      </c>
      <c r="N14" s="5">
        <f t="shared" si="3"/>
        <v>0</v>
      </c>
      <c r="O14" s="5">
        <f t="shared" si="4"/>
        <v>0</v>
      </c>
      <c r="P14" s="5">
        <f t="shared" si="5"/>
        <v>0</v>
      </c>
      <c r="Q14" s="6" t="str">
        <f t="shared" si="6"/>
        <v>Ready to test</v>
      </c>
    </row>
    <row r="15" spans="1:17" ht="14.25" customHeight="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5">
        <f t="shared" si="0"/>
        <v>0</v>
      </c>
      <c r="L15" s="5">
        <f t="shared" si="1"/>
        <v>0</v>
      </c>
      <c r="M15" s="5">
        <f t="shared" si="2"/>
        <v>0</v>
      </c>
      <c r="N15" s="5">
        <f t="shared" si="3"/>
        <v>0</v>
      </c>
      <c r="O15" s="5">
        <f t="shared" si="4"/>
        <v>0</v>
      </c>
      <c r="P15" s="5">
        <f t="shared" si="5"/>
        <v>0</v>
      </c>
      <c r="Q15" s="6" t="str">
        <f t="shared" si="6"/>
        <v>Ready to test</v>
      </c>
    </row>
    <row r="16" spans="1:17" ht="14.25" customHeigh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5">
        <f t="shared" si="0"/>
        <v>0</v>
      </c>
      <c r="L16" s="5">
        <f t="shared" si="1"/>
        <v>0</v>
      </c>
      <c r="M16" s="5">
        <f t="shared" si="2"/>
        <v>0</v>
      </c>
      <c r="N16" s="5">
        <f t="shared" si="3"/>
        <v>0</v>
      </c>
      <c r="O16" s="5">
        <f t="shared" si="4"/>
        <v>0</v>
      </c>
      <c r="P16" s="5">
        <f t="shared" si="5"/>
        <v>0</v>
      </c>
      <c r="Q16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6">
    <cfRule type="expression" dxfId="161" priority="1">
      <formula>Q3="Alert"</formula>
    </cfRule>
    <cfRule type="expression" dxfId="160" priority="2">
      <formula>Q3="Yes"</formula>
    </cfRule>
    <cfRule type="expression" dxfId="159" priority="3">
      <formula>Q3="No"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16"/>
  <sheetViews>
    <sheetView workbookViewId="0">
      <selection activeCell="K8" sqref="K8:P8"/>
    </sheetView>
  </sheetViews>
  <sheetFormatPr defaultColWidth="18.33203125" defaultRowHeight="14.4" x14ac:dyDescent="0.3"/>
  <cols>
    <col min="1" max="2" width="18.33203125" style="1" customWidth="1"/>
    <col min="3" max="4" width="18.33203125" style="1"/>
    <col min="5" max="5" width="10.109375" style="1" customWidth="1"/>
    <col min="6" max="6" width="9.5546875" style="1" customWidth="1"/>
    <col min="7" max="7" width="12.5546875" style="1" customWidth="1"/>
    <col min="8" max="8" width="13.44140625" style="1" customWidth="1"/>
    <col min="9" max="9" width="12.33203125" style="1" customWidth="1"/>
    <col min="10" max="10" width="11.33203125" style="1" customWidth="1"/>
    <col min="11" max="11" width="13.5546875" style="1" customWidth="1"/>
    <col min="12" max="12" width="12.88671875" style="1" customWidth="1"/>
    <col min="13" max="13" width="11.6640625" style="1" customWidth="1"/>
    <col min="14" max="14" width="13.5546875" style="1" customWidth="1"/>
    <col min="15" max="15" width="11.88671875" style="1" customWidth="1"/>
    <col min="16" max="16" width="11.33203125" style="1" customWidth="1"/>
    <col min="17" max="16384" width="18.33203125" style="1"/>
  </cols>
  <sheetData>
    <row r="1" spans="1:17" ht="28.5" customHeight="1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4.7" customHeight="1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</row>
    <row r="3" spans="1:17" x14ac:dyDescent="0.3">
      <c r="A3" s="7">
        <v>45797</v>
      </c>
      <c r="B3" s="4" t="s">
        <v>136</v>
      </c>
      <c r="C3" s="4" t="s">
        <v>107</v>
      </c>
      <c r="D3" s="4">
        <v>0.92</v>
      </c>
      <c r="E3" s="4">
        <v>0.92169999999999996</v>
      </c>
      <c r="F3" s="4">
        <v>1.3762000000000001</v>
      </c>
      <c r="G3" s="4">
        <v>1.8231999999999999</v>
      </c>
      <c r="H3" s="4">
        <v>3.0251000000000001</v>
      </c>
      <c r="I3" s="4">
        <v>3.6515</v>
      </c>
      <c r="J3" s="4">
        <v>4.5690999999999997</v>
      </c>
      <c r="K3" s="5">
        <f t="shared" ref="K3" si="0">IF(D3=0, 0, 100*(E3 - D3*1)/(D3*1))</f>
        <v>0.18478260869564389</v>
      </c>
      <c r="L3" s="5">
        <f t="shared" ref="L3:L16" si="1">IF(D3=0, 0, 100*(F3 - D3*1.5)/(D3*1.5))</f>
        <v>-0.27536231884058154</v>
      </c>
      <c r="M3" s="5">
        <f t="shared" ref="M3:M16" si="2">IF(D3=0, 0, 100*(G3 - D3*2)/(D3*2))</f>
        <v>-0.91304347826087762</v>
      </c>
      <c r="N3" s="5">
        <f t="shared" ref="N3:N16" si="3">IF(D3=0, 0, 100*(H3 - D3*3.3)/(D3*3.3))</f>
        <v>-0.35902503293807342</v>
      </c>
      <c r="O3" s="5">
        <f t="shared" ref="O3:O16" si="4">IF(D3=0, 0, 100*(I3 - D3*4)/(D3*4))</f>
        <v>-0.77445652173913559</v>
      </c>
      <c r="P3" s="5">
        <f t="shared" ref="P3:P16" si="5">IF(D3=0, 0, 100*(J3 - D3*5)/(D3*5))</f>
        <v>-0.67173913043480027</v>
      </c>
      <c r="Q3" s="4" t="str">
        <f t="shared" ref="Q3:Q6" si="6"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>
        <v>45813</v>
      </c>
      <c r="B4" s="6" t="s">
        <v>137</v>
      </c>
      <c r="C4" s="6" t="s">
        <v>103</v>
      </c>
      <c r="D4" s="6">
        <v>0.92</v>
      </c>
      <c r="E4" s="6">
        <v>0.92190000000000005</v>
      </c>
      <c r="F4" s="6">
        <v>1.3765000000000001</v>
      </c>
      <c r="G4" s="6">
        <v>1.8245</v>
      </c>
      <c r="H4" s="1">
        <v>3.0261</v>
      </c>
      <c r="I4" s="6">
        <v>3.6555</v>
      </c>
      <c r="J4" s="6">
        <v>4.5705</v>
      </c>
      <c r="K4" s="5">
        <f t="shared" ref="K4:K16" si="7">IF(D4=0, 0, 100*(E4 - D4*1)/(D4*1))</f>
        <v>0.20652173913043617</v>
      </c>
      <c r="L4" s="5">
        <f t="shared" si="1"/>
        <v>-0.25362318840580134</v>
      </c>
      <c r="M4" s="5">
        <f t="shared" si="2"/>
        <v>-0.84239130434782983</v>
      </c>
      <c r="N4" s="5">
        <f>IF(D4=0, 0, 100*(H4 - D4*3.3)/(D4*3.3))</f>
        <v>-0.3260869565217398</v>
      </c>
      <c r="O4" s="5">
        <f t="shared" si="4"/>
        <v>-0.66576086956522251</v>
      </c>
      <c r="P4" s="5">
        <f t="shared" si="5"/>
        <v>-0.64130434782609835</v>
      </c>
      <c r="Q4" s="6" t="str">
        <f t="shared" si="6"/>
        <v>Yes</v>
      </c>
    </row>
    <row r="5" spans="1:17" x14ac:dyDescent="0.3">
      <c r="A5" s="16">
        <v>45824</v>
      </c>
      <c r="B5" s="6" t="s">
        <v>138</v>
      </c>
      <c r="C5" s="6" t="s">
        <v>98</v>
      </c>
      <c r="D5" s="6">
        <v>0.92</v>
      </c>
      <c r="E5" s="6">
        <v>0.92190000000000005</v>
      </c>
      <c r="F5" s="6">
        <v>1.3759999999999999</v>
      </c>
      <c r="G5" s="6">
        <v>1.8240000000000001</v>
      </c>
      <c r="H5" s="6">
        <v>3.0257000000000001</v>
      </c>
      <c r="I5" s="6">
        <v>3.6539999999999999</v>
      </c>
      <c r="J5" s="6">
        <v>4.5697999999999999</v>
      </c>
      <c r="K5" s="5">
        <f t="shared" si="7"/>
        <v>0.20652173913043617</v>
      </c>
      <c r="L5" s="5">
        <f t="shared" si="1"/>
        <v>-0.28985507246378445</v>
      </c>
      <c r="M5" s="5">
        <f t="shared" si="2"/>
        <v>-0.8695652173913051</v>
      </c>
      <c r="N5" s="5">
        <f>IF(D5=0, 0, 100*(H5 - D5*3.3)/(D5*3.3))</f>
        <v>-0.33926218708827327</v>
      </c>
      <c r="O5" s="5">
        <f t="shared" si="4"/>
        <v>-0.70652173913044136</v>
      </c>
      <c r="P5" s="5">
        <f t="shared" si="5"/>
        <v>-0.65652173913044931</v>
      </c>
      <c r="Q5" s="6" t="str">
        <f t="shared" si="6"/>
        <v>Yes</v>
      </c>
    </row>
    <row r="6" spans="1:17" x14ac:dyDescent="0.3">
      <c r="A6" s="16">
        <v>45863</v>
      </c>
      <c r="B6" s="6" t="s">
        <v>139</v>
      </c>
      <c r="C6" s="6" t="s">
        <v>103</v>
      </c>
      <c r="D6" s="6">
        <v>0.92</v>
      </c>
      <c r="E6" s="6">
        <v>0.92179999999999995</v>
      </c>
      <c r="F6" s="6">
        <v>1.3756999999999999</v>
      </c>
      <c r="G6" s="6">
        <v>1.8239000000000001</v>
      </c>
      <c r="H6" s="6">
        <v>3.0257999999999998</v>
      </c>
      <c r="I6" s="6">
        <v>3.6545000000000001</v>
      </c>
      <c r="J6" s="6">
        <v>4.5698999999999996</v>
      </c>
      <c r="K6" s="5">
        <f t="shared" si="7"/>
        <v>0.19565217391303399</v>
      </c>
      <c r="L6" s="5">
        <f t="shared" si="1"/>
        <v>-0.31159420289856465</v>
      </c>
      <c r="M6" s="5">
        <f t="shared" si="2"/>
        <v>-0.87500000000000011</v>
      </c>
      <c r="N6" s="5">
        <f t="shared" si="3"/>
        <v>-0.3359683794466472</v>
      </c>
      <c r="O6" s="5">
        <f t="shared" si="4"/>
        <v>-0.69293478260869779</v>
      </c>
      <c r="P6" s="5">
        <f t="shared" si="5"/>
        <v>-0.65434782608697606</v>
      </c>
      <c r="Q6" s="6" t="str">
        <f t="shared" si="6"/>
        <v>Yes</v>
      </c>
    </row>
    <row r="7" spans="1:17" x14ac:dyDescent="0.3">
      <c r="A7" s="16">
        <v>46155</v>
      </c>
      <c r="B7" s="6" t="s">
        <v>5</v>
      </c>
      <c r="C7" s="6" t="s">
        <v>135</v>
      </c>
      <c r="D7" s="6">
        <v>0.92</v>
      </c>
      <c r="E7" s="6">
        <v>0.9214</v>
      </c>
      <c r="F7" s="6">
        <v>1.3749</v>
      </c>
      <c r="G7" s="6">
        <v>1.8236000000000001</v>
      </c>
      <c r="H7" s="6">
        <v>3.0242</v>
      </c>
      <c r="I7" s="6">
        <v>3.6537000000000002</v>
      </c>
      <c r="J7" s="6">
        <v>4.5681000000000003</v>
      </c>
      <c r="K7" s="5">
        <f t="shared" si="7"/>
        <v>0.15217391304347355</v>
      </c>
      <c r="L7" s="5">
        <f t="shared" si="1"/>
        <v>-0.36956521739131187</v>
      </c>
      <c r="M7" s="5">
        <f t="shared" si="2"/>
        <v>-0.89130434782608525</v>
      </c>
      <c r="N7" s="5">
        <f t="shared" si="3"/>
        <v>-0.38866930171278102</v>
      </c>
      <c r="O7" s="5">
        <f t="shared" si="4"/>
        <v>-0.71467391304347794</v>
      </c>
      <c r="P7" s="5">
        <f t="shared" si="5"/>
        <v>-0.69347826086957087</v>
      </c>
      <c r="Q7" s="6" t="str">
        <f>IF(AND(K7&gt;=0.11,K7&lt;=0.27,L7&gt;=-0.38,L7&lt;=-0.22,M7&gt;=-0.92,M7&lt;=-0.82,N7&gt;=-0.4,N7&lt;=-0.3,O7&gt;=-0.79,O7&lt;=-0.64,P7&gt;=-0.76,P7&lt;=-0.61), "Yes", IF(AND(K7=0,L7=0,M7=0,N7=0,O7=0,P7=0), "Ready to test", "No"))</f>
        <v>Yes</v>
      </c>
    </row>
    <row r="8" spans="1:17" x14ac:dyDescent="0.3">
      <c r="A8" s="16">
        <v>46168</v>
      </c>
      <c r="B8" s="6" t="s">
        <v>27</v>
      </c>
      <c r="C8" s="6" t="s">
        <v>140</v>
      </c>
      <c r="D8" s="6">
        <v>0.92</v>
      </c>
      <c r="E8" s="6">
        <v>0.9214</v>
      </c>
      <c r="F8" s="6">
        <v>1.3752</v>
      </c>
      <c r="G8" s="6">
        <v>1.8233999999999999</v>
      </c>
      <c r="H8" s="6">
        <v>3.0247000000000002</v>
      </c>
      <c r="I8" s="6">
        <v>3.6534</v>
      </c>
      <c r="J8" s="6">
        <v>4.5678999999999998</v>
      </c>
      <c r="K8" s="5">
        <f t="shared" si="7"/>
        <v>0.15217391304347355</v>
      </c>
      <c r="L8" s="5">
        <f t="shared" si="1"/>
        <v>-0.34782608695653167</v>
      </c>
      <c r="M8" s="5">
        <f t="shared" si="2"/>
        <v>-0.90217391304348749</v>
      </c>
      <c r="N8" s="5">
        <f t="shared" si="3"/>
        <v>-0.37220026350460689</v>
      </c>
      <c r="O8" s="5">
        <f t="shared" si="4"/>
        <v>-0.72282608695652661</v>
      </c>
      <c r="P8" s="5">
        <f t="shared" si="5"/>
        <v>-0.69782608695653647</v>
      </c>
      <c r="Q8" s="6" t="str">
        <f t="shared" ref="Q8:Q16" si="8">IF(AND(K8&gt;=0.11,K8&lt;=0.27,L8&gt;=-0.38,L8&lt;=-0.22,M8&gt;=-0.92,M8&lt;=-0.82,N8&gt;=-0.4,N8&lt;=-0.3,O8&gt;=-0.79,O8&lt;=-0.64,P8&gt;=-0.76,P8&lt;=-0.61), "Yes", IF(AND(K8=0,L8=0,M8=0,N8=0,O8=0,P8=0), "Ready to test", "No"))</f>
        <v>Yes</v>
      </c>
    </row>
    <row r="9" spans="1:17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5">
        <f t="shared" si="7"/>
        <v>0</v>
      </c>
      <c r="L9" s="5">
        <f t="shared" si="1"/>
        <v>0</v>
      </c>
      <c r="M9" s="5">
        <f t="shared" si="2"/>
        <v>0</v>
      </c>
      <c r="N9" s="5">
        <f t="shared" si="3"/>
        <v>0</v>
      </c>
      <c r="O9" s="5">
        <f t="shared" si="4"/>
        <v>0</v>
      </c>
      <c r="P9" s="5">
        <f t="shared" si="5"/>
        <v>0</v>
      </c>
      <c r="Q9" s="6" t="str">
        <f t="shared" si="8"/>
        <v>Ready to test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5">
        <f t="shared" si="7"/>
        <v>0</v>
      </c>
      <c r="L10" s="5">
        <f t="shared" si="1"/>
        <v>0</v>
      </c>
      <c r="M10" s="5">
        <f t="shared" si="2"/>
        <v>0</v>
      </c>
      <c r="N10" s="5">
        <f t="shared" si="3"/>
        <v>0</v>
      </c>
      <c r="O10" s="5">
        <f t="shared" si="4"/>
        <v>0</v>
      </c>
      <c r="P10" s="5">
        <f t="shared" si="5"/>
        <v>0</v>
      </c>
      <c r="Q10" s="6" t="str">
        <f t="shared" si="8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5">
        <f t="shared" si="7"/>
        <v>0</v>
      </c>
      <c r="L11" s="5">
        <f t="shared" si="1"/>
        <v>0</v>
      </c>
      <c r="M11" s="5">
        <f t="shared" si="2"/>
        <v>0</v>
      </c>
      <c r="N11" s="5">
        <f t="shared" si="3"/>
        <v>0</v>
      </c>
      <c r="O11" s="5">
        <f t="shared" si="4"/>
        <v>0</v>
      </c>
      <c r="P11" s="5">
        <f t="shared" si="5"/>
        <v>0</v>
      </c>
      <c r="Q11" s="6" t="str">
        <f t="shared" si="8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5">
        <f t="shared" si="7"/>
        <v>0</v>
      </c>
      <c r="L12" s="5">
        <f t="shared" si="1"/>
        <v>0</v>
      </c>
      <c r="M12" s="5">
        <f t="shared" si="2"/>
        <v>0</v>
      </c>
      <c r="N12" s="5">
        <f t="shared" si="3"/>
        <v>0</v>
      </c>
      <c r="O12" s="5">
        <f t="shared" si="4"/>
        <v>0</v>
      </c>
      <c r="P12" s="5">
        <f>IF(D12=0, 0, 100*(J12 - D12*5)/(D12*5))</f>
        <v>0</v>
      </c>
      <c r="Q12" s="6" t="str">
        <f t="shared" si="8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5">
        <f t="shared" si="7"/>
        <v>0</v>
      </c>
      <c r="L13" s="5">
        <f t="shared" si="1"/>
        <v>0</v>
      </c>
      <c r="M13" s="5">
        <f t="shared" si="2"/>
        <v>0</v>
      </c>
      <c r="N13" s="5">
        <f t="shared" si="3"/>
        <v>0</v>
      </c>
      <c r="O13" s="5">
        <f t="shared" si="4"/>
        <v>0</v>
      </c>
      <c r="P13" s="5">
        <f t="shared" si="5"/>
        <v>0</v>
      </c>
      <c r="Q13" s="6" t="str">
        <f t="shared" si="8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5">
        <f t="shared" si="7"/>
        <v>0</v>
      </c>
      <c r="L14" s="5">
        <f t="shared" si="1"/>
        <v>0</v>
      </c>
      <c r="M14" s="5">
        <f t="shared" si="2"/>
        <v>0</v>
      </c>
      <c r="N14" s="5">
        <f t="shared" si="3"/>
        <v>0</v>
      </c>
      <c r="O14" s="5">
        <f t="shared" si="4"/>
        <v>0</v>
      </c>
      <c r="P14" s="5">
        <f t="shared" si="5"/>
        <v>0</v>
      </c>
      <c r="Q14" s="6" t="str">
        <f t="shared" si="8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5">
        <f t="shared" si="7"/>
        <v>0</v>
      </c>
      <c r="L15" s="5">
        <f t="shared" si="1"/>
        <v>0</v>
      </c>
      <c r="M15" s="5">
        <f t="shared" si="2"/>
        <v>0</v>
      </c>
      <c r="N15" s="5">
        <f t="shared" si="3"/>
        <v>0</v>
      </c>
      <c r="O15" s="5">
        <f t="shared" si="4"/>
        <v>0</v>
      </c>
      <c r="P15" s="5">
        <f t="shared" si="5"/>
        <v>0</v>
      </c>
      <c r="Q15" s="6" t="str">
        <f t="shared" si="8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5">
        <f t="shared" si="7"/>
        <v>0</v>
      </c>
      <c r="L16" s="5">
        <f t="shared" si="1"/>
        <v>0</v>
      </c>
      <c r="M16" s="5">
        <f t="shared" si="2"/>
        <v>0</v>
      </c>
      <c r="N16" s="5">
        <f t="shared" si="3"/>
        <v>0</v>
      </c>
      <c r="O16" s="5">
        <f t="shared" si="4"/>
        <v>0</v>
      </c>
      <c r="P16" s="5">
        <f t="shared" si="5"/>
        <v>0</v>
      </c>
      <c r="Q16" s="6" t="str">
        <f t="shared" si="8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16">
    <cfRule type="expression" dxfId="158" priority="1">
      <formula>Q3="Alert"</formula>
    </cfRule>
    <cfRule type="expression" dxfId="157" priority="2">
      <formula>Q3="Yes"</formula>
    </cfRule>
    <cfRule type="expression" dxfId="156" priority="3">
      <formula>Q3="No"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16"/>
  <sheetViews>
    <sheetView workbookViewId="0">
      <selection activeCell="K4" sqref="K4:P4"/>
    </sheetView>
  </sheetViews>
  <sheetFormatPr defaultRowHeight="14.4" x14ac:dyDescent="0.3"/>
  <cols>
    <col min="1" max="1" width="10.44140625" bestFit="1" customWidth="1"/>
    <col min="2" max="2" width="9.5546875" bestFit="1" customWidth="1"/>
    <col min="3" max="3" width="12" bestFit="1" customWidth="1"/>
    <col min="4" max="4" width="17.44140625" bestFit="1" customWidth="1"/>
    <col min="11" max="11" width="10.44140625" bestFit="1" customWidth="1"/>
    <col min="12" max="16" width="11" bestFit="1" customWidth="1"/>
    <col min="17" max="17" width="12.6640625" bestFit="1" customWidth="1"/>
  </cols>
  <sheetData>
    <row r="1" spans="1:17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4.7" customHeight="1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2" t="s">
        <v>94</v>
      </c>
      <c r="O2" s="2" t="s">
        <v>95</v>
      </c>
      <c r="P2" s="2" t="s">
        <v>96</v>
      </c>
      <c r="Q2" s="67"/>
    </row>
    <row r="3" spans="1:17" x14ac:dyDescent="0.3">
      <c r="A3" s="7">
        <v>45798</v>
      </c>
      <c r="B3" s="4" t="s">
        <v>29</v>
      </c>
      <c r="C3" s="4" t="s">
        <v>100</v>
      </c>
      <c r="D3" s="5">
        <v>0.92</v>
      </c>
      <c r="E3" s="1">
        <v>0.92210000000000003</v>
      </c>
      <c r="F3" s="9">
        <v>1.3763000000000001</v>
      </c>
      <c r="G3" s="4">
        <v>1.8242</v>
      </c>
      <c r="H3" s="10">
        <v>3.0261999999999998</v>
      </c>
      <c r="I3" s="10">
        <v>3.6554000000000002</v>
      </c>
      <c r="J3" s="11">
        <v>4.5690999999999997</v>
      </c>
      <c r="K3" s="5">
        <f t="shared" ref="K3:K16" si="0">IF(D3=0, 0, 100*(E3 - D3*1)/(D3*1))</f>
        <v>0.22826086956521638</v>
      </c>
      <c r="L3" s="5">
        <f t="shared" ref="L3:L16" si="1">IF(D3=0, 0, 100*(F3 - D3*1.5)/(D3*1.5))</f>
        <v>-0.26811594202898814</v>
      </c>
      <c r="M3" s="5">
        <f>IF(D3=0, 0, 100*(G3 - D3*2)/(D3*2))</f>
        <v>-0.85869565217391497</v>
      </c>
      <c r="N3" s="5">
        <f t="shared" ref="N3:N16" si="2">IF(D3=0, 0, 100*(H3 - D3*3.3)/(D3*3.3))</f>
        <v>-0.32279314888011373</v>
      </c>
      <c r="O3" s="5">
        <f t="shared" ref="O3:O16" si="3">IF(D3=0, 0, 100*(I3 - D3*4)/(D3*4))</f>
        <v>-0.66847826086956397</v>
      </c>
      <c r="P3" s="5">
        <f t="shared" ref="P3:P16" si="4">IF(D3=0, 0, 100*(J3 - D3*5)/(D3*5))</f>
        <v>-0.67173913043480027</v>
      </c>
      <c r="Q3" s="4" t="str">
        <f t="shared" ref="Q3" si="5"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6" t="s">
        <v>124</v>
      </c>
      <c r="B4" s="6"/>
      <c r="C4" s="6" t="s">
        <v>125</v>
      </c>
      <c r="D4" s="6">
        <v>0.92</v>
      </c>
      <c r="E4" s="6">
        <v>0.92290000000000005</v>
      </c>
      <c r="F4" s="6">
        <v>1.3763000000000001</v>
      </c>
      <c r="G4" s="6">
        <v>1.8238000000000001</v>
      </c>
      <c r="H4" s="6">
        <v>3.0255999999999998</v>
      </c>
      <c r="I4" s="6">
        <v>3.6549</v>
      </c>
      <c r="J4" s="6">
        <v>4.569</v>
      </c>
      <c r="K4" s="15">
        <f t="shared" si="0"/>
        <v>0.31521739130434928</v>
      </c>
      <c r="L4" s="15">
        <f t="shared" si="1"/>
        <v>-0.26811594202898814</v>
      </c>
      <c r="M4" s="15">
        <f>IF(D4=0, 0, 100*(G4 - D4*2)/(D4*2))</f>
        <v>-0.88043478260869523</v>
      </c>
      <c r="N4" s="15">
        <f>IF(D4=0, 0, 100*(H4 - D4*3.3)/(D4*3.3))</f>
        <v>-0.34255599472991394</v>
      </c>
      <c r="O4" s="15">
        <f t="shared" si="3"/>
        <v>-0.68206521739130765</v>
      </c>
      <c r="P4" s="15">
        <f t="shared" si="4"/>
        <v>-0.67391304347827341</v>
      </c>
      <c r="Q4" s="6" t="str">
        <f>IF(AND(K4&gt;=0.11,K4&lt;=0.33,L4&gt;=-0.36,L4&lt;=-0.22,M4&gt;=-0.92,M4&lt;=-0.82,N4&gt;=-0.4,N4&lt;=-0.3,O4&gt;=-0.79,O4&lt;=-0.64,P4&gt;=-0.76,P4&lt;=-0.61), "Yes", IF(AND(K4=0,L4=0,M4=0,N4=0,O4=0,P4=0), "Ready to test", "No"))</f>
        <v>Yes</v>
      </c>
    </row>
    <row r="5" spans="1:17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>
        <f t="shared" si="0"/>
        <v>0</v>
      </c>
      <c r="L5" s="6">
        <f t="shared" si="1"/>
        <v>0</v>
      </c>
      <c r="M5" s="6">
        <f t="shared" ref="M5:M16" si="6">IF(D5=0, 0, 100*(G5 - D5*2)/(D5*2))</f>
        <v>0</v>
      </c>
      <c r="N5" s="6">
        <f t="shared" si="2"/>
        <v>0</v>
      </c>
      <c r="O5" s="6">
        <f t="shared" si="3"/>
        <v>0</v>
      </c>
      <c r="P5" s="6">
        <f t="shared" si="4"/>
        <v>0</v>
      </c>
      <c r="Q5" s="6" t="str">
        <f t="shared" ref="Q5:Q16" si="7">IF(AND(K5&gt;=0.11,K5&lt;=0.33,L5&gt;=-0.36,L5&lt;=-0.22,M5&gt;=-0.92,M5&lt;=-0.82,N5&gt;=-0.4,N5&lt;=-0.3,O5&gt;=-0.79,O5&lt;=-0.64,P5&gt;=-0.76,P5&lt;=-0.61), "Yes", IF(AND(K5=0,L5=0,M5=0,N5=0,O5=0,P5=0), "Ready to test", "No"))</f>
        <v>Ready to test</v>
      </c>
    </row>
    <row r="6" spans="1:17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>
        <f t="shared" si="0"/>
        <v>0</v>
      </c>
      <c r="L6" s="6">
        <f t="shared" si="1"/>
        <v>0</v>
      </c>
      <c r="M6" s="6">
        <f t="shared" si="6"/>
        <v>0</v>
      </c>
      <c r="N6" s="6">
        <f t="shared" si="2"/>
        <v>0</v>
      </c>
      <c r="O6" s="6">
        <f t="shared" si="3"/>
        <v>0</v>
      </c>
      <c r="P6" s="6">
        <f t="shared" si="4"/>
        <v>0</v>
      </c>
      <c r="Q6" s="6" t="str">
        <f t="shared" si="7"/>
        <v>Ready to test</v>
      </c>
    </row>
    <row r="7" spans="1:17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>
        <f t="shared" si="0"/>
        <v>0</v>
      </c>
      <c r="L7" s="6">
        <f t="shared" si="1"/>
        <v>0</v>
      </c>
      <c r="M7" s="6">
        <f t="shared" si="6"/>
        <v>0</v>
      </c>
      <c r="N7" s="6">
        <f t="shared" si="2"/>
        <v>0</v>
      </c>
      <c r="O7" s="6">
        <f t="shared" si="3"/>
        <v>0</v>
      </c>
      <c r="P7" s="6">
        <f t="shared" si="4"/>
        <v>0</v>
      </c>
      <c r="Q7" s="6" t="str">
        <f t="shared" si="7"/>
        <v>Ready to test</v>
      </c>
    </row>
    <row r="8" spans="1:17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>
        <f t="shared" si="0"/>
        <v>0</v>
      </c>
      <c r="L8" s="6">
        <f t="shared" si="1"/>
        <v>0</v>
      </c>
      <c r="M8" s="6">
        <f t="shared" si="6"/>
        <v>0</v>
      </c>
      <c r="N8" s="6">
        <f t="shared" si="2"/>
        <v>0</v>
      </c>
      <c r="O8" s="6">
        <f t="shared" si="3"/>
        <v>0</v>
      </c>
      <c r="P8" s="6">
        <f t="shared" si="4"/>
        <v>0</v>
      </c>
      <c r="Q8" s="6" t="str">
        <f t="shared" si="7"/>
        <v>Ready to test</v>
      </c>
    </row>
    <row r="9" spans="1:17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>
        <f t="shared" si="0"/>
        <v>0</v>
      </c>
      <c r="L9" s="6">
        <f t="shared" si="1"/>
        <v>0</v>
      </c>
      <c r="M9" s="6">
        <f t="shared" si="6"/>
        <v>0</v>
      </c>
      <c r="N9" s="6">
        <f t="shared" si="2"/>
        <v>0</v>
      </c>
      <c r="O9" s="6">
        <f t="shared" si="3"/>
        <v>0</v>
      </c>
      <c r="P9" s="6">
        <f t="shared" si="4"/>
        <v>0</v>
      </c>
      <c r="Q9" s="6" t="str">
        <f t="shared" si="7"/>
        <v>Ready to test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>
        <f t="shared" si="0"/>
        <v>0</v>
      </c>
      <c r="L10" s="6">
        <f t="shared" si="1"/>
        <v>0</v>
      </c>
      <c r="M10" s="6">
        <f t="shared" si="6"/>
        <v>0</v>
      </c>
      <c r="N10" s="6">
        <f t="shared" si="2"/>
        <v>0</v>
      </c>
      <c r="O10" s="6">
        <f t="shared" si="3"/>
        <v>0</v>
      </c>
      <c r="P10" s="6">
        <f t="shared" si="4"/>
        <v>0</v>
      </c>
      <c r="Q10" s="6" t="str">
        <f t="shared" si="7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>
        <f t="shared" si="0"/>
        <v>0</v>
      </c>
      <c r="L11" s="6">
        <f t="shared" si="1"/>
        <v>0</v>
      </c>
      <c r="M11" s="6">
        <f t="shared" si="6"/>
        <v>0</v>
      </c>
      <c r="N11" s="6">
        <f t="shared" si="2"/>
        <v>0</v>
      </c>
      <c r="O11" s="6">
        <f t="shared" si="3"/>
        <v>0</v>
      </c>
      <c r="P11" s="6">
        <f t="shared" si="4"/>
        <v>0</v>
      </c>
      <c r="Q11" s="6" t="str">
        <f t="shared" si="7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>
        <f t="shared" si="0"/>
        <v>0</v>
      </c>
      <c r="L12" s="6">
        <f t="shared" si="1"/>
        <v>0</v>
      </c>
      <c r="M12" s="6">
        <f t="shared" si="6"/>
        <v>0</v>
      </c>
      <c r="N12" s="6">
        <f t="shared" si="2"/>
        <v>0</v>
      </c>
      <c r="O12" s="6">
        <f t="shared" si="3"/>
        <v>0</v>
      </c>
      <c r="P12" s="6">
        <f t="shared" si="4"/>
        <v>0</v>
      </c>
      <c r="Q12" s="6" t="str">
        <f t="shared" si="7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>
        <f t="shared" si="0"/>
        <v>0</v>
      </c>
      <c r="L13" s="6">
        <f t="shared" si="1"/>
        <v>0</v>
      </c>
      <c r="M13" s="6">
        <f t="shared" si="6"/>
        <v>0</v>
      </c>
      <c r="N13" s="6">
        <f t="shared" si="2"/>
        <v>0</v>
      </c>
      <c r="O13" s="6">
        <f t="shared" si="3"/>
        <v>0</v>
      </c>
      <c r="P13" s="6">
        <f t="shared" si="4"/>
        <v>0</v>
      </c>
      <c r="Q13" s="6" t="str">
        <f t="shared" si="7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>
        <f t="shared" si="0"/>
        <v>0</v>
      </c>
      <c r="L14" s="6">
        <f t="shared" si="1"/>
        <v>0</v>
      </c>
      <c r="M14" s="6">
        <f t="shared" si="6"/>
        <v>0</v>
      </c>
      <c r="N14" s="6">
        <f t="shared" si="2"/>
        <v>0</v>
      </c>
      <c r="O14" s="6">
        <f t="shared" si="3"/>
        <v>0</v>
      </c>
      <c r="P14" s="6">
        <f t="shared" si="4"/>
        <v>0</v>
      </c>
      <c r="Q14" s="6" t="str">
        <f t="shared" si="7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>
        <f t="shared" si="0"/>
        <v>0</v>
      </c>
      <c r="L15" s="6">
        <f t="shared" si="1"/>
        <v>0</v>
      </c>
      <c r="M15" s="6">
        <f t="shared" si="6"/>
        <v>0</v>
      </c>
      <c r="N15" s="6">
        <f t="shared" si="2"/>
        <v>0</v>
      </c>
      <c r="O15" s="6">
        <f t="shared" si="3"/>
        <v>0</v>
      </c>
      <c r="P15" s="6">
        <f t="shared" si="4"/>
        <v>0</v>
      </c>
      <c r="Q15" s="6" t="str">
        <f t="shared" si="7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>
        <f t="shared" si="0"/>
        <v>0</v>
      </c>
      <c r="L16" s="6">
        <f t="shared" si="1"/>
        <v>0</v>
      </c>
      <c r="M16" s="6">
        <f t="shared" si="6"/>
        <v>0</v>
      </c>
      <c r="N16" s="6">
        <f t="shared" si="2"/>
        <v>0</v>
      </c>
      <c r="O16" s="6">
        <f t="shared" si="3"/>
        <v>0</v>
      </c>
      <c r="P16" s="6">
        <f t="shared" si="4"/>
        <v>0</v>
      </c>
      <c r="Q16" s="6" t="str">
        <f t="shared" si="7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16">
    <cfRule type="expression" dxfId="155" priority="1">
      <formula>Q3="Alert"</formula>
    </cfRule>
    <cfRule type="expression" dxfId="154" priority="2">
      <formula>Q3="Yes"</formula>
    </cfRule>
    <cfRule type="expression" dxfId="153" priority="3">
      <formula>Q3="No"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16"/>
  <sheetViews>
    <sheetView workbookViewId="0">
      <selection activeCell="S9" sqref="S9"/>
    </sheetView>
  </sheetViews>
  <sheetFormatPr defaultRowHeight="14.4" x14ac:dyDescent="0.3"/>
  <cols>
    <col min="1" max="1" width="10.44140625" bestFit="1" customWidth="1"/>
    <col min="6" max="6" width="10.88671875" bestFit="1" customWidth="1"/>
    <col min="11" max="11" width="10.33203125" bestFit="1" customWidth="1"/>
    <col min="12" max="16" width="10.6640625" bestFit="1" customWidth="1"/>
    <col min="17" max="17" width="11.109375" bestFit="1" customWidth="1"/>
  </cols>
  <sheetData>
    <row r="1" spans="1:17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4.7" customHeight="1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2" t="s">
        <v>94</v>
      </c>
      <c r="O2" s="2" t="s">
        <v>95</v>
      </c>
      <c r="P2" s="2" t="s">
        <v>96</v>
      </c>
      <c r="Q2" s="67"/>
    </row>
    <row r="3" spans="1:17" x14ac:dyDescent="0.3">
      <c r="A3" s="7">
        <v>45798</v>
      </c>
      <c r="B3" s="4" t="s">
        <v>141</v>
      </c>
      <c r="C3" s="4" t="s">
        <v>100</v>
      </c>
      <c r="D3" s="5">
        <v>0.92</v>
      </c>
      <c r="E3" s="1">
        <v>0.92220000000000002</v>
      </c>
      <c r="F3" s="9">
        <v>1.3764000000000001</v>
      </c>
      <c r="G3" s="4">
        <v>1.8245</v>
      </c>
      <c r="H3" s="10">
        <v>3.0259</v>
      </c>
      <c r="I3" s="10">
        <v>3.6547000000000001</v>
      </c>
      <c r="J3" s="11">
        <v>4.5693999999999999</v>
      </c>
      <c r="K3" s="5">
        <f t="shared" ref="K3:K16" si="0">IF(D3=0, 0, 100*(E3 - D3*1)/(D3*1))</f>
        <v>0.23913043478260648</v>
      </c>
      <c r="L3" s="5">
        <f t="shared" ref="L3:L16" si="1">IF(D3=0, 0, 100*(F3 - D3*1.5)/(D3*1.5))</f>
        <v>-0.26086956521739474</v>
      </c>
      <c r="M3" s="5">
        <f t="shared" ref="M3:M16" si="2">IF(D3=0, 0, 100*(G3 - D3*2)/(D3*2))</f>
        <v>-0.84239130434782983</v>
      </c>
      <c r="N3" s="5">
        <f t="shared" ref="N3:N16" si="3">IF(D3=0, 0, 100*(H3 - D3*3.3)/(D3*3.3))</f>
        <v>-0.33267457180500654</v>
      </c>
      <c r="O3" s="5">
        <f t="shared" ref="O3:O16" si="4">IF(D3=0, 0, 100*(I3 - D3*4)/(D3*4))</f>
        <v>-0.68750000000000266</v>
      </c>
      <c r="P3" s="5">
        <f t="shared" ref="P3:P16" si="5">IF(D3=0, 0, 100*(J3 - D3*5)/(D3*5))</f>
        <v>-0.66521739130436142</v>
      </c>
      <c r="Q3" s="4" t="str">
        <f t="shared" ref="Q3:Q16" si="6"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7">
        <v>46069</v>
      </c>
      <c r="B4" s="6"/>
      <c r="C4" s="6" t="s">
        <v>125</v>
      </c>
      <c r="D4" s="6">
        <v>0.92</v>
      </c>
      <c r="E4" s="6">
        <v>0.92249999999999999</v>
      </c>
      <c r="F4" s="6">
        <v>1.3767</v>
      </c>
      <c r="G4" s="6">
        <v>1.8242</v>
      </c>
      <c r="H4" s="6">
        <v>3.0253999999999999</v>
      </c>
      <c r="I4" s="6">
        <v>3.6549999999999998</v>
      </c>
      <c r="J4" s="6">
        <v>4.5689000000000002</v>
      </c>
      <c r="K4" s="15">
        <f t="shared" si="0"/>
        <v>0.27173913043477682</v>
      </c>
      <c r="L4" s="15">
        <f>IF(D4=0, 0, 100*(F4 - D4*1.5)/(D4*1.5))</f>
        <v>-0.23913043478261453</v>
      </c>
      <c r="M4" s="15">
        <f>IF(D4=0, 0, 100*(G4 - D4*2)/(D4*2))</f>
        <v>-0.85869565217391497</v>
      </c>
      <c r="N4" s="15">
        <f>IF(D4=0, 0, 100*(H4 - D4*3.3)/(D4*3.3))</f>
        <v>-0.34914361001318067</v>
      </c>
      <c r="O4" s="15">
        <f>IF(D4=0, 0, 100*(I4 - D4*4)/(D4*4))</f>
        <v>-0.6793478260869662</v>
      </c>
      <c r="P4" s="15">
        <f>IF(D4=0, 0, 100*(J4 - D4*5)/(D4*5))</f>
        <v>-0.67608695652174666</v>
      </c>
      <c r="Q4" s="6" t="str">
        <f>IF(AND(K4&gt;=0.11,K4&lt;=0.28,L4&gt;=-0.36,L4&lt;=-0.22,M4&gt;=-0.92,M4&lt;=-0.82,N4&gt;=-0.4,N4&lt;=-0.3,O4&gt;=-0.79,O4&lt;=-0.64,P4&gt;=-0.76,P4&lt;=-0.61), "Yes", IF(AND(K4=0,L4=0,M4=0,N4=0,O4=0,P4=0), "Ready to test", "No"))</f>
        <v>Yes</v>
      </c>
    </row>
    <row r="5" spans="1:17" x14ac:dyDescent="0.3">
      <c r="A5" s="7">
        <v>46078</v>
      </c>
      <c r="B5" s="6" t="s">
        <v>5</v>
      </c>
      <c r="C5" s="6" t="s">
        <v>142</v>
      </c>
      <c r="D5" s="6">
        <v>0.92</v>
      </c>
      <c r="E5" s="6">
        <v>0.92210000000000003</v>
      </c>
      <c r="F5" s="6">
        <v>1.3764000000000001</v>
      </c>
      <c r="G5" s="6">
        <v>1.8241000000000001</v>
      </c>
      <c r="H5" s="6">
        <v>3.0253999999999999</v>
      </c>
      <c r="I5" s="6">
        <v>3.653</v>
      </c>
      <c r="J5" s="6">
        <v>4.5677000000000003</v>
      </c>
      <c r="K5" s="15">
        <f t="shared" si="0"/>
        <v>0.22826086956521638</v>
      </c>
      <c r="L5" s="15">
        <f t="shared" si="1"/>
        <v>-0.26086956521739474</v>
      </c>
      <c r="M5" s="15">
        <f t="shared" si="2"/>
        <v>-0.86413043478260998</v>
      </c>
      <c r="N5" s="15">
        <f t="shared" si="3"/>
        <v>-0.34914361001318067</v>
      </c>
      <c r="O5" s="15">
        <f t="shared" si="4"/>
        <v>-0.73369565217391663</v>
      </c>
      <c r="P5" s="15">
        <f>IF(D5=0, 0, 100*(J5 - D5*5)/(D5*5))</f>
        <v>-0.70217391304348287</v>
      </c>
      <c r="Q5" s="6" t="str">
        <f t="shared" si="6"/>
        <v>Yes</v>
      </c>
    </row>
    <row r="6" spans="1:17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>
        <f t="shared" si="0"/>
        <v>0</v>
      </c>
      <c r="L6" s="6">
        <f t="shared" si="1"/>
        <v>0</v>
      </c>
      <c r="M6" s="6">
        <f t="shared" si="2"/>
        <v>0</v>
      </c>
      <c r="N6" s="6">
        <f t="shared" si="3"/>
        <v>0</v>
      </c>
      <c r="O6" s="6">
        <f t="shared" si="4"/>
        <v>0</v>
      </c>
      <c r="P6" s="6">
        <f>IF(D6=0, 0, 100*(J6 - D6*5)/(D6*5))</f>
        <v>0</v>
      </c>
      <c r="Q6" s="6" t="str">
        <f t="shared" si="6"/>
        <v>Ready to test</v>
      </c>
    </row>
    <row r="7" spans="1:17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>
        <f t="shared" si="0"/>
        <v>0</v>
      </c>
      <c r="L7" s="6">
        <f t="shared" si="1"/>
        <v>0</v>
      </c>
      <c r="M7" s="6">
        <f t="shared" si="2"/>
        <v>0</v>
      </c>
      <c r="N7" s="6">
        <f t="shared" si="3"/>
        <v>0</v>
      </c>
      <c r="O7" s="6">
        <f t="shared" si="4"/>
        <v>0</v>
      </c>
      <c r="P7" s="6">
        <f t="shared" si="5"/>
        <v>0</v>
      </c>
      <c r="Q7" s="6" t="str">
        <f t="shared" si="6"/>
        <v>Ready to test</v>
      </c>
    </row>
    <row r="8" spans="1:17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>
        <f t="shared" si="0"/>
        <v>0</v>
      </c>
      <c r="L8" s="6">
        <f t="shared" si="1"/>
        <v>0</v>
      </c>
      <c r="M8" s="6">
        <f t="shared" si="2"/>
        <v>0</v>
      </c>
      <c r="N8" s="6">
        <f t="shared" si="3"/>
        <v>0</v>
      </c>
      <c r="O8" s="6">
        <f t="shared" si="4"/>
        <v>0</v>
      </c>
      <c r="P8" s="6">
        <f t="shared" si="5"/>
        <v>0</v>
      </c>
      <c r="Q8" s="6" t="str">
        <f t="shared" si="6"/>
        <v>Ready to test</v>
      </c>
    </row>
    <row r="9" spans="1:17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>
        <f t="shared" si="0"/>
        <v>0</v>
      </c>
      <c r="L9" s="6">
        <f t="shared" si="1"/>
        <v>0</v>
      </c>
      <c r="M9" s="6">
        <f t="shared" si="2"/>
        <v>0</v>
      </c>
      <c r="N9" s="6">
        <f t="shared" si="3"/>
        <v>0</v>
      </c>
      <c r="O9" s="6">
        <f t="shared" si="4"/>
        <v>0</v>
      </c>
      <c r="P9" s="6">
        <f t="shared" si="5"/>
        <v>0</v>
      </c>
      <c r="Q9" s="6" t="str">
        <f t="shared" si="6"/>
        <v>Ready to test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>
        <f t="shared" si="0"/>
        <v>0</v>
      </c>
      <c r="L10" s="6">
        <f t="shared" si="1"/>
        <v>0</v>
      </c>
      <c r="M10" s="6">
        <f t="shared" si="2"/>
        <v>0</v>
      </c>
      <c r="N10" s="6">
        <f t="shared" si="3"/>
        <v>0</v>
      </c>
      <c r="O10" s="6">
        <f t="shared" si="4"/>
        <v>0</v>
      </c>
      <c r="P10" s="6">
        <f t="shared" si="5"/>
        <v>0</v>
      </c>
      <c r="Q10" s="6" t="str">
        <f t="shared" si="6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>
        <f t="shared" si="0"/>
        <v>0</v>
      </c>
      <c r="L11" s="6">
        <f t="shared" si="1"/>
        <v>0</v>
      </c>
      <c r="M11" s="6">
        <f t="shared" si="2"/>
        <v>0</v>
      </c>
      <c r="N11" s="6">
        <f t="shared" si="3"/>
        <v>0</v>
      </c>
      <c r="O11" s="6">
        <f t="shared" si="4"/>
        <v>0</v>
      </c>
      <c r="P11" s="6">
        <f t="shared" si="5"/>
        <v>0</v>
      </c>
      <c r="Q11" s="6" t="str">
        <f t="shared" si="6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>
        <f t="shared" si="0"/>
        <v>0</v>
      </c>
      <c r="L12" s="6">
        <f t="shared" si="1"/>
        <v>0</v>
      </c>
      <c r="M12" s="6">
        <f t="shared" si="2"/>
        <v>0</v>
      </c>
      <c r="N12" s="6">
        <f t="shared" si="3"/>
        <v>0</v>
      </c>
      <c r="O12" s="6">
        <f t="shared" si="4"/>
        <v>0</v>
      </c>
      <c r="P12" s="6">
        <f t="shared" si="5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>
        <f t="shared" si="0"/>
        <v>0</v>
      </c>
      <c r="L13" s="6">
        <f t="shared" si="1"/>
        <v>0</v>
      </c>
      <c r="M13" s="6">
        <f t="shared" si="2"/>
        <v>0</v>
      </c>
      <c r="N13" s="6">
        <f t="shared" si="3"/>
        <v>0</v>
      </c>
      <c r="O13" s="6">
        <f t="shared" si="4"/>
        <v>0</v>
      </c>
      <c r="P13" s="6">
        <f t="shared" si="5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>
        <f t="shared" si="0"/>
        <v>0</v>
      </c>
      <c r="L14" s="6">
        <f t="shared" si="1"/>
        <v>0</v>
      </c>
      <c r="M14" s="6">
        <f t="shared" si="2"/>
        <v>0</v>
      </c>
      <c r="N14" s="6">
        <f t="shared" si="3"/>
        <v>0</v>
      </c>
      <c r="O14" s="6">
        <f t="shared" si="4"/>
        <v>0</v>
      </c>
      <c r="P14" s="6">
        <f t="shared" si="5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>
        <f t="shared" si="0"/>
        <v>0</v>
      </c>
      <c r="L15" s="6">
        <f t="shared" si="1"/>
        <v>0</v>
      </c>
      <c r="M15" s="6">
        <f t="shared" si="2"/>
        <v>0</v>
      </c>
      <c r="N15" s="6">
        <f t="shared" si="3"/>
        <v>0</v>
      </c>
      <c r="O15" s="6">
        <f t="shared" si="4"/>
        <v>0</v>
      </c>
      <c r="P15" s="6">
        <f t="shared" si="5"/>
        <v>0</v>
      </c>
      <c r="Q15" s="6" t="str">
        <f t="shared" si="6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>
        <f t="shared" si="0"/>
        <v>0</v>
      </c>
      <c r="L16" s="6">
        <f t="shared" si="1"/>
        <v>0</v>
      </c>
      <c r="M16" s="6">
        <f t="shared" si="2"/>
        <v>0</v>
      </c>
      <c r="N16" s="6">
        <f t="shared" si="3"/>
        <v>0</v>
      </c>
      <c r="O16" s="6">
        <f t="shared" si="4"/>
        <v>0</v>
      </c>
      <c r="P16" s="6">
        <f t="shared" si="5"/>
        <v>0</v>
      </c>
      <c r="Q16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6">
    <cfRule type="expression" dxfId="152" priority="1">
      <formula>Q3="Alert"</formula>
    </cfRule>
    <cfRule type="expression" dxfId="151" priority="2">
      <formula>Q3="Yes"</formula>
    </cfRule>
    <cfRule type="expression" dxfId="150" priority="3">
      <formula>Q3="No"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25"/>
  <sheetViews>
    <sheetView workbookViewId="0">
      <selection activeCell="Q5" sqref="Q5"/>
    </sheetView>
  </sheetViews>
  <sheetFormatPr defaultRowHeight="14.4" x14ac:dyDescent="0.3"/>
  <cols>
    <col min="1" max="1" width="11.109375" bestFit="1" customWidth="1"/>
    <col min="2" max="2" width="9.5546875" bestFit="1" customWidth="1"/>
    <col min="3" max="3" width="12" bestFit="1" customWidth="1"/>
    <col min="4" max="4" width="17.44140625" bestFit="1" customWidth="1"/>
    <col min="10" max="10" width="13.5546875" customWidth="1"/>
    <col min="11" max="11" width="11" customWidth="1"/>
    <col min="12" max="12" width="10.6640625" bestFit="1" customWidth="1"/>
    <col min="13" max="16" width="10.33203125" bestFit="1" customWidth="1"/>
    <col min="17" max="17" width="11.109375" bestFit="1" customWidth="1"/>
  </cols>
  <sheetData>
    <row r="1" spans="1:18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  <c r="R1" s="1"/>
    </row>
    <row r="2" spans="1:18" ht="14.7" customHeight="1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2" t="s">
        <v>94</v>
      </c>
      <c r="O2" s="2" t="s">
        <v>95</v>
      </c>
      <c r="P2" s="2" t="s">
        <v>96</v>
      </c>
      <c r="Q2" s="67"/>
      <c r="R2" s="1"/>
    </row>
    <row r="3" spans="1:18" x14ac:dyDescent="0.3">
      <c r="A3" s="7">
        <v>45798</v>
      </c>
      <c r="B3" s="4" t="s">
        <v>143</v>
      </c>
      <c r="C3" s="4" t="s">
        <v>100</v>
      </c>
      <c r="D3" s="5">
        <v>0.92</v>
      </c>
      <c r="E3" s="1">
        <v>0.92200000000000004</v>
      </c>
      <c r="F3" s="9">
        <v>1.3761000000000001</v>
      </c>
      <c r="G3" s="4">
        <v>1.8240000000000001</v>
      </c>
      <c r="H3" s="10">
        <v>3.0255999999999998</v>
      </c>
      <c r="I3" s="10">
        <v>3.6539999999999999</v>
      </c>
      <c r="J3" s="11">
        <v>4.5655999999999999</v>
      </c>
      <c r="K3" s="5">
        <f t="shared" ref="K3:K16" si="0">IF(D3=0, 0, 100*(E3 - D3*1)/(D3*1))</f>
        <v>0.21739130434782628</v>
      </c>
      <c r="L3" s="5">
        <f t="shared" ref="L3:L16" si="1">IF(D3=0, 0, 100*(F3 - D3*1.5)/(D3*1.5))</f>
        <v>-0.28260869565217495</v>
      </c>
      <c r="M3" s="5">
        <f t="shared" ref="M3:M16" si="2">IF(D3=0, 0, 100*(G3 - D3*2)/(D3*2))</f>
        <v>-0.8695652173913051</v>
      </c>
      <c r="N3" s="5">
        <f t="shared" ref="N3:N16" si="3">IF(D3=0, 0, 100*(H3 - D3*3.3)/(D3*3.3))</f>
        <v>-0.34255599472991394</v>
      </c>
      <c r="O3" s="5">
        <f t="shared" ref="O3:O16" si="4">IF(D3=0, 0, 100*(I3 - D3*4)/(D3*4))</f>
        <v>-0.70652173913044136</v>
      </c>
      <c r="P3" s="5">
        <f t="shared" ref="P3:P16" si="5">IF(D3=0, 0, 100*(J3 - D3*5)/(D3*5))</f>
        <v>-0.74782608695653585</v>
      </c>
      <c r="Q3" s="4" t="str">
        <f t="shared" ref="Q3" si="6">IF(AND(K3&gt;=0.11,K3&lt;=0.27,L3&gt;=-0.36,L3&lt;=-0.22,M3&gt;=-0.92,M3&lt;=-0.82,N3&gt;=-0.4,N3&lt;=-0.3,O3&gt;=-0.79,O3&lt;=-0.64,P3&gt;=-0.76,P3&lt;=-0.61), "Yes", IF(AND(K3=0,L3=0,M3=0,N3=0,O3=0,P3=0), "Ready to test", "No"))</f>
        <v>Yes</v>
      </c>
      <c r="R3" s="1"/>
    </row>
    <row r="4" spans="1:18" x14ac:dyDescent="0.3">
      <c r="A4" s="16">
        <v>45952</v>
      </c>
      <c r="B4" s="6" t="s">
        <v>5</v>
      </c>
      <c r="C4" s="6" t="s">
        <v>118</v>
      </c>
      <c r="D4" s="6">
        <v>0.92</v>
      </c>
      <c r="E4" s="6">
        <v>0.92210000000000003</v>
      </c>
      <c r="F4" s="6">
        <v>1.3762000000000001</v>
      </c>
      <c r="G4" s="6">
        <v>1.8241000000000001</v>
      </c>
      <c r="H4" s="6">
        <v>3.0255999999999998</v>
      </c>
      <c r="I4" s="6">
        <v>3.6541000000000001</v>
      </c>
      <c r="J4" s="6">
        <v>4.5692000000000004</v>
      </c>
      <c r="K4" s="15">
        <f t="shared" si="0"/>
        <v>0.22826086956521638</v>
      </c>
      <c r="L4" s="15">
        <f t="shared" si="1"/>
        <v>-0.27536231884058154</v>
      </c>
      <c r="M4" s="15">
        <f t="shared" si="2"/>
        <v>-0.86413043478260998</v>
      </c>
      <c r="N4" s="15">
        <f t="shared" si="3"/>
        <v>-0.34255599472991394</v>
      </c>
      <c r="O4" s="15">
        <f t="shared" si="4"/>
        <v>-0.70380434782608781</v>
      </c>
      <c r="P4" s="15">
        <f t="shared" si="5"/>
        <v>-0.66956521739130781</v>
      </c>
      <c r="Q4" s="6" t="str">
        <f>IF(AND(K4&gt;=0.11,K4&lt;=0.27,L4&gt;=-0.36,L4&lt;=-0.22,M4&gt;=-0.92,M4&lt;=-0.82,N4&gt;=-0.4,N4&lt;=-0.3,O4&gt;=-0.79,O4&lt;=-0.64,P4&gt;=-0.76,P4&lt;=-0.61), "Yes", IF(AND(K4=0,L4=0,M4=0,N4=0,O4=0,P4=0), "Ready to test", "No"))</f>
        <v>Yes</v>
      </c>
      <c r="R4" s="1"/>
    </row>
    <row r="5" spans="1:18" x14ac:dyDescent="0.3">
      <c r="A5" s="16">
        <v>46034</v>
      </c>
      <c r="B5" s="6" t="s">
        <v>5</v>
      </c>
      <c r="C5" s="6" t="s">
        <v>115</v>
      </c>
      <c r="D5" s="6">
        <v>0.92</v>
      </c>
      <c r="E5" s="6">
        <v>0.9214</v>
      </c>
      <c r="F5" s="6">
        <v>1.3755999999999999</v>
      </c>
      <c r="G5" s="6">
        <v>1.8230999999999999</v>
      </c>
      <c r="H5" s="6">
        <v>3.0236999999999998</v>
      </c>
      <c r="I5" s="6">
        <v>3.6528</v>
      </c>
      <c r="J5" s="6">
        <v>4.5663</v>
      </c>
      <c r="K5" s="15">
        <f>IF(D5=0, 0, 100*(E5 - D5*1)/(D5*1))</f>
        <v>0.15217391304347355</v>
      </c>
      <c r="L5" s="15">
        <f t="shared" ref="L5" si="7">IF(D5=0, 0, 100*(F5 - D5*1.5)/(D5*1.5))</f>
        <v>-0.31884057971015806</v>
      </c>
      <c r="M5" s="15">
        <f t="shared" ref="M5" si="8">IF(D5=0, 0, 100*(G5 - D5*2)/(D5*2))</f>
        <v>-0.91847826086957263</v>
      </c>
      <c r="N5" s="15">
        <f t="shared" ref="N5" si="9">IF(D5=0, 0, 100*(H5 - D5*3.3)/(D5*3.3))</f>
        <v>-0.40513833992095521</v>
      </c>
      <c r="O5" s="15">
        <f>IF(D5=0, 0, 100*(I5 - D5*4)/(D5*4))</f>
        <v>-0.73913043478261176</v>
      </c>
      <c r="P5" s="15">
        <f t="shared" ref="P5" si="10">IF(D5=0, 0, 100*(J5 - D5*5)/(D5*5))</f>
        <v>-0.73260869565218489</v>
      </c>
      <c r="Q5" s="6" t="str">
        <f>IF(AND(K5&gt;=0.11,K5&lt;=0.27,L5&gt;=-0.36,L5&lt;=-0.22,M5&gt;=-0.93,M5&lt;=-0.82,N5&gt;=-0.42,N5&lt;=-0.3,O5&gt;=-0.79,O5&lt;=-0.64,P5&gt;=-0.76,P5&lt;=-0.61), "Yes", IF(AND(K5=0,L5=0,M5=0,N5=0,O5=0,P5=0), "Ready to test", "No"))</f>
        <v>Yes</v>
      </c>
      <c r="R5" s="1"/>
    </row>
    <row r="6" spans="1:18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>
        <f t="shared" si="0"/>
        <v>0</v>
      </c>
      <c r="L6" s="6">
        <f t="shared" si="1"/>
        <v>0</v>
      </c>
      <c r="M6" s="6">
        <f t="shared" si="2"/>
        <v>0</v>
      </c>
      <c r="N6" s="6">
        <f t="shared" si="3"/>
        <v>0</v>
      </c>
      <c r="O6" s="6">
        <f t="shared" si="4"/>
        <v>0</v>
      </c>
      <c r="P6" s="6">
        <f t="shared" si="5"/>
        <v>0</v>
      </c>
      <c r="Q6" s="6" t="str">
        <f t="shared" ref="Q6:Q16" si="11">IF(AND(K6&gt;=0.11,K6&lt;=0.27,L6&gt;=-0.36,L6&lt;=-0.22,M6&gt;=-0.93,M6&lt;=-0.82,N6&gt;=-0.42,N6&lt;=-0.3,O6&gt;=-0.79,O6&lt;=-0.64,P6&gt;=-0.76,P6&lt;=-0.61), "Yes", IF(AND(K6=0,L6=0,M6=0,N6=0,O6=0,P6=0), "Ready to test", "No"))</f>
        <v>Ready to test</v>
      </c>
      <c r="R6" s="1"/>
    </row>
    <row r="7" spans="1:18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>
        <f t="shared" si="0"/>
        <v>0</v>
      </c>
      <c r="L7" s="6">
        <f t="shared" si="1"/>
        <v>0</v>
      </c>
      <c r="M7" s="6">
        <f t="shared" si="2"/>
        <v>0</v>
      </c>
      <c r="N7" s="6">
        <f t="shared" si="3"/>
        <v>0</v>
      </c>
      <c r="O7" s="6">
        <f t="shared" si="4"/>
        <v>0</v>
      </c>
      <c r="P7" s="6">
        <f t="shared" si="5"/>
        <v>0</v>
      </c>
      <c r="Q7" s="6" t="str">
        <f t="shared" si="11"/>
        <v>Ready to test</v>
      </c>
      <c r="R7" s="1"/>
    </row>
    <row r="8" spans="1:18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>
        <f t="shared" si="0"/>
        <v>0</v>
      </c>
      <c r="L8" s="6">
        <f t="shared" si="1"/>
        <v>0</v>
      </c>
      <c r="M8" s="6">
        <f t="shared" si="2"/>
        <v>0</v>
      </c>
      <c r="N8" s="6">
        <f t="shared" si="3"/>
        <v>0</v>
      </c>
      <c r="O8" s="6">
        <f t="shared" si="4"/>
        <v>0</v>
      </c>
      <c r="P8" s="6">
        <f t="shared" si="5"/>
        <v>0</v>
      </c>
      <c r="Q8" s="6" t="str">
        <f t="shared" si="11"/>
        <v>Ready to test</v>
      </c>
      <c r="R8" s="1"/>
    </row>
    <row r="9" spans="1:18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>
        <f t="shared" si="0"/>
        <v>0</v>
      </c>
      <c r="L9" s="6">
        <f t="shared" si="1"/>
        <v>0</v>
      </c>
      <c r="M9" s="6">
        <f t="shared" si="2"/>
        <v>0</v>
      </c>
      <c r="N9" s="6">
        <f t="shared" si="3"/>
        <v>0</v>
      </c>
      <c r="O9" s="6">
        <f t="shared" si="4"/>
        <v>0</v>
      </c>
      <c r="P9" s="6">
        <f t="shared" si="5"/>
        <v>0</v>
      </c>
      <c r="Q9" s="6" t="str">
        <f t="shared" si="11"/>
        <v>Ready to test</v>
      </c>
      <c r="R9" s="1"/>
    </row>
    <row r="10" spans="1:18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>
        <f t="shared" si="0"/>
        <v>0</v>
      </c>
      <c r="L10" s="6">
        <f t="shared" si="1"/>
        <v>0</v>
      </c>
      <c r="M10" s="6">
        <f t="shared" si="2"/>
        <v>0</v>
      </c>
      <c r="N10" s="6">
        <f t="shared" si="3"/>
        <v>0</v>
      </c>
      <c r="O10" s="6">
        <f t="shared" si="4"/>
        <v>0</v>
      </c>
      <c r="P10" s="6">
        <f t="shared" si="5"/>
        <v>0</v>
      </c>
      <c r="Q10" s="6" t="str">
        <f t="shared" si="11"/>
        <v>Ready to test</v>
      </c>
      <c r="R10" s="1"/>
    </row>
    <row r="11" spans="1:18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>
        <f t="shared" si="0"/>
        <v>0</v>
      </c>
      <c r="L11" s="6">
        <f t="shared" si="1"/>
        <v>0</v>
      </c>
      <c r="M11" s="6">
        <f t="shared" si="2"/>
        <v>0</v>
      </c>
      <c r="N11" s="6">
        <f t="shared" si="3"/>
        <v>0</v>
      </c>
      <c r="O11" s="6">
        <f t="shared" si="4"/>
        <v>0</v>
      </c>
      <c r="P11" s="6">
        <f t="shared" si="5"/>
        <v>0</v>
      </c>
      <c r="Q11" s="6" t="str">
        <f t="shared" si="11"/>
        <v>Ready to test</v>
      </c>
      <c r="R11" s="1"/>
    </row>
    <row r="12" spans="1:18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>
        <f t="shared" si="0"/>
        <v>0</v>
      </c>
      <c r="L12" s="6">
        <f t="shared" si="1"/>
        <v>0</v>
      </c>
      <c r="M12" s="6">
        <f t="shared" si="2"/>
        <v>0</v>
      </c>
      <c r="N12" s="6">
        <f t="shared" si="3"/>
        <v>0</v>
      </c>
      <c r="O12" s="6">
        <f t="shared" si="4"/>
        <v>0</v>
      </c>
      <c r="P12" s="6">
        <f t="shared" si="5"/>
        <v>0</v>
      </c>
      <c r="Q12" s="6" t="str">
        <f t="shared" si="11"/>
        <v>Ready to test</v>
      </c>
      <c r="R12" s="1"/>
    </row>
    <row r="13" spans="1:18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>
        <f t="shared" si="0"/>
        <v>0</v>
      </c>
      <c r="L13" s="6">
        <f t="shared" si="1"/>
        <v>0</v>
      </c>
      <c r="M13" s="6">
        <f t="shared" si="2"/>
        <v>0</v>
      </c>
      <c r="N13" s="6">
        <f t="shared" si="3"/>
        <v>0</v>
      </c>
      <c r="O13" s="6">
        <f t="shared" si="4"/>
        <v>0</v>
      </c>
      <c r="P13" s="6">
        <f t="shared" si="5"/>
        <v>0</v>
      </c>
      <c r="Q13" s="6" t="str">
        <f t="shared" si="11"/>
        <v>Ready to test</v>
      </c>
      <c r="R13" s="1"/>
    </row>
    <row r="14" spans="1:18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>
        <f t="shared" si="0"/>
        <v>0</v>
      </c>
      <c r="L14" s="6">
        <f t="shared" si="1"/>
        <v>0</v>
      </c>
      <c r="M14" s="6">
        <f t="shared" si="2"/>
        <v>0</v>
      </c>
      <c r="N14" s="6">
        <f t="shared" si="3"/>
        <v>0</v>
      </c>
      <c r="O14" s="6">
        <f t="shared" si="4"/>
        <v>0</v>
      </c>
      <c r="P14" s="6">
        <f t="shared" si="5"/>
        <v>0</v>
      </c>
      <c r="Q14" s="6" t="str">
        <f t="shared" si="11"/>
        <v>Ready to test</v>
      </c>
      <c r="R14" s="1"/>
    </row>
    <row r="15" spans="1:18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>
        <f t="shared" si="0"/>
        <v>0</v>
      </c>
      <c r="L15" s="6">
        <f t="shared" si="1"/>
        <v>0</v>
      </c>
      <c r="M15" s="6">
        <f t="shared" si="2"/>
        <v>0</v>
      </c>
      <c r="N15" s="6">
        <f t="shared" si="3"/>
        <v>0</v>
      </c>
      <c r="O15" s="6">
        <f t="shared" si="4"/>
        <v>0</v>
      </c>
      <c r="P15" s="6">
        <f t="shared" si="5"/>
        <v>0</v>
      </c>
      <c r="Q15" s="6" t="str">
        <f t="shared" si="11"/>
        <v>Ready to test</v>
      </c>
      <c r="R15" s="1"/>
    </row>
    <row r="16" spans="1:18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>
        <f t="shared" si="0"/>
        <v>0</v>
      </c>
      <c r="L16" s="6">
        <f t="shared" si="1"/>
        <v>0</v>
      </c>
      <c r="M16" s="6">
        <f t="shared" si="2"/>
        <v>0</v>
      </c>
      <c r="N16" s="6">
        <f t="shared" si="3"/>
        <v>0</v>
      </c>
      <c r="O16" s="6">
        <f t="shared" si="4"/>
        <v>0</v>
      </c>
      <c r="P16" s="6">
        <f t="shared" si="5"/>
        <v>0</v>
      </c>
      <c r="Q16" s="6" t="str">
        <f t="shared" si="11"/>
        <v>Ready to test</v>
      </c>
      <c r="R16" s="1"/>
    </row>
    <row r="17" spans="1:18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16">
    <cfRule type="expression" dxfId="149" priority="1">
      <formula>Q3="Alert"</formula>
    </cfRule>
    <cfRule type="expression" dxfId="148" priority="2">
      <formula>Q3="Yes"</formula>
    </cfRule>
    <cfRule type="expression" dxfId="147" priority="3">
      <formula>Q3="No"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27"/>
  <sheetViews>
    <sheetView topLeftCell="D1" zoomScale="85" zoomScaleNormal="85" workbookViewId="0">
      <selection activeCell="K8" sqref="K8:P8"/>
    </sheetView>
  </sheetViews>
  <sheetFormatPr defaultColWidth="18.33203125" defaultRowHeight="14.4" x14ac:dyDescent="0.3"/>
  <cols>
    <col min="1" max="2" width="18.33203125" style="1" customWidth="1"/>
    <col min="3" max="4" width="18.33203125" style="1"/>
    <col min="5" max="5" width="11" style="1" customWidth="1"/>
    <col min="6" max="6" width="12" style="1" customWidth="1"/>
    <col min="7" max="7" width="10.44140625" style="1" customWidth="1"/>
    <col min="8" max="8" width="12.5546875" style="1" customWidth="1"/>
    <col min="9" max="9" width="11" style="1" customWidth="1"/>
    <col min="10" max="10" width="10.5546875" style="1" customWidth="1"/>
    <col min="11" max="11" width="12.44140625" style="1" customWidth="1"/>
    <col min="12" max="12" width="13.44140625" style="1" customWidth="1"/>
    <col min="13" max="13" width="12.44140625" style="1" customWidth="1"/>
    <col min="14" max="14" width="11.5546875" style="1" customWidth="1"/>
    <col min="15" max="15" width="12" style="1" customWidth="1"/>
    <col min="16" max="16" width="9" style="1" customWidth="1"/>
    <col min="17" max="16384" width="18.33203125" style="1"/>
  </cols>
  <sheetData>
    <row r="1" spans="1:17" ht="28.5" customHeight="1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4.7" customHeight="1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2" t="s">
        <v>94</v>
      </c>
      <c r="O2" s="2" t="s">
        <v>95</v>
      </c>
      <c r="P2" s="2" t="s">
        <v>96</v>
      </c>
      <c r="Q2" s="67"/>
    </row>
    <row r="3" spans="1:17" x14ac:dyDescent="0.3">
      <c r="A3" s="7">
        <v>45798</v>
      </c>
      <c r="B3" s="4" t="s">
        <v>144</v>
      </c>
      <c r="C3" s="4" t="s">
        <v>100</v>
      </c>
      <c r="D3" s="5">
        <v>0.92</v>
      </c>
      <c r="E3" s="1">
        <v>0.92169999999999996</v>
      </c>
      <c r="F3" s="9">
        <v>1.3755999999999999</v>
      </c>
      <c r="G3" s="4">
        <v>1.8238000000000001</v>
      </c>
      <c r="H3" s="10">
        <v>3.0247000000000002</v>
      </c>
      <c r="I3" s="10">
        <v>3.6534</v>
      </c>
      <c r="J3" s="11">
        <v>4.5688000000000004</v>
      </c>
      <c r="K3" s="5">
        <f t="shared" ref="K3:K16" si="0">IF(D3=0, 0, 100*(E3 - D3*1)/(D3*1))</f>
        <v>0.18478260869564389</v>
      </c>
      <c r="L3" s="5">
        <f t="shared" ref="L3:L16" si="1">IF(D3=0, 0, 100*(F3 - D3*1.5)/(D3*1.5))</f>
        <v>-0.31884057971015806</v>
      </c>
      <c r="M3" s="5">
        <f t="shared" ref="M3:M16" si="2">IF(D3=0, 0, 100*(G3 - D3*2)/(D3*2))</f>
        <v>-0.88043478260869523</v>
      </c>
      <c r="N3" s="5">
        <f t="shared" ref="N3:N16" si="3">IF(D3=0, 0, 100*(H3 - D3*3.3)/(D3*3.3))</f>
        <v>-0.37220026350460689</v>
      </c>
      <c r="O3" s="5">
        <f t="shared" ref="O3:O16" si="4">IF(D3=0, 0, 100*(I3 - D3*4)/(D3*4))</f>
        <v>-0.72282608695652661</v>
      </c>
      <c r="P3" s="5">
        <f t="shared" ref="P3:P16" si="5">IF(D3=0, 0, 100*(J3 - D3*5)/(D3*5))</f>
        <v>-0.6782608695652198</v>
      </c>
      <c r="Q3" s="4" t="str">
        <f t="shared" ref="Q3:Q7" si="6"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>
        <v>45824</v>
      </c>
      <c r="B4" s="6" t="s">
        <v>145</v>
      </c>
      <c r="C4" s="6" t="s">
        <v>98</v>
      </c>
      <c r="D4" s="6">
        <v>0.92</v>
      </c>
      <c r="E4" s="6">
        <v>0.92179999999999995</v>
      </c>
      <c r="F4" s="6">
        <v>1.3757999999999999</v>
      </c>
      <c r="G4" s="6">
        <v>1.8237000000000001</v>
      </c>
      <c r="H4" s="6">
        <v>3.0251000000000001</v>
      </c>
      <c r="I4" s="6">
        <v>3.6536</v>
      </c>
      <c r="J4" s="6">
        <v>4.5688000000000004</v>
      </c>
      <c r="K4" s="15">
        <f t="shared" si="0"/>
        <v>0.19565217391303399</v>
      </c>
      <c r="L4" s="15">
        <f t="shared" si="1"/>
        <v>-0.30434782608697125</v>
      </c>
      <c r="M4" s="15">
        <f t="shared" si="2"/>
        <v>-0.88586956521739024</v>
      </c>
      <c r="N4" s="15">
        <f t="shared" si="3"/>
        <v>-0.35902503293807342</v>
      </c>
      <c r="O4" s="15">
        <f t="shared" si="4"/>
        <v>-0.71739130434783149</v>
      </c>
      <c r="P4" s="15">
        <f t="shared" si="5"/>
        <v>-0.6782608695652198</v>
      </c>
      <c r="Q4" s="6" t="str">
        <f t="shared" si="6"/>
        <v>Yes</v>
      </c>
    </row>
    <row r="5" spans="1:17" x14ac:dyDescent="0.3">
      <c r="A5" s="16">
        <v>45863</v>
      </c>
      <c r="B5" s="6" t="s">
        <v>146</v>
      </c>
      <c r="C5" s="6" t="s">
        <v>103</v>
      </c>
      <c r="D5" s="6">
        <v>0.92</v>
      </c>
      <c r="E5" s="6">
        <v>0.92159999999999997</v>
      </c>
      <c r="F5" s="6">
        <v>1.3758999999999999</v>
      </c>
      <c r="G5" s="6">
        <v>1.8239000000000001</v>
      </c>
      <c r="H5" s="6">
        <v>3.0253000000000001</v>
      </c>
      <c r="I5" s="6">
        <v>3.6537000000000002</v>
      </c>
      <c r="J5" s="17">
        <v>4.5688000000000004</v>
      </c>
      <c r="K5" s="15">
        <f t="shared" si="0"/>
        <v>0.17391304347825379</v>
      </c>
      <c r="L5" s="15">
        <f t="shared" si="1"/>
        <v>-0.29710144927537785</v>
      </c>
      <c r="M5" s="15">
        <f t="shared" si="2"/>
        <v>-0.87500000000000011</v>
      </c>
      <c r="N5" s="15">
        <f t="shared" si="3"/>
        <v>-0.35243741765480668</v>
      </c>
      <c r="O5" s="15">
        <f t="shared" si="4"/>
        <v>-0.71467391304347794</v>
      </c>
      <c r="P5" s="15">
        <f t="shared" si="5"/>
        <v>-0.6782608695652198</v>
      </c>
      <c r="Q5" s="6" t="str">
        <f t="shared" si="6"/>
        <v>Yes</v>
      </c>
    </row>
    <row r="6" spans="1:17" x14ac:dyDescent="0.3">
      <c r="A6" s="16">
        <v>45916</v>
      </c>
      <c r="B6" s="6" t="s">
        <v>119</v>
      </c>
      <c r="C6" s="6" t="s">
        <v>147</v>
      </c>
      <c r="D6" s="6">
        <v>0.92</v>
      </c>
      <c r="E6" s="6">
        <v>0.92120000000000002</v>
      </c>
      <c r="F6" s="6">
        <v>1.3757999999999999</v>
      </c>
      <c r="G6" s="6">
        <v>1.8237000000000001</v>
      </c>
      <c r="H6" s="6">
        <v>3.0255000000000001</v>
      </c>
      <c r="I6" s="6">
        <v>3.6549</v>
      </c>
      <c r="J6" s="6">
        <v>4.5692000000000004</v>
      </c>
      <c r="K6" s="15">
        <f t="shared" si="0"/>
        <v>0.13043478260869334</v>
      </c>
      <c r="L6" s="15">
        <f t="shared" si="1"/>
        <v>-0.30434782608697125</v>
      </c>
      <c r="M6" s="15">
        <f t="shared" si="2"/>
        <v>-0.88586956521739024</v>
      </c>
      <c r="N6" s="15">
        <f t="shared" si="3"/>
        <v>-0.34584980237153995</v>
      </c>
      <c r="O6" s="15">
        <f t="shared" si="4"/>
        <v>-0.68206521739130765</v>
      </c>
      <c r="P6" s="15">
        <f t="shared" si="5"/>
        <v>-0.66956521739130781</v>
      </c>
      <c r="Q6" s="6" t="str">
        <f t="shared" si="6"/>
        <v>Yes</v>
      </c>
    </row>
    <row r="7" spans="1:17" x14ac:dyDescent="0.3">
      <c r="A7" s="16">
        <v>45952</v>
      </c>
      <c r="B7" s="6" t="s">
        <v>5</v>
      </c>
      <c r="C7" s="6" t="s">
        <v>118</v>
      </c>
      <c r="D7" s="6">
        <v>0.92</v>
      </c>
      <c r="E7" s="6">
        <v>0.92159999999999997</v>
      </c>
      <c r="F7" s="6">
        <v>1.3756999999999999</v>
      </c>
      <c r="G7" s="6">
        <v>1.8236000000000001</v>
      </c>
      <c r="H7" s="6">
        <v>3.0251000000000001</v>
      </c>
      <c r="I7" s="6">
        <v>3.6533000000000002</v>
      </c>
      <c r="J7" s="6">
        <v>4.5682</v>
      </c>
      <c r="K7" s="15">
        <f t="shared" si="0"/>
        <v>0.17391304347825379</v>
      </c>
      <c r="L7" s="15">
        <f t="shared" si="1"/>
        <v>-0.31159420289856465</v>
      </c>
      <c r="M7" s="15">
        <f t="shared" si="2"/>
        <v>-0.89130434782608525</v>
      </c>
      <c r="N7" s="15">
        <f t="shared" si="3"/>
        <v>-0.35902503293807342</v>
      </c>
      <c r="O7" s="15">
        <f t="shared" si="4"/>
        <v>-0.72554347826086807</v>
      </c>
      <c r="P7" s="15">
        <f t="shared" si="5"/>
        <v>-0.69130434782609762</v>
      </c>
      <c r="Q7" s="6" t="str">
        <f t="shared" si="6"/>
        <v>Yes</v>
      </c>
    </row>
    <row r="8" spans="1:17" x14ac:dyDescent="0.3">
      <c r="A8" s="16">
        <v>46069</v>
      </c>
      <c r="B8" s="6"/>
      <c r="C8" s="6" t="s">
        <v>125</v>
      </c>
      <c r="D8" s="6">
        <v>0.92</v>
      </c>
      <c r="E8" s="6">
        <v>0.92110000000000003</v>
      </c>
      <c r="F8" s="6">
        <v>1.3754999999999999</v>
      </c>
      <c r="G8" s="6">
        <v>1.823</v>
      </c>
      <c r="H8" s="6">
        <v>3.0238999999999998</v>
      </c>
      <c r="I8" s="6">
        <v>3.6533000000000002</v>
      </c>
      <c r="J8" s="6">
        <v>4.5667999999999997</v>
      </c>
      <c r="K8" s="15">
        <f>IF(D8=0, 0, 100*(E8 - D8*1)/(D8*1))</f>
        <v>0.11956521739130324</v>
      </c>
      <c r="L8" s="15">
        <f>IF(D8=0, 0, 100*(F8 - D8*1.5)/(D8*1.5))</f>
        <v>-0.32608695652175146</v>
      </c>
      <c r="M8" s="15">
        <f>IF(D8=0, 0, 100*(G8 - D8*2)/(D8*2))</f>
        <v>-0.92391304347826764</v>
      </c>
      <c r="N8" s="15">
        <f>IF(D8=0, 0, 100*(H8 - D8*3.3)/(D8*3.3))</f>
        <v>-0.39855072463768848</v>
      </c>
      <c r="O8" s="15">
        <f>IF(D8=0, 0, 100*(I8 - D8*4)/(D8*4))</f>
        <v>-0.72554347826086807</v>
      </c>
      <c r="P8" s="15">
        <f>IF(D8=0, 0, 100*(J8 - D8*5)/(D8*5))</f>
        <v>-0.72173913043479954</v>
      </c>
      <c r="Q8" s="6" t="str">
        <f>IF(AND(K8&gt;=0.11,K8&lt;=0.27,L8&gt;=-0.36,L8&lt;=-0.22,M8&gt;=-0.93,M8&lt;=-0.82,N8&gt;=-0.4,N8&lt;=-0.3,O8&gt;=-0.79,O8&lt;=-0.64,P8&gt;=-0.76,P8&lt;=-0.61), "Yes", IF(AND(K8=0,L8=0,M8=0,N8=0,O8=0,P8=0), "Ready to test", "No"))</f>
        <v>Yes</v>
      </c>
    </row>
    <row r="9" spans="1:17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>
        <f t="shared" si="0"/>
        <v>0</v>
      </c>
      <c r="L9" s="6">
        <f t="shared" si="1"/>
        <v>0</v>
      </c>
      <c r="M9" s="6">
        <f t="shared" si="2"/>
        <v>0</v>
      </c>
      <c r="N9" s="6">
        <f t="shared" si="3"/>
        <v>0</v>
      </c>
      <c r="O9" s="6">
        <f t="shared" si="4"/>
        <v>0</v>
      </c>
      <c r="P9" s="6">
        <f t="shared" si="5"/>
        <v>0</v>
      </c>
      <c r="Q9" s="6" t="str">
        <f t="shared" ref="Q9:Q16" si="7">IF(AND(K9&gt;=0.11,K9&lt;=0.27,L9&gt;=-0.36,L9&lt;=-0.22,M9&gt;=-0.93,M9&lt;=-0.82,N9&gt;=-0.4,N9&lt;=-0.3,O9&gt;=-0.79,O9&lt;=-0.64,P9&gt;=-0.76,P9&lt;=-0.61), "Yes", IF(AND(K9=0,L9=0,M9=0,N9=0,O9=0,P9=0), "Ready to test", "No"))</f>
        <v>Ready to test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>
        <f t="shared" si="0"/>
        <v>0</v>
      </c>
      <c r="L10" s="6">
        <f t="shared" si="1"/>
        <v>0</v>
      </c>
      <c r="M10" s="6">
        <f t="shared" si="2"/>
        <v>0</v>
      </c>
      <c r="N10" s="6">
        <f t="shared" si="3"/>
        <v>0</v>
      </c>
      <c r="O10" s="6">
        <f t="shared" si="4"/>
        <v>0</v>
      </c>
      <c r="P10" s="6">
        <f t="shared" si="5"/>
        <v>0</v>
      </c>
      <c r="Q10" s="6" t="str">
        <f>IF(AND(K10&gt;=0.11,K10&lt;=0.27,L10&gt;=-0.36,L10&lt;=-0.22,M10&gt;=-0.93,M10&lt;=-0.82,N10&gt;=-0.4,N10&lt;=-0.3,O10&gt;=-0.79,O10&lt;=-0.64,P10&gt;=-0.76,P10&lt;=-0.61), "Yes", IF(AND(K10=0,L10=0,M10=0,N10=0,O10=0,P10=0), "Ready to test", "No"))</f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>
        <f t="shared" si="0"/>
        <v>0</v>
      </c>
      <c r="L11" s="6">
        <f t="shared" si="1"/>
        <v>0</v>
      </c>
      <c r="M11" s="6">
        <f t="shared" si="2"/>
        <v>0</v>
      </c>
      <c r="N11" s="6">
        <f t="shared" si="3"/>
        <v>0</v>
      </c>
      <c r="O11" s="6">
        <f t="shared" si="4"/>
        <v>0</v>
      </c>
      <c r="P11" s="6">
        <f t="shared" si="5"/>
        <v>0</v>
      </c>
      <c r="Q11" s="6" t="str">
        <f t="shared" si="7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>
        <f t="shared" si="0"/>
        <v>0</v>
      </c>
      <c r="L12" s="6">
        <f t="shared" si="1"/>
        <v>0</v>
      </c>
      <c r="M12" s="6">
        <f t="shared" si="2"/>
        <v>0</v>
      </c>
      <c r="N12" s="6">
        <f t="shared" si="3"/>
        <v>0</v>
      </c>
      <c r="O12" s="6">
        <f t="shared" si="4"/>
        <v>0</v>
      </c>
      <c r="P12" s="6">
        <f t="shared" si="5"/>
        <v>0</v>
      </c>
      <c r="Q12" s="6" t="str">
        <f t="shared" si="7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>
        <f t="shared" si="0"/>
        <v>0</v>
      </c>
      <c r="L13" s="6">
        <f t="shared" si="1"/>
        <v>0</v>
      </c>
      <c r="M13" s="6">
        <f t="shared" si="2"/>
        <v>0</v>
      </c>
      <c r="N13" s="6">
        <f t="shared" si="3"/>
        <v>0</v>
      </c>
      <c r="O13" s="6">
        <f t="shared" si="4"/>
        <v>0</v>
      </c>
      <c r="P13" s="6">
        <f t="shared" si="5"/>
        <v>0</v>
      </c>
      <c r="Q13" s="6" t="str">
        <f t="shared" si="7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>
        <f t="shared" si="0"/>
        <v>0</v>
      </c>
      <c r="L14" s="6">
        <f t="shared" si="1"/>
        <v>0</v>
      </c>
      <c r="M14" s="6">
        <f t="shared" si="2"/>
        <v>0</v>
      </c>
      <c r="N14" s="6">
        <f t="shared" si="3"/>
        <v>0</v>
      </c>
      <c r="O14" s="6">
        <f t="shared" si="4"/>
        <v>0</v>
      </c>
      <c r="P14" s="6">
        <f t="shared" si="5"/>
        <v>0</v>
      </c>
      <c r="Q14" s="6" t="str">
        <f t="shared" si="7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>
        <f t="shared" si="0"/>
        <v>0</v>
      </c>
      <c r="L15" s="6">
        <f t="shared" si="1"/>
        <v>0</v>
      </c>
      <c r="M15" s="6">
        <f t="shared" si="2"/>
        <v>0</v>
      </c>
      <c r="N15" s="6">
        <f t="shared" si="3"/>
        <v>0</v>
      </c>
      <c r="O15" s="6">
        <f t="shared" si="4"/>
        <v>0</v>
      </c>
      <c r="P15" s="6">
        <f t="shared" si="5"/>
        <v>0</v>
      </c>
      <c r="Q15" s="6" t="str">
        <f t="shared" si="7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>
        <f t="shared" si="0"/>
        <v>0</v>
      </c>
      <c r="L16" s="6">
        <f t="shared" si="1"/>
        <v>0</v>
      </c>
      <c r="M16" s="6">
        <f t="shared" si="2"/>
        <v>0</v>
      </c>
      <c r="N16" s="6">
        <f t="shared" si="3"/>
        <v>0</v>
      </c>
      <c r="O16" s="6">
        <f t="shared" si="4"/>
        <v>0</v>
      </c>
      <c r="P16" s="6">
        <f t="shared" si="5"/>
        <v>0</v>
      </c>
      <c r="Q16" s="6" t="str">
        <f t="shared" si="7"/>
        <v>Ready to test</v>
      </c>
    </row>
    <row r="19" spans="10:16" x14ac:dyDescent="0.3">
      <c r="J19" s="13"/>
    </row>
    <row r="20" spans="10:16" x14ac:dyDescent="0.3">
      <c r="J20" s="13"/>
    </row>
    <row r="21" spans="10:16" x14ac:dyDescent="0.3">
      <c r="J21" s="13"/>
    </row>
    <row r="22" spans="10:16" x14ac:dyDescent="0.3">
      <c r="J22" s="13"/>
    </row>
    <row r="23" spans="10:16" x14ac:dyDescent="0.3">
      <c r="J23" s="13"/>
      <c r="K23" s="14"/>
      <c r="L23" s="14"/>
      <c r="M23" s="14"/>
      <c r="N23" s="14"/>
      <c r="O23" s="14"/>
      <c r="P23" s="14"/>
    </row>
    <row r="24" spans="10:16" x14ac:dyDescent="0.3">
      <c r="J24" s="13"/>
      <c r="K24" s="14"/>
      <c r="L24" s="14"/>
      <c r="M24" s="14"/>
      <c r="N24" s="14"/>
      <c r="O24" s="14"/>
      <c r="P24" s="14"/>
    </row>
    <row r="25" spans="10:16" x14ac:dyDescent="0.3">
      <c r="J25" s="13"/>
    </row>
    <row r="26" spans="10:16" x14ac:dyDescent="0.3">
      <c r="J26" s="13"/>
    </row>
    <row r="27" spans="10:16" x14ac:dyDescent="0.3">
      <c r="J27" s="13"/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16">
    <cfRule type="expression" dxfId="146" priority="1">
      <formula>Q3="Alert"</formula>
    </cfRule>
    <cfRule type="expression" dxfId="145" priority="2">
      <formula>Q3="Yes"</formula>
    </cfRule>
    <cfRule type="expression" dxfId="144" priority="3">
      <formula>Q3="No"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15"/>
  <sheetViews>
    <sheetView workbookViewId="0">
      <selection activeCell="M14" sqref="M14"/>
    </sheetView>
  </sheetViews>
  <sheetFormatPr defaultColWidth="9" defaultRowHeight="14.4" x14ac:dyDescent="0.3"/>
  <cols>
    <col min="1" max="1" width="11.109375" style="1" bestFit="1" customWidth="1"/>
    <col min="2" max="2" width="10.44140625" style="1" customWidth="1"/>
    <col min="3" max="3" width="11.33203125" style="1" customWidth="1"/>
    <col min="4" max="4" width="17.44140625" style="1" bestFit="1" customWidth="1"/>
    <col min="5" max="17" width="9" style="1"/>
    <col min="18" max="18" width="11.33203125" style="1" bestFit="1" customWidth="1"/>
    <col min="19" max="16384" width="9" style="1"/>
  </cols>
  <sheetData>
    <row r="1" spans="1:18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8" ht="14.7" customHeight="1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2" t="s">
        <v>94</v>
      </c>
      <c r="O2" s="2" t="s">
        <v>95</v>
      </c>
      <c r="P2" s="2" t="s">
        <v>96</v>
      </c>
      <c r="Q2" s="67"/>
    </row>
    <row r="3" spans="1:18" x14ac:dyDescent="0.3">
      <c r="A3" s="16">
        <v>45807</v>
      </c>
      <c r="B3" s="6" t="s">
        <v>5</v>
      </c>
      <c r="C3" s="6" t="s">
        <v>100</v>
      </c>
      <c r="D3" s="6">
        <v>0.92</v>
      </c>
      <c r="E3" s="6">
        <v>0.92190000000000005</v>
      </c>
      <c r="F3" s="17">
        <v>1.3763000000000001</v>
      </c>
      <c r="G3" s="17">
        <v>1.8239000000000001</v>
      </c>
      <c r="H3" s="6">
        <v>3.0247000000000002</v>
      </c>
      <c r="I3" s="6">
        <v>3.6545999999999998</v>
      </c>
      <c r="J3" s="6">
        <v>4.5686999999999998</v>
      </c>
      <c r="K3" s="5">
        <f t="shared" ref="K3:K15" si="0">IF(D3=0, 0, 100*(E3 - D3*1)/(D3*1))</f>
        <v>0.20652173913043617</v>
      </c>
      <c r="L3" s="5">
        <f>IF(D3=0, 0, 100*(F3 - D3*1.5)/(D3*1.5))</f>
        <v>-0.26811594202898814</v>
      </c>
      <c r="M3" s="5">
        <f t="shared" ref="M3:M15" si="1">IF(D3=0, 0, 100*(G3 - D3*2)/(D3*2))</f>
        <v>-0.87500000000000011</v>
      </c>
      <c r="N3" s="5">
        <f t="shared" ref="N3:N15" si="2">IF(D3=0, 0, 100*(H3 - D3*3.3)/(D3*3.3))</f>
        <v>-0.37220026350460689</v>
      </c>
      <c r="O3" s="5">
        <f t="shared" ref="O3:O15" si="3">IF(D3=0, 0, 100*(I3 - D3*4)/(D3*4))</f>
        <v>-0.69021739130435622</v>
      </c>
      <c r="P3" s="5">
        <f t="shared" ref="P3:P15" si="4">IF(D3=0, 0, 100*(J3 - D3*5)/(D3*5))</f>
        <v>-0.68043478260871237</v>
      </c>
      <c r="Q3" s="6" t="str">
        <f t="shared" ref="Q3:Q15" si="5">IF(AND(K3&gt;=0.11,K3&lt;=0.27,L3&gt;=-0.36,L3&lt;=-0.22,M3&gt;=-0.92,M3&lt;=-0.82,N3&gt;=-0.4,N3&lt;=-0.3,O3&gt;=-0.79,O3&lt;=-0.64,P3&gt;=-0.76,P3&lt;=-0.61), "Yes", IF(AND(K3=0,L3=0,M3=0,N3=0,O3=0,P3=0), "Ready to test", "No"))</f>
        <v>Yes</v>
      </c>
      <c r="R3" s="1" t="s">
        <v>7</v>
      </c>
    </row>
    <row r="4" spans="1:18" x14ac:dyDescent="0.3">
      <c r="A4" s="16">
        <v>45824</v>
      </c>
      <c r="B4" s="6" t="s">
        <v>148</v>
      </c>
      <c r="C4" s="6" t="s">
        <v>98</v>
      </c>
      <c r="D4" s="6">
        <v>0.92</v>
      </c>
      <c r="E4" s="6">
        <v>0.92169999999999996</v>
      </c>
      <c r="F4" s="6">
        <v>1.3757999999999999</v>
      </c>
      <c r="G4" s="6">
        <v>1.8236000000000001</v>
      </c>
      <c r="H4" s="6">
        <v>3.0245000000000002</v>
      </c>
      <c r="I4" s="6">
        <v>3.653</v>
      </c>
      <c r="J4" s="6">
        <v>4.5682999999999998</v>
      </c>
      <c r="K4" s="5">
        <f t="shared" si="0"/>
        <v>0.18478260869564389</v>
      </c>
      <c r="L4" s="5">
        <f>IF(D4=0, 0, 100*(F4 - D4*1.5)/(D4*1.5))</f>
        <v>-0.30434782608697125</v>
      </c>
      <c r="M4" s="5">
        <f t="shared" si="1"/>
        <v>-0.89130434782608525</v>
      </c>
      <c r="N4" s="5">
        <f t="shared" si="2"/>
        <v>-0.37878787878787362</v>
      </c>
      <c r="O4" s="5">
        <f t="shared" si="3"/>
        <v>-0.73369565217391663</v>
      </c>
      <c r="P4" s="5">
        <f t="shared" si="4"/>
        <v>-0.68913043478262448</v>
      </c>
      <c r="Q4" s="6" t="str">
        <f t="shared" si="5"/>
        <v>Yes</v>
      </c>
    </row>
    <row r="5" spans="1:18" x14ac:dyDescent="0.3">
      <c r="A5" s="16">
        <v>45862</v>
      </c>
      <c r="B5" s="6" t="s">
        <v>5</v>
      </c>
      <c r="C5" s="6" t="s">
        <v>103</v>
      </c>
      <c r="D5" s="6">
        <v>0.92</v>
      </c>
      <c r="E5" s="6">
        <v>0.9214</v>
      </c>
      <c r="F5" s="6">
        <v>1.3751</v>
      </c>
      <c r="G5" s="6">
        <v>1.8232999999999999</v>
      </c>
      <c r="H5" s="6">
        <v>3.0246</v>
      </c>
      <c r="I5" s="6">
        <v>3.6518999999999999</v>
      </c>
      <c r="J5" s="6">
        <v>4.5681000000000003</v>
      </c>
      <c r="K5" s="5">
        <f t="shared" si="0"/>
        <v>0.15217391304347355</v>
      </c>
      <c r="L5" s="5">
        <f>IF(D5=0, 0, 100*(F5 - D5*1.5)/(D5*1.5))</f>
        <v>-0.35507246376812507</v>
      </c>
      <c r="M5" s="5">
        <f t="shared" si="1"/>
        <v>-0.9076086956521825</v>
      </c>
      <c r="N5" s="5">
        <f t="shared" si="2"/>
        <v>-0.37549407114624761</v>
      </c>
      <c r="O5" s="5">
        <f t="shared" si="3"/>
        <v>-0.76358695652174546</v>
      </c>
      <c r="P5" s="5">
        <f t="shared" si="4"/>
        <v>-0.69347826086957087</v>
      </c>
      <c r="Q5" s="6" t="str">
        <f t="shared" si="5"/>
        <v>Yes</v>
      </c>
    </row>
    <row r="6" spans="1:18" x14ac:dyDescent="0.3">
      <c r="A6" s="36">
        <v>45916</v>
      </c>
      <c r="B6" s="6" t="s">
        <v>5</v>
      </c>
      <c r="C6" s="6" t="s">
        <v>103</v>
      </c>
      <c r="D6" s="6">
        <v>0.92</v>
      </c>
      <c r="E6" s="6">
        <v>0.92159999999999997</v>
      </c>
      <c r="F6" s="17">
        <v>1.3757999999999999</v>
      </c>
      <c r="G6" s="1">
        <v>1.8236000000000001</v>
      </c>
      <c r="H6" s="1">
        <v>3.0247999999999999</v>
      </c>
      <c r="I6" s="6">
        <v>3.6537999999999999</v>
      </c>
      <c r="J6" s="41">
        <v>4.5681000000000003</v>
      </c>
      <c r="K6" s="5">
        <f t="shared" si="0"/>
        <v>0.17391304347825379</v>
      </c>
      <c r="L6" s="5">
        <f t="shared" ref="L6" si="6">IF(D6=0, 0, 100*(F6 - D6*1.5)/(D6*1.5))</f>
        <v>-0.30434782608697125</v>
      </c>
      <c r="M6" s="5">
        <f t="shared" si="1"/>
        <v>-0.89130434782608525</v>
      </c>
      <c r="N6" s="5">
        <f t="shared" si="2"/>
        <v>-0.36890645586298088</v>
      </c>
      <c r="O6" s="5">
        <f t="shared" si="3"/>
        <v>-0.71195652173913648</v>
      </c>
      <c r="P6" s="5">
        <f t="shared" si="4"/>
        <v>-0.69347826086957087</v>
      </c>
      <c r="Q6" s="6" t="str">
        <f t="shared" si="5"/>
        <v>Yes</v>
      </c>
    </row>
    <row r="7" spans="1:18" x14ac:dyDescent="0.3">
      <c r="A7" s="16">
        <v>45966</v>
      </c>
      <c r="B7" s="6" t="s">
        <v>5</v>
      </c>
      <c r="C7" s="6" t="s">
        <v>130</v>
      </c>
      <c r="D7" s="6">
        <v>0.92</v>
      </c>
      <c r="E7" s="6">
        <v>0.92159999999999997</v>
      </c>
      <c r="F7" s="6">
        <v>1.3754999999999999</v>
      </c>
      <c r="G7" s="6">
        <v>1.8233999999999999</v>
      </c>
      <c r="H7" s="6">
        <v>3.0245000000000002</v>
      </c>
      <c r="I7" s="6">
        <v>3.6511999999999998</v>
      </c>
      <c r="J7" s="6">
        <v>4.5675999999999997</v>
      </c>
      <c r="K7" s="5">
        <f t="shared" si="0"/>
        <v>0.17391304347825379</v>
      </c>
      <c r="L7" s="5">
        <f t="shared" ref="L7:L15" si="7">IF(D7=0, 0, 100*(F7 - D7*1.5)/(D7*1.5))</f>
        <v>-0.32608695652175146</v>
      </c>
      <c r="M7" s="5">
        <f t="shared" si="1"/>
        <v>-0.90217391304348749</v>
      </c>
      <c r="N7" s="5">
        <f t="shared" si="2"/>
        <v>-0.37878787878787362</v>
      </c>
      <c r="O7" s="5">
        <f t="shared" si="3"/>
        <v>-0.78260869565218427</v>
      </c>
      <c r="P7" s="5">
        <f t="shared" si="4"/>
        <v>-0.70434782608697544</v>
      </c>
      <c r="Q7" s="6" t="str">
        <f t="shared" si="5"/>
        <v>Yes</v>
      </c>
    </row>
    <row r="8" spans="1:18" x14ac:dyDescent="0.3">
      <c r="A8" s="6" t="s">
        <v>149</v>
      </c>
      <c r="B8" s="6"/>
      <c r="C8" s="6" t="s">
        <v>150</v>
      </c>
      <c r="D8" s="6">
        <v>0.92</v>
      </c>
      <c r="E8" s="6">
        <v>0.92110000000000003</v>
      </c>
      <c r="F8" s="6">
        <v>1.3748</v>
      </c>
      <c r="G8" s="6">
        <v>1.8222</v>
      </c>
      <c r="H8" s="6">
        <v>3.0225</v>
      </c>
      <c r="I8" s="6">
        <v>3.6507000000000001</v>
      </c>
      <c r="J8" s="6">
        <v>4.5646000000000004</v>
      </c>
      <c r="K8" s="5">
        <f t="shared" si="0"/>
        <v>0.11956521739130324</v>
      </c>
      <c r="L8" s="5">
        <f t="shared" si="7"/>
        <v>-0.37681159420290528</v>
      </c>
      <c r="M8" s="5">
        <f t="shared" si="1"/>
        <v>-0.96739130434782816</v>
      </c>
      <c r="N8" s="5">
        <f t="shared" si="2"/>
        <v>-0.44466403162055557</v>
      </c>
      <c r="O8" s="5">
        <f t="shared" si="3"/>
        <v>-0.79619565217391586</v>
      </c>
      <c r="P8" s="5">
        <f t="shared" si="4"/>
        <v>-0.76956521739130634</v>
      </c>
      <c r="Q8" s="6" t="str">
        <f>IF(AND(K8&gt;=0.11,K8&lt;=0.27,L8&gt;=-0.39,L8&lt;=-0.22,M8&gt;=-0.98,M8&lt;=-0.82,N8&gt;=-0.45,N8&lt;=-0.3,O8&gt;=-0.81,O8&lt;=-0.64,P8&gt;=-0.78,P8&lt;=-0.61), "Yes", IF(AND(K8=0,L8=0,M8=0,N8=0,O8=0,P8=0), "Ready to test", "No"))</f>
        <v>Yes</v>
      </c>
    </row>
    <row r="9" spans="1:18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5">
        <f t="shared" si="0"/>
        <v>0</v>
      </c>
      <c r="L9" s="5">
        <f t="shared" si="7"/>
        <v>0</v>
      </c>
      <c r="M9" s="5">
        <f t="shared" si="1"/>
        <v>0</v>
      </c>
      <c r="N9" s="5">
        <f t="shared" si="2"/>
        <v>0</v>
      </c>
      <c r="O9" s="5">
        <f t="shared" si="3"/>
        <v>0</v>
      </c>
      <c r="P9" s="5">
        <f t="shared" si="4"/>
        <v>0</v>
      </c>
      <c r="Q9" s="6" t="str">
        <f t="shared" si="5"/>
        <v>Ready to test</v>
      </c>
    </row>
    <row r="10" spans="1:18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5">
        <f t="shared" si="0"/>
        <v>0</v>
      </c>
      <c r="L10" s="5">
        <f t="shared" si="7"/>
        <v>0</v>
      </c>
      <c r="M10" s="5">
        <f t="shared" si="1"/>
        <v>0</v>
      </c>
      <c r="N10" s="5">
        <f t="shared" si="2"/>
        <v>0</v>
      </c>
      <c r="O10" s="5">
        <f t="shared" si="3"/>
        <v>0</v>
      </c>
      <c r="P10" s="5">
        <f t="shared" si="4"/>
        <v>0</v>
      </c>
      <c r="Q10" s="6" t="str">
        <f t="shared" si="5"/>
        <v>Ready to test</v>
      </c>
    </row>
    <row r="11" spans="1:18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5">
        <f t="shared" si="0"/>
        <v>0</v>
      </c>
      <c r="L11" s="5">
        <f t="shared" si="7"/>
        <v>0</v>
      </c>
      <c r="M11" s="5">
        <f t="shared" si="1"/>
        <v>0</v>
      </c>
      <c r="N11" s="5">
        <f t="shared" si="2"/>
        <v>0</v>
      </c>
      <c r="O11" s="5">
        <f t="shared" si="3"/>
        <v>0</v>
      </c>
      <c r="P11" s="5">
        <f t="shared" si="4"/>
        <v>0</v>
      </c>
      <c r="Q11" s="6" t="str">
        <f t="shared" si="5"/>
        <v>Ready to test</v>
      </c>
    </row>
    <row r="12" spans="1:18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5">
        <f t="shared" si="0"/>
        <v>0</v>
      </c>
      <c r="L12" s="5">
        <f t="shared" si="7"/>
        <v>0</v>
      </c>
      <c r="M12" s="5">
        <f t="shared" si="1"/>
        <v>0</v>
      </c>
      <c r="N12" s="5">
        <f t="shared" si="2"/>
        <v>0</v>
      </c>
      <c r="O12" s="5">
        <f t="shared" si="3"/>
        <v>0</v>
      </c>
      <c r="P12" s="5">
        <f t="shared" si="4"/>
        <v>0</v>
      </c>
      <c r="Q12" s="6" t="str">
        <f t="shared" si="5"/>
        <v>Ready to test</v>
      </c>
    </row>
    <row r="13" spans="1:18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5">
        <f t="shared" si="0"/>
        <v>0</v>
      </c>
      <c r="L13" s="5">
        <f t="shared" si="7"/>
        <v>0</v>
      </c>
      <c r="M13" s="5">
        <f t="shared" si="1"/>
        <v>0</v>
      </c>
      <c r="N13" s="5">
        <f t="shared" si="2"/>
        <v>0</v>
      </c>
      <c r="O13" s="5">
        <f t="shared" si="3"/>
        <v>0</v>
      </c>
      <c r="P13" s="5">
        <f t="shared" si="4"/>
        <v>0</v>
      </c>
      <c r="Q13" s="6" t="str">
        <f t="shared" si="5"/>
        <v>Ready to test</v>
      </c>
    </row>
    <row r="14" spans="1:18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5">
        <f t="shared" si="0"/>
        <v>0</v>
      </c>
      <c r="L14" s="5">
        <f t="shared" si="7"/>
        <v>0</v>
      </c>
      <c r="M14" s="5">
        <f t="shared" si="1"/>
        <v>0</v>
      </c>
      <c r="N14" s="5">
        <f t="shared" si="2"/>
        <v>0</v>
      </c>
      <c r="O14" s="5">
        <f t="shared" si="3"/>
        <v>0</v>
      </c>
      <c r="P14" s="5">
        <f t="shared" si="4"/>
        <v>0</v>
      </c>
      <c r="Q14" s="6" t="str">
        <f t="shared" si="5"/>
        <v>Ready to test</v>
      </c>
    </row>
    <row r="15" spans="1:18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5">
        <f t="shared" si="0"/>
        <v>0</v>
      </c>
      <c r="L15" s="5">
        <f t="shared" si="7"/>
        <v>0</v>
      </c>
      <c r="M15" s="5">
        <f t="shared" si="1"/>
        <v>0</v>
      </c>
      <c r="N15" s="5">
        <f t="shared" si="2"/>
        <v>0</v>
      </c>
      <c r="O15" s="5">
        <f t="shared" si="3"/>
        <v>0</v>
      </c>
      <c r="P15" s="5">
        <f t="shared" si="4"/>
        <v>0</v>
      </c>
      <c r="Q15" s="6" t="str">
        <f t="shared" si="5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8">
    <cfRule type="expression" dxfId="143" priority="1">
      <formula>Q3="Alert"</formula>
    </cfRule>
    <cfRule type="expression" dxfId="142" priority="2">
      <formula>Q3="Yes"</formula>
    </cfRule>
    <cfRule type="expression" dxfId="141" priority="3">
      <formula>Q3="No"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15"/>
  <sheetViews>
    <sheetView workbookViewId="0">
      <selection activeCell="Q10" sqref="Q10"/>
    </sheetView>
  </sheetViews>
  <sheetFormatPr defaultColWidth="9" defaultRowHeight="14.4" x14ac:dyDescent="0.3"/>
  <cols>
    <col min="1" max="1" width="13.5546875" style="1" customWidth="1"/>
    <col min="2" max="2" width="10" style="1" customWidth="1"/>
    <col min="3" max="3" width="12" style="1" customWidth="1"/>
    <col min="4" max="7" width="9" style="1"/>
    <col min="8" max="8" width="10.33203125" style="1" customWidth="1"/>
    <col min="9" max="16384" width="9" style="1"/>
  </cols>
  <sheetData>
    <row r="1" spans="1:17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4.7" customHeight="1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2" t="s">
        <v>94</v>
      </c>
      <c r="O2" s="2" t="s">
        <v>95</v>
      </c>
      <c r="P2" s="2" t="s">
        <v>96</v>
      </c>
      <c r="Q2" s="67"/>
    </row>
    <row r="3" spans="1:17" x14ac:dyDescent="0.3">
      <c r="A3" s="16">
        <v>45800</v>
      </c>
      <c r="B3" s="6" t="s">
        <v>5</v>
      </c>
      <c r="C3" s="6" t="s">
        <v>98</v>
      </c>
      <c r="D3" s="6">
        <v>0.92</v>
      </c>
      <c r="E3" s="6">
        <v>0.92149999999999999</v>
      </c>
      <c r="F3" s="17">
        <v>1.3759999999999999</v>
      </c>
      <c r="G3" s="17">
        <v>1.8237000000000001</v>
      </c>
      <c r="H3" s="6">
        <v>3.0253000000000001</v>
      </c>
      <c r="I3" s="6">
        <v>3.6541000000000001</v>
      </c>
      <c r="J3" s="6">
        <v>4.5688000000000004</v>
      </c>
      <c r="K3" s="5">
        <f t="shared" ref="K3:K15" si="0">IF(D3=0, 0, 100*(E3 - D3*1)/(D3*1))</f>
        <v>0.16304347826086366</v>
      </c>
      <c r="L3" s="5">
        <f t="shared" ref="L3:L15" si="1">IF(D3=0, 0, 100*(F3 - D3*1.5)/(D3*1.5))</f>
        <v>-0.28985507246378445</v>
      </c>
      <c r="M3" s="5">
        <f t="shared" ref="M3:M15" si="2">IF(D3=0, 0, 100*(G3 - D3*2)/(D3*2))</f>
        <v>-0.88586956521739024</v>
      </c>
      <c r="N3" s="5">
        <f t="shared" ref="N3:N14" si="3">IF(D3=0, 0, 100*(H3 - D3*3.3)/(D3*3.3))</f>
        <v>-0.35243741765480668</v>
      </c>
      <c r="O3" s="5">
        <f t="shared" ref="O3:O15" si="4">IF(D3=0, 0, 100*(I3 - D3*4)/(D3*4))</f>
        <v>-0.70380434782608781</v>
      </c>
      <c r="P3" s="5">
        <f t="shared" ref="P3:P15" si="5">IF(D3=0, 0, 100*(J3 - D3*5)/(D3*5))</f>
        <v>-0.6782608695652198</v>
      </c>
      <c r="Q3" s="6" t="str">
        <f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>
        <v>45824</v>
      </c>
      <c r="B4" s="6" t="s">
        <v>151</v>
      </c>
      <c r="C4" s="6" t="s">
        <v>98</v>
      </c>
      <c r="D4" s="6">
        <v>0.92</v>
      </c>
      <c r="E4" s="6">
        <v>0.92149999999999999</v>
      </c>
      <c r="F4" s="6">
        <v>1.3756999999999999</v>
      </c>
      <c r="G4" s="6">
        <v>1.8234999999999999</v>
      </c>
      <c r="H4" s="6">
        <v>3.0247999999999999</v>
      </c>
      <c r="I4" s="6">
        <v>3.6534</v>
      </c>
      <c r="J4" s="6">
        <v>4.5683999999999996</v>
      </c>
      <c r="K4" s="5">
        <f t="shared" si="0"/>
        <v>0.16304347826086366</v>
      </c>
      <c r="L4" s="5">
        <f t="shared" si="1"/>
        <v>-0.31159420289856465</v>
      </c>
      <c r="M4" s="5">
        <f t="shared" si="2"/>
        <v>-0.89673913043479236</v>
      </c>
      <c r="N4" s="5">
        <f t="shared" si="3"/>
        <v>-0.36890645586298088</v>
      </c>
      <c r="O4" s="5">
        <f t="shared" si="4"/>
        <v>-0.72282608695652661</v>
      </c>
      <c r="P4" s="5">
        <f t="shared" si="5"/>
        <v>-0.68695652173915123</v>
      </c>
      <c r="Q4" s="6" t="str">
        <f t="shared" ref="Q4:Q15" si="6">IF(AND(K4&gt;=0.11,K4&lt;=0.27,L4&gt;=-0.36,L4&lt;=-0.22,M4&gt;=-0.92,M4&lt;=-0.82,N4&gt;=-0.4,N4&lt;=-0.3,O4&gt;=-0.79,O4&lt;=-0.64,P4&gt;=-0.76,P4&lt;=-0.61), "Yes", IF(AND(K4=0,L4=0,M4=0,N4=0,O4=0,P4=0), "Ready to test", "No"))</f>
        <v>Yes</v>
      </c>
    </row>
    <row r="5" spans="1:17" x14ac:dyDescent="0.3">
      <c r="A5" s="16">
        <v>45862</v>
      </c>
      <c r="B5" s="6" t="s">
        <v>5</v>
      </c>
      <c r="C5" s="6" t="s">
        <v>103</v>
      </c>
      <c r="D5" s="6">
        <v>0.92</v>
      </c>
      <c r="E5" s="6">
        <v>0.92159999999999997</v>
      </c>
      <c r="F5" s="6">
        <v>1.3753</v>
      </c>
      <c r="G5" s="6">
        <v>1.8236000000000001</v>
      </c>
      <c r="H5" s="6">
        <v>3.0249000000000001</v>
      </c>
      <c r="I5" s="1">
        <v>3.6536</v>
      </c>
      <c r="J5" s="6">
        <v>4.5683999999999996</v>
      </c>
      <c r="K5" s="5">
        <f>IF(D5=0, 0, 100*(E5 - D5*1)/(D5*1))</f>
        <v>0.17391304347825379</v>
      </c>
      <c r="L5" s="5">
        <f t="shared" si="1"/>
        <v>-0.34057971014493826</v>
      </c>
      <c r="M5" s="5">
        <f t="shared" si="2"/>
        <v>-0.89130434782608525</v>
      </c>
      <c r="N5" s="5">
        <f t="shared" si="3"/>
        <v>-0.36561264822134015</v>
      </c>
      <c r="O5" s="5">
        <f t="shared" si="4"/>
        <v>-0.71739130434783149</v>
      </c>
      <c r="P5" s="5">
        <f t="shared" si="5"/>
        <v>-0.68695652173915123</v>
      </c>
      <c r="Q5" s="6" t="str">
        <f t="shared" si="6"/>
        <v>Yes</v>
      </c>
    </row>
    <row r="6" spans="1:17" x14ac:dyDescent="0.3">
      <c r="A6" s="36">
        <v>45916</v>
      </c>
      <c r="B6" s="6" t="s">
        <v>5</v>
      </c>
      <c r="C6" s="6" t="s">
        <v>103</v>
      </c>
      <c r="D6" s="6">
        <v>0.92</v>
      </c>
      <c r="E6" s="6">
        <v>0.92159999999999997</v>
      </c>
      <c r="F6" s="6">
        <v>1.3757999999999999</v>
      </c>
      <c r="G6" s="1">
        <v>1.8236000000000001</v>
      </c>
      <c r="H6" s="12">
        <v>3.0247000000000002</v>
      </c>
      <c r="I6" s="6">
        <v>3.6536</v>
      </c>
      <c r="J6" s="6">
        <v>4.5697999999999999</v>
      </c>
      <c r="K6" s="5">
        <f>IF(D6=0, 0, 100*(E6 - D6*1)/(D6*1))</f>
        <v>0.17391304347825379</v>
      </c>
      <c r="L6" s="5">
        <f t="shared" si="1"/>
        <v>-0.30434782608697125</v>
      </c>
      <c r="M6" s="5">
        <f>IF(D6=0, 0, 100*(G6 - D6*2)/(D6*2))</f>
        <v>-0.89130434782608525</v>
      </c>
      <c r="N6" s="5">
        <f t="shared" si="3"/>
        <v>-0.37220026350460689</v>
      </c>
      <c r="O6" s="5">
        <f t="shared" si="4"/>
        <v>-0.71739130434783149</v>
      </c>
      <c r="P6" s="5">
        <f t="shared" si="5"/>
        <v>-0.65652173913044931</v>
      </c>
      <c r="Q6" s="6" t="str">
        <f t="shared" si="6"/>
        <v>Yes</v>
      </c>
    </row>
    <row r="7" spans="1:17" x14ac:dyDescent="0.3">
      <c r="A7" s="16">
        <v>45966</v>
      </c>
      <c r="B7" s="6" t="s">
        <v>5</v>
      </c>
      <c r="C7" s="6" t="s">
        <v>130</v>
      </c>
      <c r="D7" s="6">
        <v>0.92</v>
      </c>
      <c r="E7" s="6">
        <v>0.92159999999999997</v>
      </c>
      <c r="F7" s="6">
        <v>1.3756999999999999</v>
      </c>
      <c r="G7" s="6">
        <v>1.8234999999999999</v>
      </c>
      <c r="H7" s="6">
        <v>3.0242</v>
      </c>
      <c r="I7" s="6">
        <v>3.6513</v>
      </c>
      <c r="J7" s="6">
        <v>4.5682</v>
      </c>
      <c r="K7" s="5">
        <f t="shared" si="0"/>
        <v>0.17391304347825379</v>
      </c>
      <c r="L7" s="5">
        <f t="shared" si="1"/>
        <v>-0.31159420289856465</v>
      </c>
      <c r="M7" s="5">
        <f t="shared" si="2"/>
        <v>-0.89673913043479236</v>
      </c>
      <c r="N7" s="5">
        <f t="shared" si="3"/>
        <v>-0.38866930171278102</v>
      </c>
      <c r="O7" s="5">
        <f t="shared" si="4"/>
        <v>-0.77989130434783072</v>
      </c>
      <c r="P7" s="5">
        <f t="shared" si="5"/>
        <v>-0.69130434782609762</v>
      </c>
      <c r="Q7" s="6" t="str">
        <f t="shared" si="6"/>
        <v>Yes</v>
      </c>
    </row>
    <row r="8" spans="1:17" x14ac:dyDescent="0.3">
      <c r="A8" s="16">
        <v>46034</v>
      </c>
      <c r="B8" s="6" t="s">
        <v>5</v>
      </c>
      <c r="C8" s="6" t="s">
        <v>115</v>
      </c>
      <c r="D8" s="6">
        <v>0.92</v>
      </c>
      <c r="E8" s="6">
        <v>0.9214</v>
      </c>
      <c r="F8" s="6">
        <v>1.3757999999999999</v>
      </c>
      <c r="G8" s="6">
        <v>1.8233999999999999</v>
      </c>
      <c r="H8" s="6">
        <v>3.0249000000000001</v>
      </c>
      <c r="I8" s="6">
        <v>3.6549</v>
      </c>
      <c r="J8" s="6">
        <v>4.5686999999999998</v>
      </c>
      <c r="K8" s="5">
        <f t="shared" si="0"/>
        <v>0.15217391304347355</v>
      </c>
      <c r="L8" s="5">
        <f t="shared" si="1"/>
        <v>-0.30434782608697125</v>
      </c>
      <c r="M8" s="5">
        <f t="shared" si="2"/>
        <v>-0.90217391304348749</v>
      </c>
      <c r="N8" s="5">
        <f t="shared" si="3"/>
        <v>-0.36561264822134015</v>
      </c>
      <c r="O8" s="5">
        <f t="shared" si="4"/>
        <v>-0.68206521739130765</v>
      </c>
      <c r="P8" s="5">
        <f t="shared" si="5"/>
        <v>-0.68043478260871237</v>
      </c>
      <c r="Q8" s="6" t="str">
        <f>IF(AND(K8&gt;=0.11,K8&lt;=0.27,L8&gt;=-0.36,L8&lt;=-0.22,M8&gt;=-0.92,M8&lt;=-0.82,N8&gt;=-0.4,N8&lt;=-0.3,O8&gt;=-0.79,O8&lt;=-0.64,P8&gt;=-0.76,P8&lt;=-0.61), "Yes", IF(AND(K8=0,L8=0,M8=0,N8=0,O8=0,P8=0), "Ready to test", "No"))</f>
        <v>Yes</v>
      </c>
    </row>
    <row r="9" spans="1:17" x14ac:dyDescent="0.3">
      <c r="A9" s="16">
        <v>46168</v>
      </c>
      <c r="B9" s="6" t="s">
        <v>35</v>
      </c>
      <c r="C9" s="6" t="s">
        <v>140</v>
      </c>
      <c r="D9" s="6">
        <v>0.92</v>
      </c>
      <c r="E9" s="6">
        <v>0.92110000000000003</v>
      </c>
      <c r="F9" s="6">
        <v>1.3743000000000001</v>
      </c>
      <c r="G9" s="6">
        <v>1.8225</v>
      </c>
      <c r="H9" s="6">
        <v>3.0232999999999999</v>
      </c>
      <c r="I9" s="6">
        <v>3.6516999999999999</v>
      </c>
      <c r="J9" s="6">
        <v>4.5647000000000002</v>
      </c>
      <c r="K9" s="5">
        <f t="shared" ref="K9" si="7">IF(D9=0, 0, 100*(E9 - D9*1)/(D9*1))</f>
        <v>0.11956521739130324</v>
      </c>
      <c r="L9" s="5">
        <f>IF(D9=0, 0, 100*(F9 - D9*1.5)/(D9*1.5))</f>
        <v>-0.41304347826087229</v>
      </c>
      <c r="M9" s="5">
        <f t="shared" ref="M9" si="8">IF(D9=0, 0, 100*(G9 - D9*2)/(D9*2))</f>
        <v>-0.95108695652174291</v>
      </c>
      <c r="N9" s="5">
        <f t="shared" ref="N9" si="9">IF(D9=0, 0, 100*(H9 - D9*3.3)/(D9*3.3))</f>
        <v>-0.41831357048748863</v>
      </c>
      <c r="O9" s="5">
        <f t="shared" ref="O9" si="10">IF(D9=0, 0, 100*(I9 - D9*4)/(D9*4))</f>
        <v>-0.76902173913044058</v>
      </c>
      <c r="P9" s="5">
        <f t="shared" ref="P9" si="11">IF(D9=0, 0, 100*(J9 - D9*5)/(D9*5))</f>
        <v>-0.7673913043478332</v>
      </c>
      <c r="Q9" s="6" t="str">
        <f>IF(AND(K9&gt;=0.11,K9&lt;=0.27,L9&gt;=-0.42,L9&lt;=-0.22,M9&gt;=-0.96,M9&lt;=-0.82,N9&gt;=-0.43,N9&lt;=-0.3,O9&gt;=-0.79,O9&lt;=-0.64,P9&gt;=-0.78,P9&lt;=-0.61), "Yes", IF(AND(K9=0,L9=0,M9=0,N9=0,O9=0,P9=0), "Ready to test", "No"))</f>
        <v>Yes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5">
        <f t="shared" si="0"/>
        <v>0</v>
      </c>
      <c r="L10" s="5">
        <f t="shared" si="1"/>
        <v>0</v>
      </c>
      <c r="M10" s="5">
        <f t="shared" si="2"/>
        <v>0</v>
      </c>
      <c r="N10" s="5">
        <f t="shared" si="3"/>
        <v>0</v>
      </c>
      <c r="O10" s="5">
        <f t="shared" si="4"/>
        <v>0</v>
      </c>
      <c r="P10" s="5">
        <f t="shared" si="5"/>
        <v>0</v>
      </c>
      <c r="Q10" s="6" t="str">
        <f t="shared" si="6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5">
        <f t="shared" si="0"/>
        <v>0</v>
      </c>
      <c r="L11" s="5">
        <f t="shared" si="1"/>
        <v>0</v>
      </c>
      <c r="M11" s="5">
        <f t="shared" si="2"/>
        <v>0</v>
      </c>
      <c r="N11" s="5">
        <f t="shared" si="3"/>
        <v>0</v>
      </c>
      <c r="O11" s="5">
        <f t="shared" si="4"/>
        <v>0</v>
      </c>
      <c r="P11" s="5">
        <f t="shared" si="5"/>
        <v>0</v>
      </c>
      <c r="Q11" s="6" t="str">
        <f t="shared" si="6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5">
        <f t="shared" si="0"/>
        <v>0</v>
      </c>
      <c r="L12" s="5">
        <f t="shared" si="1"/>
        <v>0</v>
      </c>
      <c r="M12" s="5">
        <f t="shared" si="2"/>
        <v>0</v>
      </c>
      <c r="N12" s="5">
        <f t="shared" si="3"/>
        <v>0</v>
      </c>
      <c r="O12" s="5">
        <f t="shared" si="4"/>
        <v>0</v>
      </c>
      <c r="P12" s="5">
        <f t="shared" si="5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5">
        <f t="shared" si="0"/>
        <v>0</v>
      </c>
      <c r="L13" s="5">
        <f t="shared" si="1"/>
        <v>0</v>
      </c>
      <c r="M13" s="5">
        <f t="shared" si="2"/>
        <v>0</v>
      </c>
      <c r="N13" s="5">
        <f t="shared" si="3"/>
        <v>0</v>
      </c>
      <c r="O13" s="5">
        <f t="shared" si="4"/>
        <v>0</v>
      </c>
      <c r="P13" s="5">
        <f t="shared" si="5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5">
        <f t="shared" si="0"/>
        <v>0</v>
      </c>
      <c r="L14" s="5">
        <f t="shared" si="1"/>
        <v>0</v>
      </c>
      <c r="M14" s="5">
        <f t="shared" si="2"/>
        <v>0</v>
      </c>
      <c r="N14" s="5">
        <f t="shared" si="3"/>
        <v>0</v>
      </c>
      <c r="O14" s="5">
        <f t="shared" si="4"/>
        <v>0</v>
      </c>
      <c r="P14" s="5">
        <f t="shared" si="5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I15" s="6"/>
      <c r="J15" s="6"/>
      <c r="K15" s="5">
        <f t="shared" si="0"/>
        <v>0</v>
      </c>
      <c r="L15" s="5">
        <f t="shared" si="1"/>
        <v>0</v>
      </c>
      <c r="M15" s="5">
        <f t="shared" si="2"/>
        <v>0</v>
      </c>
      <c r="N15" s="5">
        <f>IF(D15=0, 0, 100*(#REF! - D15*3.3)/(D15*3.3))</f>
        <v>0</v>
      </c>
      <c r="O15" s="5">
        <f t="shared" si="4"/>
        <v>0</v>
      </c>
      <c r="P15" s="5">
        <f t="shared" si="5"/>
        <v>0</v>
      </c>
      <c r="Q15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9">
    <cfRule type="expression" dxfId="140" priority="1">
      <formula>Q3="Alert"</formula>
    </cfRule>
    <cfRule type="expression" dxfId="139" priority="2">
      <formula>Q3="Yes"</formula>
    </cfRule>
    <cfRule type="expression" dxfId="138" priority="3">
      <formula>Q3="No"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15"/>
  <sheetViews>
    <sheetView workbookViewId="0">
      <selection activeCell="O12" sqref="O12"/>
    </sheetView>
  </sheetViews>
  <sheetFormatPr defaultColWidth="9" defaultRowHeight="14.4" x14ac:dyDescent="0.3"/>
  <cols>
    <col min="1" max="1" width="11.109375" style="1" bestFit="1" customWidth="1"/>
    <col min="2" max="2" width="12.109375" style="1" customWidth="1"/>
    <col min="3" max="3" width="12" style="1" customWidth="1"/>
    <col min="4" max="16384" width="9" style="1"/>
  </cols>
  <sheetData>
    <row r="1" spans="1:17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4.7" customHeight="1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2" t="s">
        <v>94</v>
      </c>
      <c r="O2" s="2" t="s">
        <v>95</v>
      </c>
      <c r="P2" s="2" t="s">
        <v>96</v>
      </c>
      <c r="Q2" s="67"/>
    </row>
    <row r="3" spans="1:17" x14ac:dyDescent="0.3">
      <c r="A3" s="16">
        <v>45800</v>
      </c>
      <c r="B3" s="6" t="s">
        <v>5</v>
      </c>
      <c r="C3" s="6" t="s">
        <v>98</v>
      </c>
      <c r="D3" s="6">
        <v>0.92</v>
      </c>
      <c r="E3" s="6">
        <v>0.92179999999999995</v>
      </c>
      <c r="F3" s="17">
        <v>1.3758999999999999</v>
      </c>
      <c r="G3" s="17">
        <v>1.8238000000000001</v>
      </c>
      <c r="H3" s="6">
        <v>3.0255000000000001</v>
      </c>
      <c r="I3" s="6">
        <v>3.6537999999999999</v>
      </c>
      <c r="J3" s="6">
        <v>4.569</v>
      </c>
      <c r="K3" s="5">
        <f t="shared" ref="K3:K15" si="0">IF(D3=0, 0, 100*(E3 - D3*1)/(D3*1))</f>
        <v>0.19565217391303399</v>
      </c>
      <c r="L3" s="5">
        <f t="shared" ref="L3:L15" si="1">IF(D3=0, 0, 100*(F3 - D3*1.5)/(D3*1.5))</f>
        <v>-0.29710144927537785</v>
      </c>
      <c r="M3" s="5">
        <f t="shared" ref="M3:M15" si="2">IF(D3=0, 0, 100*(G3 - D3*2)/(D3*2))</f>
        <v>-0.88043478260869523</v>
      </c>
      <c r="N3" s="5">
        <f t="shared" ref="N3:N15" si="3">IF(D3=0, 0, 100*(H3 - D3*3.3)/(D3*3.3))</f>
        <v>-0.34584980237153995</v>
      </c>
      <c r="O3" s="5">
        <f t="shared" ref="O3:O15" si="4">IF(D3=0, 0, 100*(I3 - D3*4)/(D3*4))</f>
        <v>-0.71195652173913648</v>
      </c>
      <c r="P3" s="5">
        <f t="shared" ref="P3:P15" si="5">IF(D3=0, 0, 100*(J3 - D3*5)/(D3*5))</f>
        <v>-0.67391304347827341</v>
      </c>
      <c r="Q3" s="6" t="str">
        <f t="shared" ref="Q3:Q15" si="6"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>
        <v>45824</v>
      </c>
      <c r="B4" s="6" t="s">
        <v>152</v>
      </c>
      <c r="C4" s="6" t="s">
        <v>98</v>
      </c>
      <c r="D4" s="6">
        <v>0.92</v>
      </c>
      <c r="E4" s="6">
        <v>0.92169999999999996</v>
      </c>
      <c r="F4" s="6">
        <v>1.3754999999999999</v>
      </c>
      <c r="G4" s="6">
        <v>1.8237000000000001</v>
      </c>
      <c r="H4" s="6">
        <v>3.0251000000000001</v>
      </c>
      <c r="I4" s="6">
        <v>3.6537000000000002</v>
      </c>
      <c r="J4" s="6">
        <v>4.5686999999999998</v>
      </c>
      <c r="K4" s="5">
        <f t="shared" si="0"/>
        <v>0.18478260869564389</v>
      </c>
      <c r="L4" s="5">
        <f t="shared" si="1"/>
        <v>-0.32608695652175146</v>
      </c>
      <c r="M4" s="5">
        <f t="shared" si="2"/>
        <v>-0.88586956521739024</v>
      </c>
      <c r="N4" s="5">
        <f t="shared" si="3"/>
        <v>-0.35902503293807342</v>
      </c>
      <c r="O4" s="5">
        <f t="shared" si="4"/>
        <v>-0.71467391304347794</v>
      </c>
      <c r="P4" s="5">
        <f t="shared" si="5"/>
        <v>-0.68043478260871237</v>
      </c>
      <c r="Q4" s="6" t="str">
        <f t="shared" si="6"/>
        <v>Yes</v>
      </c>
    </row>
    <row r="5" spans="1:17" x14ac:dyDescent="0.3">
      <c r="A5" s="16">
        <v>45862</v>
      </c>
      <c r="B5" s="6" t="s">
        <v>37</v>
      </c>
      <c r="C5" s="6" t="s">
        <v>103</v>
      </c>
      <c r="D5" s="6">
        <v>0.92</v>
      </c>
      <c r="E5" s="6">
        <v>0.92149999999999999</v>
      </c>
      <c r="F5" s="6">
        <v>1.3752</v>
      </c>
      <c r="G5" s="6">
        <v>1.8233999999999999</v>
      </c>
      <c r="H5" s="1">
        <v>3.0244</v>
      </c>
      <c r="I5" s="6">
        <v>3.653</v>
      </c>
      <c r="J5" s="6">
        <v>4.5679999999999996</v>
      </c>
      <c r="K5" s="5">
        <f t="shared" si="0"/>
        <v>0.16304347826086366</v>
      </c>
      <c r="L5" s="5">
        <f t="shared" si="1"/>
        <v>-0.34782608695653167</v>
      </c>
      <c r="M5" s="5">
        <f t="shared" si="2"/>
        <v>-0.90217391304348749</v>
      </c>
      <c r="N5" s="5">
        <f>IF(D5=0, 0, 100*(H5 - D5*3.3)/(D5*3.3))</f>
        <v>-0.38208168642951429</v>
      </c>
      <c r="O5" s="5">
        <f t="shared" si="4"/>
        <v>-0.73369565217391663</v>
      </c>
      <c r="P5" s="5">
        <f t="shared" si="5"/>
        <v>-0.69565217391306333</v>
      </c>
      <c r="Q5" s="6" t="str">
        <f t="shared" si="6"/>
        <v>Yes</v>
      </c>
    </row>
    <row r="6" spans="1:17" x14ac:dyDescent="0.3">
      <c r="A6" s="16">
        <v>45916</v>
      </c>
      <c r="B6" s="6" t="s">
        <v>119</v>
      </c>
      <c r="C6" s="6" t="s">
        <v>103</v>
      </c>
      <c r="D6" s="6">
        <v>0.92</v>
      </c>
      <c r="E6" s="6">
        <v>0.92159999999999997</v>
      </c>
      <c r="F6" s="6">
        <v>1.3756999999999999</v>
      </c>
      <c r="G6" s="6">
        <v>1.8236000000000001</v>
      </c>
      <c r="H6" s="6">
        <v>3.0247999999999999</v>
      </c>
      <c r="I6" s="6">
        <v>3.6526999999999998</v>
      </c>
      <c r="J6" s="6">
        <v>4.5686999999999998</v>
      </c>
      <c r="K6" s="5">
        <f>IF(D6=0, 0, 100*(E6 - D6*1)/(D6*1))</f>
        <v>0.17391304347825379</v>
      </c>
      <c r="L6" s="5">
        <f t="shared" si="1"/>
        <v>-0.31159420289856465</v>
      </c>
      <c r="M6" s="5">
        <f>IF(D6=0, 0, 100*(G6 - D6*2)/(D6*2))</f>
        <v>-0.89130434782608525</v>
      </c>
      <c r="N6" s="5">
        <f>IF(D6=0, 0, 100*(H6 - D6*3.3)/(D6*3.3))</f>
        <v>-0.36890645586298088</v>
      </c>
      <c r="O6" s="5">
        <f>IF(D6=0, 0, 100*(I6 - D6*4)/(D6*4))</f>
        <v>-0.74184782608696531</v>
      </c>
      <c r="P6" s="5">
        <f>IF(D6=0, 0, 100*(J6 - D6*5)/(D6*5))</f>
        <v>-0.68043478260871237</v>
      </c>
      <c r="Q6" s="6" t="str">
        <f t="shared" si="6"/>
        <v>Yes</v>
      </c>
    </row>
    <row r="7" spans="1:17" x14ac:dyDescent="0.3">
      <c r="A7" s="16">
        <v>45966</v>
      </c>
      <c r="B7" s="6" t="s">
        <v>5</v>
      </c>
      <c r="C7" s="6" t="s">
        <v>130</v>
      </c>
      <c r="D7" s="6">
        <v>0.92</v>
      </c>
      <c r="E7" s="6">
        <v>0.92159999999999997</v>
      </c>
      <c r="F7" s="6">
        <v>1.3754999999999999</v>
      </c>
      <c r="G7" s="6">
        <v>1.8233999999999999</v>
      </c>
      <c r="H7" s="6">
        <v>3.0245000000000002</v>
      </c>
      <c r="I7" s="6">
        <v>3.6526000000000001</v>
      </c>
      <c r="J7" s="6">
        <v>4.5679999999999996</v>
      </c>
      <c r="K7" s="5">
        <f t="shared" si="0"/>
        <v>0.17391304347825379</v>
      </c>
      <c r="L7" s="5">
        <f t="shared" si="1"/>
        <v>-0.32608695652175146</v>
      </c>
      <c r="M7" s="5">
        <f t="shared" si="2"/>
        <v>-0.90217391304348749</v>
      </c>
      <c r="N7" s="5">
        <f t="shared" si="3"/>
        <v>-0.37878787878787362</v>
      </c>
      <c r="O7" s="5">
        <f t="shared" si="4"/>
        <v>-0.74456521739130677</v>
      </c>
      <c r="P7" s="5">
        <f t="shared" si="5"/>
        <v>-0.69565217391306333</v>
      </c>
      <c r="Q7" s="6" t="str">
        <f t="shared" si="6"/>
        <v>Yes</v>
      </c>
    </row>
    <row r="8" spans="1:17" x14ac:dyDescent="0.3">
      <c r="A8" s="6" t="s">
        <v>149</v>
      </c>
      <c r="B8" s="6"/>
      <c r="C8" s="6" t="s">
        <v>150</v>
      </c>
      <c r="D8" s="6">
        <v>0.92</v>
      </c>
      <c r="E8" s="6">
        <v>0.92159999999999997</v>
      </c>
      <c r="F8" s="6">
        <v>1.3755999999999999</v>
      </c>
      <c r="G8" s="6">
        <v>1.8232999999999999</v>
      </c>
      <c r="H8" s="6">
        <v>3.0246</v>
      </c>
      <c r="I8" s="6">
        <v>3.653</v>
      </c>
      <c r="J8" s="18">
        <v>4.5670999999999999</v>
      </c>
      <c r="K8" s="5">
        <f t="shared" si="0"/>
        <v>0.17391304347825379</v>
      </c>
      <c r="L8" s="5">
        <f t="shared" si="1"/>
        <v>-0.31884057971015806</v>
      </c>
      <c r="M8" s="5">
        <f t="shared" si="2"/>
        <v>-0.9076086956521825</v>
      </c>
      <c r="N8" s="5">
        <f t="shared" si="3"/>
        <v>-0.37549407114624761</v>
      </c>
      <c r="O8" s="5">
        <f t="shared" si="4"/>
        <v>-0.73369565217391663</v>
      </c>
      <c r="P8" s="5">
        <f t="shared" si="5"/>
        <v>-0.71521739130436068</v>
      </c>
      <c r="Q8" s="6" t="str">
        <f>IF(AND(K8&gt;=0.11,K8&lt;=0.27,L8&gt;=-0.36,L8&lt;=-0.22,M8&gt;=-0.92,M8&lt;=-0.82,N8&gt;=-0.4,N8&lt;=-0.3,O8&gt;=-0.79,O8&lt;=-0.64,P8&gt;=-0.76,P8&lt;=-0.61), "Yes", IF(AND(K8=0,L8=0,M8=0,N8=0,O8=0,P8=0), "Ready to test", "No"))</f>
        <v>Yes</v>
      </c>
    </row>
    <row r="9" spans="1:17" x14ac:dyDescent="0.3">
      <c r="A9" s="6" t="s">
        <v>153</v>
      </c>
      <c r="B9" s="6"/>
      <c r="C9" s="6" t="s">
        <v>154</v>
      </c>
      <c r="D9" s="6">
        <v>0.92</v>
      </c>
      <c r="E9" s="6">
        <v>0.92130000000000001</v>
      </c>
      <c r="F9" s="17">
        <v>1.3753</v>
      </c>
      <c r="G9" s="6">
        <v>1.8229</v>
      </c>
      <c r="H9" s="6">
        <v>3.0238</v>
      </c>
      <c r="I9" s="6">
        <v>3.6524999999999999</v>
      </c>
      <c r="J9" s="6">
        <v>4.5669000000000004</v>
      </c>
      <c r="K9" s="5">
        <f>IF(D9=0, 0, 100*(E9 - D9*1)/(D9*1))</f>
        <v>0.14130434782608345</v>
      </c>
      <c r="L9" s="5">
        <f t="shared" si="1"/>
        <v>-0.34057971014493826</v>
      </c>
      <c r="M9" s="5">
        <f t="shared" si="2"/>
        <v>-0.92934782608696276</v>
      </c>
      <c r="N9" s="5">
        <f t="shared" si="3"/>
        <v>-0.40184453227931449</v>
      </c>
      <c r="O9" s="5">
        <f t="shared" si="4"/>
        <v>-0.74728260869566032</v>
      </c>
      <c r="P9" s="5">
        <f t="shared" si="5"/>
        <v>-0.71956521739130708</v>
      </c>
      <c r="Q9" s="6" t="str">
        <f>IF(AND(K9&gt;=0.11,K9&lt;=0.27,L9&gt;=-0.36,L9&lt;=-0.22,M9&gt;=-0.92,M9&lt;=-0.82,N9&gt;=-0.4,N9&lt;=-0.3,O9&gt;=-0.79,O9&lt;=-0.64,P9&gt;=-0.76,P9&lt;=-0.61), "Yes", IF(AND(K9=0,L9=0,M9=0,N9=0,O9=0,P9=0), "Ready to test", "No"))</f>
        <v>No</v>
      </c>
    </row>
    <row r="10" spans="1:17" x14ac:dyDescent="0.3">
      <c r="A10" s="16">
        <v>46362</v>
      </c>
      <c r="B10" s="6"/>
      <c r="C10" s="6" t="s">
        <v>131</v>
      </c>
      <c r="D10" s="6">
        <v>0.92</v>
      </c>
      <c r="E10" s="6">
        <v>0.92049999999999998</v>
      </c>
      <c r="F10" s="6">
        <v>1.3743000000000001</v>
      </c>
      <c r="G10" s="6">
        <v>1.8214999999999999</v>
      </c>
      <c r="H10" s="6">
        <v>3.0217000000000001</v>
      </c>
      <c r="I10" s="6">
        <v>3.6505000000000001</v>
      </c>
      <c r="J10" s="6">
        <v>4.5640000000000001</v>
      </c>
      <c r="K10" s="5">
        <f t="shared" si="0"/>
        <v>5.4347826086950532E-2</v>
      </c>
      <c r="L10" s="5">
        <f t="shared" si="1"/>
        <v>-0.41304347826087229</v>
      </c>
      <c r="M10" s="5">
        <f t="shared" si="2"/>
        <v>-1.0054347826087056</v>
      </c>
      <c r="N10" s="5">
        <f t="shared" si="3"/>
        <v>-0.4710144927536225</v>
      </c>
      <c r="O10" s="5">
        <f t="shared" si="4"/>
        <v>-0.80163043478261087</v>
      </c>
      <c r="P10" s="5">
        <f t="shared" si="5"/>
        <v>-0.78260869565218416</v>
      </c>
      <c r="Q10" s="6" t="str">
        <f>IF(AND(K10&gt;=0.11,K10&lt;=0.27,L10&gt;=-0.36,L10&lt;=-0.22,M10&gt;=-0.92,M10&lt;=-0.82,N10&gt;=-0.4,N10&lt;=-0.3,O10&gt;=-0.79,O10&lt;=-0.64,P10&gt;=-0.76,P10&lt;=-0.61), "Yes", IF(AND(K10=0,L10=0,M10=0,N10=0,O10=0,P10=0), "Ready to test", "No"))</f>
        <v>No</v>
      </c>
    </row>
    <row r="11" spans="1:17" x14ac:dyDescent="0.3">
      <c r="A11" s="16">
        <v>46362</v>
      </c>
      <c r="B11" s="6"/>
      <c r="C11" s="6" t="s">
        <v>131</v>
      </c>
      <c r="D11" s="6">
        <v>0.92</v>
      </c>
      <c r="E11" s="6">
        <v>0.92069999999999996</v>
      </c>
      <c r="F11" s="6">
        <v>1.3742000000000001</v>
      </c>
      <c r="G11" s="6">
        <v>1.8214999999999999</v>
      </c>
      <c r="H11" s="6">
        <v>3.0217000000000001</v>
      </c>
      <c r="I11" s="6">
        <v>3.6503999999999999</v>
      </c>
      <c r="J11" s="6">
        <v>4.5640000000000001</v>
      </c>
      <c r="K11" s="5">
        <f t="shared" si="0"/>
        <v>7.6086956521730753E-2</v>
      </c>
      <c r="L11" s="5">
        <f>IF(D11=0, 0, 100*(F11 - D11*1.5)/(D11*1.5))</f>
        <v>-0.42028985507246569</v>
      </c>
      <c r="M11" s="5">
        <f t="shared" si="2"/>
        <v>-1.0054347826087056</v>
      </c>
      <c r="N11" s="5">
        <f t="shared" si="3"/>
        <v>-0.4710144927536225</v>
      </c>
      <c r="O11" s="5">
        <f>IF(D11=0, 0, 100*(I11 - D11*4)/(D11*4))</f>
        <v>-0.80434782608696442</v>
      </c>
      <c r="P11" s="5">
        <f t="shared" si="5"/>
        <v>-0.78260869565218416</v>
      </c>
      <c r="Q11" s="6" t="str">
        <f>IF(AND(K11&gt;=0.04,K11&lt;=0.27,L11&gt;=-0.42,L11&lt;=-0.22,M11&gt;=-1.02,M11&lt;=-0.82,N11&gt;=-0.48,N11&lt;=-0.3,O11&gt;=-0.81,O11&lt;=-0.64,P11&gt;=-0.79,P11&lt;=-0.61), "Yes", IF(AND(K11=0,L11=0,M11=0,N11=0,O11=0,P11=0), "Ready to test", "No"))</f>
        <v>No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5">
        <f t="shared" si="0"/>
        <v>0</v>
      </c>
      <c r="L12" s="5">
        <f t="shared" si="1"/>
        <v>0</v>
      </c>
      <c r="M12" s="5">
        <f t="shared" si="2"/>
        <v>0</v>
      </c>
      <c r="N12" s="5">
        <f t="shared" si="3"/>
        <v>0</v>
      </c>
      <c r="O12" s="5">
        <f t="shared" si="4"/>
        <v>0</v>
      </c>
      <c r="P12" s="5">
        <f t="shared" si="5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5">
        <f t="shared" si="0"/>
        <v>0</v>
      </c>
      <c r="L13" s="5">
        <f t="shared" si="1"/>
        <v>0</v>
      </c>
      <c r="M13" s="5">
        <f t="shared" si="2"/>
        <v>0</v>
      </c>
      <c r="N13" s="5">
        <f t="shared" si="3"/>
        <v>0</v>
      </c>
      <c r="O13" s="5">
        <f t="shared" si="4"/>
        <v>0</v>
      </c>
      <c r="P13" s="5">
        <f t="shared" si="5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5">
        <f t="shared" si="0"/>
        <v>0</v>
      </c>
      <c r="L14" s="5">
        <f t="shared" si="1"/>
        <v>0</v>
      </c>
      <c r="M14" s="5">
        <f t="shared" si="2"/>
        <v>0</v>
      </c>
      <c r="N14" s="5">
        <f t="shared" si="3"/>
        <v>0</v>
      </c>
      <c r="O14" s="5">
        <f t="shared" si="4"/>
        <v>0</v>
      </c>
      <c r="P14" s="5">
        <f t="shared" si="5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5">
        <f t="shared" si="0"/>
        <v>0</v>
      </c>
      <c r="L15" s="5">
        <f t="shared" si="1"/>
        <v>0</v>
      </c>
      <c r="M15" s="5">
        <f t="shared" si="2"/>
        <v>0</v>
      </c>
      <c r="N15" s="5">
        <f t="shared" si="3"/>
        <v>0</v>
      </c>
      <c r="O15" s="5">
        <f t="shared" si="4"/>
        <v>0</v>
      </c>
      <c r="P15" s="5">
        <f t="shared" si="5"/>
        <v>0</v>
      </c>
      <c r="Q15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11">
    <cfRule type="expression" dxfId="137" priority="1">
      <formula>Q3="Alert"</formula>
    </cfRule>
    <cfRule type="expression" dxfId="136" priority="2">
      <formula>Q3="Yes"</formula>
    </cfRule>
    <cfRule type="expression" dxfId="135" priority="3">
      <formula>Q3="No"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15"/>
  <sheetViews>
    <sheetView workbookViewId="0">
      <selection activeCell="T11" sqref="T11"/>
    </sheetView>
  </sheetViews>
  <sheetFormatPr defaultColWidth="9" defaultRowHeight="14.4" x14ac:dyDescent="0.3"/>
  <cols>
    <col min="1" max="1" width="11.44140625" style="1" bestFit="1" customWidth="1"/>
    <col min="2" max="2" width="10.109375" style="1" customWidth="1"/>
    <col min="3" max="3" width="13.109375" style="1" customWidth="1"/>
    <col min="4" max="5" width="9" style="1"/>
    <col min="6" max="6" width="10.109375" style="1" bestFit="1" customWidth="1"/>
    <col min="7" max="16" width="9" style="1"/>
    <col min="17" max="17" width="12.6640625" style="1" bestFit="1" customWidth="1"/>
    <col min="18" max="16384" width="9" style="1"/>
  </cols>
  <sheetData>
    <row r="1" spans="1:17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4.7" customHeight="1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2" t="s">
        <v>94</v>
      </c>
      <c r="O2" s="2" t="s">
        <v>95</v>
      </c>
      <c r="P2" s="2" t="s">
        <v>96</v>
      </c>
      <c r="Q2" s="67"/>
    </row>
    <row r="3" spans="1:17" x14ac:dyDescent="0.3">
      <c r="A3" s="16">
        <v>45800</v>
      </c>
      <c r="B3" s="6" t="s">
        <v>5</v>
      </c>
      <c r="C3" s="6" t="s">
        <v>98</v>
      </c>
      <c r="D3" s="6">
        <v>0.92</v>
      </c>
      <c r="E3" s="6">
        <v>0.92120000000000002</v>
      </c>
      <c r="F3" s="17">
        <v>1.3755999999999999</v>
      </c>
      <c r="G3" s="17">
        <v>1.8234999999999999</v>
      </c>
      <c r="H3" s="6">
        <v>3.0249000000000001</v>
      </c>
      <c r="I3" s="6">
        <v>3.6524999999999999</v>
      </c>
      <c r="J3" s="6">
        <v>4.5685000000000002</v>
      </c>
      <c r="K3" s="5">
        <f t="shared" ref="K3:K15" si="0">IF(D3=0, 0, 100*(E3 - D3*1)/(D3*1))</f>
        <v>0.13043478260869334</v>
      </c>
      <c r="L3" s="5">
        <f t="shared" ref="L3:L15" si="1">IF(D3=0, 0, 100*(F3 - D3*1.5)/(D3*1.5))</f>
        <v>-0.31884057971015806</v>
      </c>
      <c r="M3" s="5">
        <f t="shared" ref="M3:M15" si="2">IF(D3=0, 0, 100*(G3 - D3*2)/(D3*2))</f>
        <v>-0.89673913043479236</v>
      </c>
      <c r="N3" s="5">
        <f t="shared" ref="N3:N15" si="3">IF(D3=0, 0, 100*(H3 - D3*3.3)/(D3*3.3))</f>
        <v>-0.36561264822134015</v>
      </c>
      <c r="O3" s="5">
        <f t="shared" ref="O3:O15" si="4">IF(D3=0, 0, 100*(I3 - D3*4)/(D3*4))</f>
        <v>-0.74728260869566032</v>
      </c>
      <c r="P3" s="5">
        <f t="shared" ref="P3:P15" si="5">IF(D3=0, 0, 100*(J3 - D3*5)/(D3*5))</f>
        <v>-0.68478260869565877</v>
      </c>
      <c r="Q3" s="6" t="str">
        <f t="shared" ref="Q3:Q15" si="6"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>
        <v>45824</v>
      </c>
      <c r="B4" s="6" t="s">
        <v>155</v>
      </c>
      <c r="C4" s="6" t="s">
        <v>98</v>
      </c>
      <c r="D4" s="6">
        <v>0.92</v>
      </c>
      <c r="E4" s="6">
        <v>0.9214</v>
      </c>
      <c r="F4" s="6">
        <v>1.3755999999999999</v>
      </c>
      <c r="G4" s="6">
        <v>1.8233999999999999</v>
      </c>
      <c r="H4" s="6">
        <v>3.0247999999999999</v>
      </c>
      <c r="I4" s="6">
        <v>3.6528999999999998</v>
      </c>
      <c r="J4" s="6">
        <v>4.5685000000000002</v>
      </c>
      <c r="K4" s="5">
        <f t="shared" si="0"/>
        <v>0.15217391304347355</v>
      </c>
      <c r="L4" s="5">
        <f t="shared" si="1"/>
        <v>-0.31884057971015806</v>
      </c>
      <c r="M4" s="5">
        <f t="shared" si="2"/>
        <v>-0.90217391304348749</v>
      </c>
      <c r="N4" s="5">
        <f t="shared" si="3"/>
        <v>-0.36890645586298088</v>
      </c>
      <c r="O4" s="5">
        <f t="shared" si="4"/>
        <v>-0.73641304347827019</v>
      </c>
      <c r="P4" s="5">
        <f t="shared" si="5"/>
        <v>-0.68478260869565877</v>
      </c>
      <c r="Q4" s="6" t="str">
        <f t="shared" si="6"/>
        <v>Yes</v>
      </c>
    </row>
    <row r="5" spans="1:17" x14ac:dyDescent="0.3">
      <c r="A5" s="16">
        <v>45862</v>
      </c>
      <c r="B5" s="6" t="s">
        <v>156</v>
      </c>
      <c r="C5" s="6" t="s">
        <v>103</v>
      </c>
      <c r="D5" s="6">
        <v>0.92</v>
      </c>
      <c r="E5" s="6">
        <v>0.92149999999999999</v>
      </c>
      <c r="F5" s="6">
        <v>1.3751</v>
      </c>
      <c r="G5" s="6">
        <v>1.8233999999999999</v>
      </c>
      <c r="H5" s="6">
        <v>3.0245000000000002</v>
      </c>
      <c r="I5" s="6">
        <v>3.6526999999999998</v>
      </c>
      <c r="J5" s="6">
        <v>4.5670999999999999</v>
      </c>
      <c r="K5" s="5">
        <f t="shared" si="0"/>
        <v>0.16304347826086366</v>
      </c>
      <c r="L5" s="5">
        <f t="shared" si="1"/>
        <v>-0.35507246376812507</v>
      </c>
      <c r="M5" s="5">
        <f t="shared" si="2"/>
        <v>-0.90217391304348749</v>
      </c>
      <c r="N5" s="5">
        <f t="shared" si="3"/>
        <v>-0.37878787878787362</v>
      </c>
      <c r="O5" s="5">
        <f t="shared" si="4"/>
        <v>-0.74184782608696531</v>
      </c>
      <c r="P5" s="5">
        <f t="shared" si="5"/>
        <v>-0.71521739130436068</v>
      </c>
      <c r="Q5" s="6" t="str">
        <f t="shared" si="6"/>
        <v>Yes</v>
      </c>
    </row>
    <row r="6" spans="1:17" x14ac:dyDescent="0.3">
      <c r="A6" s="16">
        <v>45916</v>
      </c>
      <c r="B6" s="6" t="s">
        <v>119</v>
      </c>
      <c r="C6" s="6" t="s">
        <v>103</v>
      </c>
      <c r="D6" s="6">
        <v>0.92</v>
      </c>
      <c r="E6" s="6">
        <v>0.92110000000000003</v>
      </c>
      <c r="F6" s="6">
        <v>1.3751</v>
      </c>
      <c r="G6" s="6">
        <v>1.823</v>
      </c>
      <c r="H6" s="6">
        <v>3.0243000000000002</v>
      </c>
      <c r="I6" s="6">
        <v>3.6528</v>
      </c>
      <c r="J6" s="6">
        <v>4.5681000000000003</v>
      </c>
      <c r="K6" s="5">
        <f>IF(D6=0, 0, 100*(E6 - D6*1)/(D6*1))</f>
        <v>0.11956521739130324</v>
      </c>
      <c r="L6" s="5">
        <f t="shared" si="1"/>
        <v>-0.35507246376812507</v>
      </c>
      <c r="M6" s="5">
        <f>IF(D6=0, 0, 100*(G6 - D6*2)/(D6*2))</f>
        <v>-0.92391304347826764</v>
      </c>
      <c r="N6" s="5">
        <f>IF(D6=0, 0, 100*(H6 - D6*3.3)/(D6*3.3))</f>
        <v>-0.38537549407114036</v>
      </c>
      <c r="O6" s="5">
        <f>IF(D6=0, 0, 100*(I6 - D6*4)/(D6*4))</f>
        <v>-0.73913043478261176</v>
      </c>
      <c r="P6" s="5">
        <f>IF(D6=0, 0, 100*(J6 - D6*5)/(D6*5))</f>
        <v>-0.69347826086957087</v>
      </c>
      <c r="Q6" s="6" t="str">
        <f t="shared" ref="Q6:Q11" si="7">IF(AND(K6&gt;=0.11,K6&lt;=0.27,L6&gt;=-0.37,L6&lt;=-0.22,M6&gt;=-0.93,M6&lt;=-0.82,N6&gt;=-0.4,N6&lt;=-0.3,O6&gt;=-0.79,O6&lt;=-0.64,P6&gt;=-0.76,P6&lt;=-0.61), "Yes", IF(AND(K6=0,L6=0,M6=0,N6=0,O6=0,P6=0), "Ready to test", "No"))</f>
        <v>Yes</v>
      </c>
    </row>
    <row r="7" spans="1:17" x14ac:dyDescent="0.3">
      <c r="A7" s="16">
        <v>45916</v>
      </c>
      <c r="B7" s="6" t="s">
        <v>119</v>
      </c>
      <c r="C7" s="6" t="s">
        <v>102</v>
      </c>
      <c r="D7" s="6">
        <v>0.92</v>
      </c>
      <c r="E7" s="6">
        <v>0.92130000000000001</v>
      </c>
      <c r="F7" s="6">
        <v>1.375</v>
      </c>
      <c r="G7" s="6">
        <v>1.823</v>
      </c>
      <c r="H7" s="6">
        <v>3.0242</v>
      </c>
      <c r="I7" s="6">
        <v>3.6537000000000002</v>
      </c>
      <c r="J7" s="6">
        <v>4.5678000000000001</v>
      </c>
      <c r="K7" s="5">
        <f t="shared" si="0"/>
        <v>0.14130434782608345</v>
      </c>
      <c r="L7" s="5">
        <f t="shared" si="1"/>
        <v>-0.36231884057971847</v>
      </c>
      <c r="M7" s="5">
        <f t="shared" si="2"/>
        <v>-0.92391304347826764</v>
      </c>
      <c r="N7" s="5">
        <f t="shared" si="3"/>
        <v>-0.38866930171278102</v>
      </c>
      <c r="O7" s="5">
        <f t="shared" si="4"/>
        <v>-0.71467391304347794</v>
      </c>
      <c r="P7" s="5">
        <f t="shared" si="5"/>
        <v>-0.70000000000000973</v>
      </c>
      <c r="Q7" s="6" t="str">
        <f t="shared" si="7"/>
        <v>Yes</v>
      </c>
    </row>
    <row r="8" spans="1:17" x14ac:dyDescent="0.3">
      <c r="A8" s="16">
        <v>45966</v>
      </c>
      <c r="B8" s="6" t="s">
        <v>5</v>
      </c>
      <c r="C8" s="6" t="s">
        <v>130</v>
      </c>
      <c r="D8" s="6">
        <v>0.92</v>
      </c>
      <c r="E8" s="6">
        <v>0.92120000000000002</v>
      </c>
      <c r="F8" s="6">
        <v>1.3751</v>
      </c>
      <c r="G8" s="6">
        <v>1.8232999999999999</v>
      </c>
      <c r="H8" s="6">
        <v>3.0245000000000002</v>
      </c>
      <c r="I8" s="6">
        <v>3.6539000000000001</v>
      </c>
      <c r="J8" s="6">
        <v>4.5681000000000003</v>
      </c>
      <c r="K8" s="5">
        <f t="shared" si="0"/>
        <v>0.13043478260869334</v>
      </c>
      <c r="L8" s="5">
        <f t="shared" si="1"/>
        <v>-0.35507246376812507</v>
      </c>
      <c r="M8" s="5">
        <f t="shared" si="2"/>
        <v>-0.9076086956521825</v>
      </c>
      <c r="N8" s="5">
        <f t="shared" si="3"/>
        <v>-0.37878787878787362</v>
      </c>
      <c r="O8" s="5">
        <f t="shared" si="4"/>
        <v>-0.70923913043478293</v>
      </c>
      <c r="P8" s="5">
        <f t="shared" si="5"/>
        <v>-0.69347826086957087</v>
      </c>
      <c r="Q8" s="6" t="str">
        <f t="shared" si="7"/>
        <v>Yes</v>
      </c>
    </row>
    <row r="9" spans="1:17" x14ac:dyDescent="0.3">
      <c r="A9" s="16">
        <v>45992</v>
      </c>
      <c r="B9" s="6" t="s">
        <v>5</v>
      </c>
      <c r="C9" s="6" t="s">
        <v>140</v>
      </c>
      <c r="D9" s="6">
        <v>0.92</v>
      </c>
      <c r="E9" s="6">
        <v>0.9083</v>
      </c>
      <c r="F9" s="6">
        <v>1.3573</v>
      </c>
      <c r="G9" s="6">
        <v>1.7986</v>
      </c>
      <c r="H9" s="1">
        <v>2.9834999999999998</v>
      </c>
      <c r="I9" s="6">
        <v>3.605</v>
      </c>
      <c r="J9" s="6">
        <v>4.5071000000000003</v>
      </c>
      <c r="K9" s="5">
        <f t="shared" si="0"/>
        <v>-1.2717391304347874</v>
      </c>
      <c r="L9" s="5">
        <f t="shared" si="1"/>
        <v>-1.6449275362318958</v>
      </c>
      <c r="M9" s="5">
        <f t="shared" si="2"/>
        <v>-2.2500000000000053</v>
      </c>
      <c r="N9" s="5">
        <f>IF(D9=0, 0, 100*(H9 - D9*3.3)/(D9*3.3))</f>
        <v>-1.7292490118577144</v>
      </c>
      <c r="O9" s="5">
        <f t="shared" si="4"/>
        <v>-2.0380434782608745</v>
      </c>
      <c r="P9" s="5">
        <f t="shared" si="5"/>
        <v>-2.0195652173913086</v>
      </c>
      <c r="Q9" s="6" t="str">
        <f t="shared" si="7"/>
        <v>No</v>
      </c>
    </row>
    <row r="10" spans="1:17" x14ac:dyDescent="0.3">
      <c r="A10" s="16">
        <v>46362</v>
      </c>
      <c r="B10" s="6"/>
      <c r="C10" s="6" t="s">
        <v>131</v>
      </c>
      <c r="D10" s="6">
        <v>0.92</v>
      </c>
      <c r="E10" s="6">
        <v>0.92010000000000003</v>
      </c>
      <c r="F10" s="6">
        <v>1.3735999999999999</v>
      </c>
      <c r="G10" s="6">
        <v>1.8207</v>
      </c>
      <c r="H10" s="6">
        <v>3.0206</v>
      </c>
      <c r="I10" s="6">
        <v>3.6471</v>
      </c>
      <c r="J10" s="6">
        <v>4.5616000000000003</v>
      </c>
      <c r="K10" s="5">
        <f t="shared" si="0"/>
        <v>1.0869565217390107E-2</v>
      </c>
      <c r="L10" s="5">
        <f t="shared" si="1"/>
        <v>-0.46376811594204226</v>
      </c>
      <c r="M10" s="5">
        <f t="shared" si="2"/>
        <v>-1.0489130434782661</v>
      </c>
      <c r="N10" s="5">
        <f>IF(D10=0, 0, 100*(H10 - D10*3.3)/(D10*3.3))</f>
        <v>-0.50724637681159679</v>
      </c>
      <c r="O10" s="5">
        <f t="shared" si="4"/>
        <v>-0.89402173913043881</v>
      </c>
      <c r="P10" s="5">
        <f t="shared" si="5"/>
        <v>-0.83478260869565668</v>
      </c>
      <c r="Q10" s="6" t="str">
        <f t="shared" si="7"/>
        <v>No</v>
      </c>
    </row>
    <row r="11" spans="1:17" x14ac:dyDescent="0.3">
      <c r="A11" s="16">
        <v>46362</v>
      </c>
      <c r="B11" s="6"/>
      <c r="C11" s="6" t="s">
        <v>131</v>
      </c>
      <c r="D11" s="6">
        <v>0.92</v>
      </c>
      <c r="E11" s="6">
        <v>0.92020000000000002</v>
      </c>
      <c r="F11" s="6">
        <v>1.3736999999999999</v>
      </c>
      <c r="G11" s="6">
        <v>1.8209</v>
      </c>
      <c r="H11" s="6">
        <v>3.0206</v>
      </c>
      <c r="I11" s="6">
        <v>3.6480000000000001</v>
      </c>
      <c r="J11" s="6">
        <v>4.5614999999999997</v>
      </c>
      <c r="K11" s="5">
        <f t="shared" si="0"/>
        <v>2.1739130434780214E-2</v>
      </c>
      <c r="L11" s="5">
        <f t="shared" si="1"/>
        <v>-0.4565217391304488</v>
      </c>
      <c r="M11" s="5">
        <f t="shared" si="2"/>
        <v>-1.0380434782608758</v>
      </c>
      <c r="N11" s="5">
        <f t="shared" si="3"/>
        <v>-0.50724637681159679</v>
      </c>
      <c r="O11" s="5">
        <f t="shared" si="4"/>
        <v>-0.8695652173913051</v>
      </c>
      <c r="P11" s="5">
        <f t="shared" si="5"/>
        <v>-0.83695652173914914</v>
      </c>
      <c r="Q11" s="6" t="str">
        <f t="shared" si="7"/>
        <v>No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5">
        <f t="shared" si="0"/>
        <v>0</v>
      </c>
      <c r="L12" s="5">
        <f t="shared" si="1"/>
        <v>0</v>
      </c>
      <c r="M12" s="5">
        <f t="shared" si="2"/>
        <v>0</v>
      </c>
      <c r="N12" s="5">
        <f t="shared" si="3"/>
        <v>0</v>
      </c>
      <c r="O12" s="5">
        <f t="shared" si="4"/>
        <v>0</v>
      </c>
      <c r="P12" s="5">
        <f t="shared" si="5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5">
        <f t="shared" si="0"/>
        <v>0</v>
      </c>
      <c r="L13" s="5">
        <f t="shared" si="1"/>
        <v>0</v>
      </c>
      <c r="M13" s="5">
        <f t="shared" si="2"/>
        <v>0</v>
      </c>
      <c r="N13" s="5">
        <f t="shared" si="3"/>
        <v>0</v>
      </c>
      <c r="O13" s="5">
        <f t="shared" si="4"/>
        <v>0</v>
      </c>
      <c r="P13" s="5">
        <f t="shared" si="5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5">
        <f t="shared" si="0"/>
        <v>0</v>
      </c>
      <c r="L14" s="5">
        <f t="shared" si="1"/>
        <v>0</v>
      </c>
      <c r="M14" s="5">
        <f t="shared" si="2"/>
        <v>0</v>
      </c>
      <c r="N14" s="5">
        <f t="shared" si="3"/>
        <v>0</v>
      </c>
      <c r="O14" s="5">
        <f t="shared" si="4"/>
        <v>0</v>
      </c>
      <c r="P14" s="5">
        <f t="shared" si="5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5">
        <f t="shared" si="0"/>
        <v>0</v>
      </c>
      <c r="L15" s="5">
        <f t="shared" si="1"/>
        <v>0</v>
      </c>
      <c r="M15" s="5">
        <f t="shared" si="2"/>
        <v>0</v>
      </c>
      <c r="N15" s="5">
        <f t="shared" si="3"/>
        <v>0</v>
      </c>
      <c r="O15" s="5">
        <f t="shared" si="4"/>
        <v>0</v>
      </c>
      <c r="P15" s="5">
        <f t="shared" si="5"/>
        <v>0</v>
      </c>
      <c r="Q15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11">
    <cfRule type="expression" dxfId="134" priority="1">
      <formula>Q3="Alert"</formula>
    </cfRule>
    <cfRule type="expression" dxfId="133" priority="2">
      <formula>Q3="Yes"</formula>
    </cfRule>
    <cfRule type="expression" dxfId="132" priority="3">
      <formula>Q3="No"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16"/>
  <sheetViews>
    <sheetView zoomScale="70" zoomScaleNormal="70" workbookViewId="0">
      <selection activeCell="A11" sqref="A11:D11"/>
    </sheetView>
  </sheetViews>
  <sheetFormatPr defaultColWidth="18.33203125" defaultRowHeight="14.4" x14ac:dyDescent="0.3"/>
  <cols>
    <col min="1" max="2" width="18.33203125" style="1" customWidth="1"/>
    <col min="3" max="4" width="18.33203125" style="1"/>
    <col min="5" max="10" width="7.109375" style="1" bestFit="1" customWidth="1"/>
    <col min="11" max="16384" width="18.33203125" style="1"/>
  </cols>
  <sheetData>
    <row r="1" spans="1:17" ht="28.5" customHeight="1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4.7" customHeight="1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</row>
    <row r="3" spans="1:17" x14ac:dyDescent="0.3">
      <c r="A3" s="7">
        <v>45797</v>
      </c>
      <c r="B3" s="4"/>
      <c r="C3" s="4" t="s">
        <v>107</v>
      </c>
      <c r="D3" s="4">
        <v>0.92</v>
      </c>
      <c r="E3" s="4">
        <v>0.92169999999999996</v>
      </c>
      <c r="F3" s="4">
        <v>1.3762000000000001</v>
      </c>
      <c r="G3" s="4">
        <v>1.8231999999999999</v>
      </c>
      <c r="H3" s="4">
        <v>3.0251000000000001</v>
      </c>
      <c r="I3" s="4">
        <v>3.6515</v>
      </c>
      <c r="J3" s="4">
        <v>4.5690999999999997</v>
      </c>
      <c r="K3" s="5">
        <f t="shared" ref="K3:K16" si="0">IF(D3=0, 0, 100*(E3 - D3*1)/(D3*1))</f>
        <v>0.18478260869564389</v>
      </c>
      <c r="L3" s="5">
        <f t="shared" ref="L3:L16" si="1">IF(D3=0, 0, 100*(F3 - D3*1.5)/(D3*1.5))</f>
        <v>-0.27536231884058154</v>
      </c>
      <c r="M3" s="5">
        <f t="shared" ref="M3:M16" si="2">IF(D3=0, 0, 100*(G3 - D3*2)/(D3*2))</f>
        <v>-0.91304347826087762</v>
      </c>
      <c r="N3" s="5">
        <f t="shared" ref="N3:N16" si="3">IF(D3=0, 0, 100*(H3 - D3*3.3)/(D3*3.3))</f>
        <v>-0.35902503293807342</v>
      </c>
      <c r="O3" s="5">
        <f t="shared" ref="O3:O16" si="4">IF(D3=0, 0, 100*(I3 - D3*4)/(D3*4))</f>
        <v>-0.77445652173913559</v>
      </c>
      <c r="P3" s="5">
        <f t="shared" ref="P3:P16" si="5">IF(D3=0, 0, 100*(J3 - D3*5)/(D3*5))</f>
        <v>-0.67173913043480027</v>
      </c>
      <c r="Q3" s="4" t="str">
        <f t="shared" ref="Q3:Q16" si="6"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>
        <v>45799</v>
      </c>
      <c r="B4" s="6" t="s">
        <v>157</v>
      </c>
      <c r="C4" s="6" t="s">
        <v>127</v>
      </c>
      <c r="D4" s="6">
        <v>0.92</v>
      </c>
      <c r="E4" s="6">
        <v>0.92220000000000002</v>
      </c>
      <c r="F4" s="17">
        <v>1.3765000000000001</v>
      </c>
      <c r="G4" s="6">
        <v>1.8242</v>
      </c>
      <c r="H4" s="6">
        <v>3.0261</v>
      </c>
      <c r="I4" s="6">
        <v>3.6543999999999999</v>
      </c>
      <c r="J4" s="6">
        <v>4.5698999999999996</v>
      </c>
      <c r="K4" s="5">
        <f t="shared" si="0"/>
        <v>0.23913043478260648</v>
      </c>
      <c r="L4" s="5">
        <f t="shared" si="1"/>
        <v>-0.25362318840580134</v>
      </c>
      <c r="M4" s="5">
        <f t="shared" si="2"/>
        <v>-0.85869565217391497</v>
      </c>
      <c r="N4" s="5">
        <f t="shared" si="3"/>
        <v>-0.3260869565217398</v>
      </c>
      <c r="O4" s="5">
        <f t="shared" si="4"/>
        <v>-0.69565217391305134</v>
      </c>
      <c r="P4" s="5">
        <f t="shared" si="5"/>
        <v>-0.65434782608697606</v>
      </c>
      <c r="Q4" s="6" t="str">
        <f t="shared" si="6"/>
        <v>Yes</v>
      </c>
    </row>
    <row r="5" spans="1:17" x14ac:dyDescent="0.3">
      <c r="A5" s="6" t="s">
        <v>158</v>
      </c>
      <c r="B5" s="6"/>
      <c r="C5" s="6" t="s">
        <v>128</v>
      </c>
      <c r="D5" s="6">
        <v>0.92</v>
      </c>
      <c r="E5" s="6">
        <v>0.92169999999999996</v>
      </c>
      <c r="F5" s="6">
        <v>1.3762000000000001</v>
      </c>
      <c r="G5" s="6">
        <v>1.8240000000000001</v>
      </c>
      <c r="H5" s="6">
        <v>3.0253999999999999</v>
      </c>
      <c r="I5" s="6">
        <v>3.6545000000000001</v>
      </c>
      <c r="J5" s="6">
        <v>4.5692000000000004</v>
      </c>
      <c r="K5" s="5">
        <f t="shared" si="0"/>
        <v>0.18478260869564389</v>
      </c>
      <c r="L5" s="5">
        <f t="shared" si="1"/>
        <v>-0.27536231884058154</v>
      </c>
      <c r="M5" s="5">
        <f t="shared" si="2"/>
        <v>-0.8695652173913051</v>
      </c>
      <c r="N5" s="5">
        <f t="shared" si="3"/>
        <v>-0.34914361001318067</v>
      </c>
      <c r="O5" s="5">
        <f t="shared" si="4"/>
        <v>-0.69293478260869779</v>
      </c>
      <c r="P5" s="5">
        <f t="shared" si="5"/>
        <v>-0.66956521739130781</v>
      </c>
      <c r="Q5" s="6" t="str">
        <f t="shared" si="6"/>
        <v>Yes</v>
      </c>
    </row>
    <row r="6" spans="1:17" x14ac:dyDescent="0.3">
      <c r="A6" s="6" t="s">
        <v>159</v>
      </c>
      <c r="B6" s="6"/>
      <c r="C6" s="6" t="s">
        <v>160</v>
      </c>
      <c r="D6" s="6">
        <v>0.92</v>
      </c>
      <c r="E6" s="6">
        <v>0.92169999999999996</v>
      </c>
      <c r="F6" s="6">
        <v>1.3754999999999999</v>
      </c>
      <c r="G6" s="6">
        <v>1.8236000000000001</v>
      </c>
      <c r="H6" s="6">
        <v>3.0253999999999999</v>
      </c>
      <c r="I6" s="6">
        <v>3.6535000000000002</v>
      </c>
      <c r="J6" s="6">
        <v>4.57</v>
      </c>
      <c r="K6" s="5">
        <f t="shared" si="0"/>
        <v>0.18478260869564389</v>
      </c>
      <c r="L6" s="5">
        <f t="shared" si="1"/>
        <v>-0.32608695652175146</v>
      </c>
      <c r="M6" s="5">
        <f t="shared" si="2"/>
        <v>-0.89130434782608525</v>
      </c>
      <c r="N6" s="5">
        <f t="shared" si="3"/>
        <v>-0.34914361001318067</v>
      </c>
      <c r="O6" s="5">
        <f t="shared" si="4"/>
        <v>-0.72010869565217306</v>
      </c>
      <c r="P6" s="5">
        <f t="shared" si="5"/>
        <v>-0.6521739130434836</v>
      </c>
      <c r="Q6" s="6" t="str">
        <f t="shared" si="6"/>
        <v>Yes</v>
      </c>
    </row>
    <row r="7" spans="1:17" x14ac:dyDescent="0.3">
      <c r="A7" s="16">
        <v>45939</v>
      </c>
      <c r="B7" s="6" t="s">
        <v>161</v>
      </c>
      <c r="C7" s="6" t="s">
        <v>98</v>
      </c>
      <c r="D7" s="6">
        <v>0.92</v>
      </c>
      <c r="E7" s="6">
        <v>0.92179999999999995</v>
      </c>
      <c r="F7" s="6">
        <v>1.3759999999999999</v>
      </c>
      <c r="G7" s="6">
        <v>1.8240000000000001</v>
      </c>
      <c r="H7" s="6">
        <v>3.0249999999999999</v>
      </c>
      <c r="I7" s="6">
        <v>3.6530999999999998</v>
      </c>
      <c r="J7" s="6">
        <v>4.5685000000000002</v>
      </c>
      <c r="K7" s="5">
        <f t="shared" si="0"/>
        <v>0.19565217391303399</v>
      </c>
      <c r="L7" s="5">
        <f t="shared" si="1"/>
        <v>-0.28985507246378445</v>
      </c>
      <c r="M7" s="5">
        <f t="shared" si="2"/>
        <v>-0.8695652173913051</v>
      </c>
      <c r="N7" s="5">
        <f t="shared" si="3"/>
        <v>-0.36231884057971414</v>
      </c>
      <c r="O7" s="5">
        <f t="shared" si="4"/>
        <v>-0.73097826086957518</v>
      </c>
      <c r="P7" s="5">
        <f t="shared" si="5"/>
        <v>-0.68478260869565877</v>
      </c>
      <c r="Q7" s="6" t="str">
        <f t="shared" si="6"/>
        <v>Yes</v>
      </c>
    </row>
    <row r="8" spans="1:17" x14ac:dyDescent="0.3">
      <c r="A8" s="6" t="s">
        <v>162</v>
      </c>
      <c r="B8" s="6" t="s">
        <v>163</v>
      </c>
      <c r="C8" s="6" t="s">
        <v>164</v>
      </c>
      <c r="D8" s="6">
        <v>0.92</v>
      </c>
      <c r="E8" s="6">
        <v>0.92179999999999995</v>
      </c>
      <c r="F8" s="6">
        <v>1.3756999999999999</v>
      </c>
      <c r="G8" s="6">
        <v>1.8240000000000001</v>
      </c>
      <c r="H8" s="6">
        <v>3.0253999999999999</v>
      </c>
      <c r="I8" s="6">
        <v>3.6526999999999998</v>
      </c>
      <c r="J8" s="6">
        <v>4.5692000000000004</v>
      </c>
      <c r="K8" s="5">
        <f t="shared" si="0"/>
        <v>0.19565217391303399</v>
      </c>
      <c r="L8" s="5">
        <f t="shared" si="1"/>
        <v>-0.31159420289856465</v>
      </c>
      <c r="M8" s="5">
        <f t="shared" si="2"/>
        <v>-0.8695652173913051</v>
      </c>
      <c r="N8" s="5">
        <f t="shared" si="3"/>
        <v>-0.34914361001318067</v>
      </c>
      <c r="O8" s="5">
        <f t="shared" si="4"/>
        <v>-0.74184782608696531</v>
      </c>
      <c r="P8" s="5">
        <f t="shared" si="5"/>
        <v>-0.66956521739130781</v>
      </c>
      <c r="Q8" s="6" t="str">
        <f t="shared" si="6"/>
        <v>Yes</v>
      </c>
    </row>
    <row r="9" spans="1:17" x14ac:dyDescent="0.3">
      <c r="A9" s="6" t="s">
        <v>149</v>
      </c>
      <c r="B9" s="6"/>
      <c r="C9" s="6" t="s">
        <v>150</v>
      </c>
      <c r="D9" s="6">
        <v>0.92</v>
      </c>
      <c r="E9" s="6">
        <v>0.92200000000000004</v>
      </c>
      <c r="F9" s="6">
        <v>1.3766</v>
      </c>
      <c r="G9" s="6">
        <v>1.8243</v>
      </c>
      <c r="H9" s="6">
        <v>3.0255999999999998</v>
      </c>
      <c r="I9" s="6">
        <v>3.6545999999999998</v>
      </c>
      <c r="J9" s="6">
        <v>4.5693999999999999</v>
      </c>
      <c r="K9" s="5">
        <f t="shared" si="0"/>
        <v>0.21739130434782628</v>
      </c>
      <c r="L9" s="5">
        <f t="shared" si="1"/>
        <v>-0.24637681159420793</v>
      </c>
      <c r="M9" s="5">
        <f t="shared" si="2"/>
        <v>-0.85326086956521996</v>
      </c>
      <c r="N9" s="5">
        <f t="shared" si="3"/>
        <v>-0.34255599472991394</v>
      </c>
      <c r="O9" s="5">
        <f t="shared" si="4"/>
        <v>-0.69021739130435622</v>
      </c>
      <c r="P9" s="5">
        <f t="shared" si="5"/>
        <v>-0.66521739130436142</v>
      </c>
      <c r="Q9" s="6" t="str">
        <f t="shared" si="6"/>
        <v>Yes</v>
      </c>
    </row>
    <row r="10" spans="1:17" x14ac:dyDescent="0.3">
      <c r="A10" s="16">
        <v>46026</v>
      </c>
      <c r="B10" s="6"/>
      <c r="C10" s="6" t="s">
        <v>134</v>
      </c>
      <c r="D10" s="6">
        <v>0.92</v>
      </c>
      <c r="E10" s="6">
        <v>0.92179999999999995</v>
      </c>
      <c r="F10" s="6">
        <v>1.3762000000000001</v>
      </c>
      <c r="G10" s="6">
        <v>1.8239000000000001</v>
      </c>
      <c r="H10" s="6">
        <v>3.0251999999999999</v>
      </c>
      <c r="I10" s="6">
        <v>3.6535000000000002</v>
      </c>
      <c r="J10" s="6">
        <v>4.5674000000000001</v>
      </c>
      <c r="K10" s="5">
        <f t="shared" si="0"/>
        <v>0.19565217391303399</v>
      </c>
      <c r="L10" s="5">
        <f t="shared" si="1"/>
        <v>-0.27536231884058154</v>
      </c>
      <c r="M10" s="5">
        <f t="shared" si="2"/>
        <v>-0.87500000000000011</v>
      </c>
      <c r="N10" s="5">
        <f t="shared" si="3"/>
        <v>-0.35573122529644741</v>
      </c>
      <c r="O10" s="5">
        <f t="shared" si="4"/>
        <v>-0.72010869565217306</v>
      </c>
      <c r="P10" s="5">
        <f t="shared" si="5"/>
        <v>-0.70869565217392183</v>
      </c>
      <c r="Q10" s="50" t="str">
        <f t="shared" si="6"/>
        <v>Yes</v>
      </c>
    </row>
    <row r="11" spans="1:17" x14ac:dyDescent="0.3">
      <c r="A11" s="6" t="s">
        <v>165</v>
      </c>
      <c r="B11" s="6"/>
      <c r="C11" s="6" t="s">
        <v>166</v>
      </c>
      <c r="D11" s="6">
        <v>0.92</v>
      </c>
      <c r="E11" s="6">
        <v>0.9224</v>
      </c>
      <c r="F11" s="6">
        <v>1.3758999999999999</v>
      </c>
      <c r="G11" s="6">
        <v>1.8239000000000001</v>
      </c>
      <c r="H11" s="6">
        <v>3.0253000000000001</v>
      </c>
      <c r="I11" s="6">
        <v>3.6543000000000001</v>
      </c>
      <c r="J11" s="6">
        <v>4.5693000000000001</v>
      </c>
      <c r="K11" s="5">
        <f t="shared" si="0"/>
        <v>0.26086956521738669</v>
      </c>
      <c r="L11" s="5">
        <f t="shared" si="1"/>
        <v>-0.29710144927537785</v>
      </c>
      <c r="M11" s="5">
        <f t="shared" si="2"/>
        <v>-0.87500000000000011</v>
      </c>
      <c r="N11" s="5">
        <f t="shared" si="3"/>
        <v>-0.35243741765480668</v>
      </c>
      <c r="O11" s="5">
        <f t="shared" si="4"/>
        <v>-0.6983695652173928</v>
      </c>
      <c r="P11" s="5">
        <f t="shared" si="5"/>
        <v>-0.66739130434783456</v>
      </c>
      <c r="Q11" s="6" t="str">
        <f t="shared" si="6"/>
        <v>Yes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5">
        <f t="shared" si="0"/>
        <v>0</v>
      </c>
      <c r="L12" s="5">
        <f t="shared" si="1"/>
        <v>0</v>
      </c>
      <c r="M12" s="5">
        <f t="shared" si="2"/>
        <v>0</v>
      </c>
      <c r="N12" s="5">
        <f t="shared" si="3"/>
        <v>0</v>
      </c>
      <c r="O12" s="5">
        <f t="shared" si="4"/>
        <v>0</v>
      </c>
      <c r="P12" s="5">
        <f t="shared" si="5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5">
        <f t="shared" si="0"/>
        <v>0</v>
      </c>
      <c r="L13" s="5">
        <f t="shared" si="1"/>
        <v>0</v>
      </c>
      <c r="M13" s="5">
        <f t="shared" si="2"/>
        <v>0</v>
      </c>
      <c r="N13" s="5">
        <f t="shared" si="3"/>
        <v>0</v>
      </c>
      <c r="O13" s="5">
        <f t="shared" si="4"/>
        <v>0</v>
      </c>
      <c r="P13" s="5">
        <f t="shared" si="5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5">
        <f t="shared" si="0"/>
        <v>0</v>
      </c>
      <c r="L14" s="5">
        <f t="shared" si="1"/>
        <v>0</v>
      </c>
      <c r="M14" s="5">
        <f t="shared" si="2"/>
        <v>0</v>
      </c>
      <c r="N14" s="5">
        <f t="shared" si="3"/>
        <v>0</v>
      </c>
      <c r="O14" s="5">
        <f t="shared" si="4"/>
        <v>0</v>
      </c>
      <c r="P14" s="5">
        <f t="shared" si="5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5">
        <f t="shared" si="0"/>
        <v>0</v>
      </c>
      <c r="L15" s="5">
        <f t="shared" si="1"/>
        <v>0</v>
      </c>
      <c r="M15" s="5">
        <f t="shared" si="2"/>
        <v>0</v>
      </c>
      <c r="N15" s="5">
        <f t="shared" si="3"/>
        <v>0</v>
      </c>
      <c r="O15" s="5">
        <f t="shared" si="4"/>
        <v>0</v>
      </c>
      <c r="P15" s="5">
        <f t="shared" si="5"/>
        <v>0</v>
      </c>
      <c r="Q15" s="6" t="str">
        <f t="shared" si="6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5">
        <f t="shared" si="0"/>
        <v>0</v>
      </c>
      <c r="L16" s="5">
        <f t="shared" si="1"/>
        <v>0</v>
      </c>
      <c r="M16" s="5">
        <f t="shared" si="2"/>
        <v>0</v>
      </c>
      <c r="N16" s="5">
        <f t="shared" si="3"/>
        <v>0</v>
      </c>
      <c r="O16" s="5">
        <f t="shared" si="4"/>
        <v>0</v>
      </c>
      <c r="P16" s="5">
        <f t="shared" si="5"/>
        <v>0</v>
      </c>
      <c r="Q16" s="6" t="str">
        <f t="shared" si="6"/>
        <v>Ready to test</v>
      </c>
    </row>
  </sheetData>
  <mergeCells count="7">
    <mergeCell ref="Q1:Q2"/>
    <mergeCell ref="E1:J1"/>
    <mergeCell ref="K1:P1"/>
    <mergeCell ref="A1:A2"/>
    <mergeCell ref="B1:B2"/>
    <mergeCell ref="C1:C2"/>
    <mergeCell ref="D1:D2"/>
  </mergeCells>
  <conditionalFormatting sqref="Q3:Q9">
    <cfRule type="expression" dxfId="131" priority="1">
      <formula>Q3="Alert"</formula>
    </cfRule>
    <cfRule type="expression" dxfId="130" priority="2">
      <formula>Q3="Yes"</formula>
    </cfRule>
    <cfRule type="expression" dxfId="129" priority="3">
      <formula>Q3="No"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16"/>
  <sheetViews>
    <sheetView workbookViewId="0">
      <selection activeCell="A11" sqref="A11:D11"/>
    </sheetView>
  </sheetViews>
  <sheetFormatPr defaultColWidth="18.33203125" defaultRowHeight="14.4" x14ac:dyDescent="0.3"/>
  <cols>
    <col min="1" max="2" width="18.33203125" style="1" customWidth="1"/>
    <col min="3" max="4" width="18.33203125" style="1"/>
    <col min="5" max="5" width="10.44140625" style="1" customWidth="1"/>
    <col min="6" max="6" width="14.6640625" style="1" customWidth="1"/>
    <col min="7" max="7" width="9.33203125" style="1" customWidth="1"/>
    <col min="8" max="8" width="12.88671875" style="1" customWidth="1"/>
    <col min="9" max="9" width="9.33203125" style="1" customWidth="1"/>
    <col min="10" max="10" width="7.109375" style="1" bestFit="1" customWidth="1"/>
    <col min="11" max="16384" width="18.33203125" style="1"/>
  </cols>
  <sheetData>
    <row r="1" spans="1:17" ht="28.5" customHeight="1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4.7" customHeight="1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2" t="s">
        <v>94</v>
      </c>
      <c r="O2" s="2" t="s">
        <v>95</v>
      </c>
      <c r="P2" s="2" t="s">
        <v>96</v>
      </c>
      <c r="Q2" s="67"/>
    </row>
    <row r="3" spans="1:17" x14ac:dyDescent="0.3">
      <c r="A3" s="7">
        <v>45797</v>
      </c>
      <c r="B3" s="4" t="s">
        <v>167</v>
      </c>
      <c r="C3" s="4" t="s">
        <v>103</v>
      </c>
      <c r="D3" s="4">
        <v>0.92</v>
      </c>
      <c r="E3" s="1">
        <v>0.92159999999999997</v>
      </c>
      <c r="F3" s="10">
        <v>1.3758999999999999</v>
      </c>
      <c r="G3" s="4">
        <v>1.8238000000000001</v>
      </c>
      <c r="H3" s="10">
        <v>3.0245000000000002</v>
      </c>
      <c r="I3" s="10">
        <v>3.6533000000000002</v>
      </c>
      <c r="J3" s="1">
        <v>4.5685000000000002</v>
      </c>
      <c r="K3" s="5">
        <f t="shared" ref="K3:K16" si="0">IF(D3=0, 0, 100*(E3 - D3*1)/(D3*1))</f>
        <v>0.17391304347825379</v>
      </c>
      <c r="L3" s="5">
        <f t="shared" ref="L3:L16" si="1">IF(D3=0, 0, 100*(F3 - D3*1.5)/(D3*1.5))</f>
        <v>-0.29710144927537785</v>
      </c>
      <c r="M3" s="5">
        <f t="shared" ref="M3:M16" si="2">IF(D3=0, 0, 100*(G3 - D3*2)/(D3*2))</f>
        <v>-0.88043478260869523</v>
      </c>
      <c r="N3" s="5">
        <f t="shared" ref="N3:N16" si="3">IF(D3=0, 0, 100*(H3 - D3*3.3)/(D3*3.3))</f>
        <v>-0.37878787878787362</v>
      </c>
      <c r="O3" s="5">
        <f t="shared" ref="O3:O16" si="4">IF(D3=0, 0, 100*(I3 - D3*4)/(D3*4))</f>
        <v>-0.72554347826086807</v>
      </c>
      <c r="P3" s="5">
        <f t="shared" ref="P3:P16" si="5">IF(D3=0, 0, 100*(J3 - D3*5)/(D3*5))</f>
        <v>-0.68478260869565877</v>
      </c>
      <c r="Q3" s="4" t="str">
        <f t="shared" ref="Q3:Q16" si="6"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>
        <v>45799</v>
      </c>
      <c r="B4" s="6"/>
      <c r="C4" s="6" t="s">
        <v>127</v>
      </c>
      <c r="D4" s="6">
        <v>0.92</v>
      </c>
      <c r="E4" s="6">
        <v>0.92179999999999995</v>
      </c>
      <c r="F4" s="6">
        <v>1.3763000000000001</v>
      </c>
      <c r="G4" s="6">
        <v>1.8238000000000001</v>
      </c>
      <c r="H4" s="6">
        <v>3.0253999999999999</v>
      </c>
      <c r="I4" s="6">
        <v>3.6551</v>
      </c>
      <c r="J4" s="6">
        <v>4.5686</v>
      </c>
      <c r="K4" s="5">
        <f t="shared" si="0"/>
        <v>0.19565217391303399</v>
      </c>
      <c r="L4" s="5">
        <f t="shared" si="1"/>
        <v>-0.26811594202898814</v>
      </c>
      <c r="M4" s="5">
        <f t="shared" si="2"/>
        <v>-0.88043478260869523</v>
      </c>
      <c r="N4" s="5">
        <f t="shared" si="3"/>
        <v>-0.34914361001318067</v>
      </c>
      <c r="O4" s="5">
        <f t="shared" si="4"/>
        <v>-0.67663043478261253</v>
      </c>
      <c r="P4" s="5">
        <f t="shared" si="5"/>
        <v>-0.68260869565218552</v>
      </c>
      <c r="Q4" s="6" t="str">
        <f t="shared" si="6"/>
        <v>Yes</v>
      </c>
    </row>
    <row r="5" spans="1:17" x14ac:dyDescent="0.3">
      <c r="A5" s="6" t="s">
        <v>168</v>
      </c>
      <c r="B5" s="6"/>
      <c r="C5" s="6" t="s">
        <v>128</v>
      </c>
      <c r="D5" s="6">
        <v>0.91990000000000005</v>
      </c>
      <c r="E5" s="6">
        <v>0.92169999999999996</v>
      </c>
      <c r="F5" s="6">
        <v>1.3757999999999999</v>
      </c>
      <c r="G5" s="6">
        <v>1.8238000000000001</v>
      </c>
      <c r="H5" s="6">
        <v>3.0249000000000001</v>
      </c>
      <c r="I5" s="6">
        <v>3.6541000000000001</v>
      </c>
      <c r="J5" s="6">
        <v>4.5685000000000002</v>
      </c>
      <c r="K5" s="5">
        <f t="shared" si="0"/>
        <v>0.19567344276550849</v>
      </c>
      <c r="L5" s="5">
        <f t="shared" si="1"/>
        <v>-0.2935101641482849</v>
      </c>
      <c r="M5" s="5">
        <f t="shared" si="2"/>
        <v>-0.86965974562452508</v>
      </c>
      <c r="N5" s="5">
        <f t="shared" si="3"/>
        <v>-0.35478164622636671</v>
      </c>
      <c r="O5" s="5">
        <f t="shared" si="4"/>
        <v>-0.69301010979454503</v>
      </c>
      <c r="P5" s="5">
        <f t="shared" si="5"/>
        <v>-0.67398630285899974</v>
      </c>
      <c r="Q5" s="6" t="str">
        <f t="shared" si="6"/>
        <v>Yes</v>
      </c>
    </row>
    <row r="6" spans="1:17" x14ac:dyDescent="0.3">
      <c r="A6" s="6" t="s">
        <v>159</v>
      </c>
      <c r="B6" s="6"/>
      <c r="C6" s="6" t="s">
        <v>160</v>
      </c>
      <c r="D6" s="6">
        <v>0.92</v>
      </c>
      <c r="E6" s="6">
        <v>0.92149999999999999</v>
      </c>
      <c r="F6" s="6">
        <v>1.3752</v>
      </c>
      <c r="G6" s="6">
        <v>1.8234999999999999</v>
      </c>
      <c r="H6" s="6">
        <v>3.0240999999999998</v>
      </c>
      <c r="I6" s="6">
        <v>3.6526999999999998</v>
      </c>
      <c r="J6" s="6">
        <v>4.5686</v>
      </c>
      <c r="K6" s="5">
        <f t="shared" si="0"/>
        <v>0.16304347826086366</v>
      </c>
      <c r="L6" s="5">
        <f t="shared" si="1"/>
        <v>-0.34782608695653167</v>
      </c>
      <c r="M6" s="5">
        <f t="shared" si="2"/>
        <v>-0.89673913043479236</v>
      </c>
      <c r="N6" s="5">
        <f t="shared" si="3"/>
        <v>-0.39196310935442175</v>
      </c>
      <c r="O6" s="5">
        <f t="shared" si="4"/>
        <v>-0.74184782608696531</v>
      </c>
      <c r="P6" s="5">
        <f t="shared" si="5"/>
        <v>-0.68260869565218552</v>
      </c>
      <c r="Q6" s="6" t="str">
        <f t="shared" si="6"/>
        <v>Yes</v>
      </c>
    </row>
    <row r="7" spans="1:17" x14ac:dyDescent="0.3">
      <c r="A7" s="16">
        <v>45939</v>
      </c>
      <c r="B7" s="6" t="s">
        <v>161</v>
      </c>
      <c r="C7" s="6" t="s">
        <v>98</v>
      </c>
      <c r="D7" s="6">
        <v>0.92</v>
      </c>
      <c r="E7" s="6">
        <v>0.92159999999999997</v>
      </c>
      <c r="F7" s="6">
        <v>1.3757999999999999</v>
      </c>
      <c r="G7" s="6">
        <v>1.8236000000000001</v>
      </c>
      <c r="H7" s="6">
        <v>3.0249000000000001</v>
      </c>
      <c r="I7" s="6">
        <v>3.6537000000000002</v>
      </c>
      <c r="J7" s="6">
        <v>4.5683999999999996</v>
      </c>
      <c r="K7" s="5">
        <f t="shared" si="0"/>
        <v>0.17391304347825379</v>
      </c>
      <c r="L7" s="5">
        <f t="shared" si="1"/>
        <v>-0.30434782608697125</v>
      </c>
      <c r="M7" s="5">
        <f t="shared" si="2"/>
        <v>-0.89130434782608525</v>
      </c>
      <c r="N7" s="5">
        <f t="shared" si="3"/>
        <v>-0.36561264822134015</v>
      </c>
      <c r="O7" s="5">
        <f t="shared" si="4"/>
        <v>-0.71467391304347794</v>
      </c>
      <c r="P7" s="5">
        <f t="shared" si="5"/>
        <v>-0.68695652173915123</v>
      </c>
      <c r="Q7" s="6" t="str">
        <f t="shared" si="6"/>
        <v>Yes</v>
      </c>
    </row>
    <row r="8" spans="1:17" x14ac:dyDescent="0.3">
      <c r="A8" s="6" t="s">
        <v>162</v>
      </c>
      <c r="B8" s="6" t="s">
        <v>169</v>
      </c>
      <c r="C8" s="6" t="s">
        <v>164</v>
      </c>
      <c r="D8" s="6">
        <v>0.92</v>
      </c>
      <c r="E8" s="1">
        <v>0.92159999999999997</v>
      </c>
      <c r="F8" s="6">
        <v>1.3753</v>
      </c>
      <c r="G8" s="6">
        <v>1.8234999999999999</v>
      </c>
      <c r="H8" s="6">
        <v>3.0247000000000002</v>
      </c>
      <c r="I8" s="6">
        <v>3.6539999999999999</v>
      </c>
      <c r="J8" s="6">
        <v>4.5678000000000001</v>
      </c>
      <c r="K8" s="5">
        <f>IF(D8=0, 0, 100*(E8 - D8*1)/(D8*1))</f>
        <v>0.17391304347825379</v>
      </c>
      <c r="L8" s="5">
        <f t="shared" ref="L8" si="7">IF(D8=0, 0, 100*(F8 - D8*1.5)/(D8*1.5))</f>
        <v>-0.34057971014493826</v>
      </c>
      <c r="M8" s="5">
        <f t="shared" ref="M8" si="8">IF(D8=0, 0, 100*(G8 - D8*2)/(D8*2))</f>
        <v>-0.89673913043479236</v>
      </c>
      <c r="N8" s="5">
        <f t="shared" ref="N8" si="9">IF(D8=0, 0, 100*(H8 - D8*3.3)/(D8*3.3))</f>
        <v>-0.37220026350460689</v>
      </c>
      <c r="O8" s="5">
        <f t="shared" ref="O8" si="10">IF(D8=0, 0, 100*(I8 - D8*4)/(D8*4))</f>
        <v>-0.70652173913044136</v>
      </c>
      <c r="P8" s="5">
        <f t="shared" ref="P8" si="11">IF(D8=0, 0, 100*(J8 - D8*5)/(D8*5))</f>
        <v>-0.70000000000000973</v>
      </c>
      <c r="Q8" s="6" t="str">
        <f t="shared" si="6"/>
        <v>Yes</v>
      </c>
    </row>
    <row r="9" spans="1:17" x14ac:dyDescent="0.3">
      <c r="A9" s="6" t="s">
        <v>149</v>
      </c>
      <c r="B9" s="6"/>
      <c r="C9" s="6" t="s">
        <v>150</v>
      </c>
      <c r="D9" s="6">
        <v>0.92</v>
      </c>
      <c r="E9" s="6">
        <v>0.92159999999999997</v>
      </c>
      <c r="F9" s="6">
        <v>1.3763000000000001</v>
      </c>
      <c r="G9" s="6">
        <v>1.8239000000000001</v>
      </c>
      <c r="H9" s="6">
        <v>3.0255000000000001</v>
      </c>
      <c r="I9" s="6">
        <v>3.6537000000000002</v>
      </c>
      <c r="J9" s="6">
        <v>4.5686</v>
      </c>
      <c r="K9" s="5">
        <f t="shared" si="0"/>
        <v>0.17391304347825379</v>
      </c>
      <c r="L9" s="5">
        <f t="shared" si="1"/>
        <v>-0.26811594202898814</v>
      </c>
      <c r="M9" s="5">
        <f t="shared" si="2"/>
        <v>-0.87500000000000011</v>
      </c>
      <c r="N9" s="5">
        <f t="shared" si="3"/>
        <v>-0.34584980237153995</v>
      </c>
      <c r="O9" s="5">
        <f t="shared" si="4"/>
        <v>-0.71467391304347794</v>
      </c>
      <c r="P9" s="5">
        <f t="shared" si="5"/>
        <v>-0.68260869565218552</v>
      </c>
      <c r="Q9" s="6" t="str">
        <f t="shared" si="6"/>
        <v>Yes</v>
      </c>
    </row>
    <row r="10" spans="1:17" x14ac:dyDescent="0.3">
      <c r="A10" s="16">
        <v>46026</v>
      </c>
      <c r="B10" s="6"/>
      <c r="C10" s="6" t="s">
        <v>134</v>
      </c>
      <c r="D10" s="6">
        <v>0.92</v>
      </c>
      <c r="E10" s="6">
        <v>0.92159999999999997</v>
      </c>
      <c r="F10" s="6">
        <v>1.3757999999999999</v>
      </c>
      <c r="G10" s="6">
        <v>1.8237000000000001</v>
      </c>
      <c r="H10" s="6">
        <v>3.0253000000000001</v>
      </c>
      <c r="I10" s="6">
        <v>3.6549</v>
      </c>
      <c r="J10" s="6">
        <v>4.5674999999999999</v>
      </c>
      <c r="K10" s="5">
        <f t="shared" si="0"/>
        <v>0.17391304347825379</v>
      </c>
      <c r="L10" s="5">
        <f t="shared" si="1"/>
        <v>-0.30434782608697125</v>
      </c>
      <c r="M10" s="5">
        <f t="shared" si="2"/>
        <v>-0.88586956521739024</v>
      </c>
      <c r="N10" s="5">
        <f t="shared" si="3"/>
        <v>-0.35243741765480668</v>
      </c>
      <c r="O10" s="5">
        <f t="shared" si="4"/>
        <v>-0.68206521739130765</v>
      </c>
      <c r="P10" s="5">
        <f t="shared" si="5"/>
        <v>-0.70652173913044858</v>
      </c>
      <c r="Q10" s="6" t="str">
        <f t="shared" si="6"/>
        <v>Yes</v>
      </c>
    </row>
    <row r="11" spans="1:17" x14ac:dyDescent="0.3">
      <c r="A11" s="6" t="s">
        <v>165</v>
      </c>
      <c r="B11" s="6"/>
      <c r="C11" s="6" t="s">
        <v>166</v>
      </c>
      <c r="D11" s="6">
        <v>0.92</v>
      </c>
      <c r="E11" s="6">
        <v>0.92159999999999997</v>
      </c>
      <c r="F11" s="6">
        <v>1.3756999999999999</v>
      </c>
      <c r="G11" s="6">
        <v>1.8234999999999999</v>
      </c>
      <c r="H11" s="6">
        <v>3.0249000000000001</v>
      </c>
      <c r="I11" s="6">
        <v>3.6535000000000002</v>
      </c>
      <c r="J11" s="6">
        <v>4.5685000000000002</v>
      </c>
      <c r="K11" s="5">
        <f t="shared" si="0"/>
        <v>0.17391304347825379</v>
      </c>
      <c r="L11" s="5">
        <f t="shared" si="1"/>
        <v>-0.31159420289856465</v>
      </c>
      <c r="M11" s="5">
        <f t="shared" si="2"/>
        <v>-0.89673913043479236</v>
      </c>
      <c r="N11" s="5">
        <f t="shared" si="3"/>
        <v>-0.36561264822134015</v>
      </c>
      <c r="O11" s="5">
        <f t="shared" si="4"/>
        <v>-0.72010869565217306</v>
      </c>
      <c r="P11" s="5">
        <f t="shared" si="5"/>
        <v>-0.68478260869565877</v>
      </c>
      <c r="Q11" s="6" t="str">
        <f t="shared" si="6"/>
        <v>Yes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5">
        <f t="shared" si="0"/>
        <v>0</v>
      </c>
      <c r="L12" s="5">
        <f t="shared" si="1"/>
        <v>0</v>
      </c>
      <c r="M12" s="5">
        <f t="shared" si="2"/>
        <v>0</v>
      </c>
      <c r="N12" s="5">
        <f t="shared" si="3"/>
        <v>0</v>
      </c>
      <c r="O12" s="5">
        <f t="shared" si="4"/>
        <v>0</v>
      </c>
      <c r="P12" s="5">
        <f t="shared" si="5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5">
        <f t="shared" si="0"/>
        <v>0</v>
      </c>
      <c r="L13" s="5">
        <f t="shared" si="1"/>
        <v>0</v>
      </c>
      <c r="M13" s="5">
        <f t="shared" si="2"/>
        <v>0</v>
      </c>
      <c r="N13" s="5">
        <f t="shared" si="3"/>
        <v>0</v>
      </c>
      <c r="O13" s="5">
        <f t="shared" si="4"/>
        <v>0</v>
      </c>
      <c r="P13" s="5">
        <f t="shared" si="5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5">
        <f t="shared" si="0"/>
        <v>0</v>
      </c>
      <c r="L14" s="5">
        <f t="shared" si="1"/>
        <v>0</v>
      </c>
      <c r="M14" s="5">
        <f t="shared" si="2"/>
        <v>0</v>
      </c>
      <c r="N14" s="5">
        <f t="shared" si="3"/>
        <v>0</v>
      </c>
      <c r="O14" s="5">
        <f t="shared" si="4"/>
        <v>0</v>
      </c>
      <c r="P14" s="5">
        <f t="shared" si="5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5">
        <f t="shared" si="0"/>
        <v>0</v>
      </c>
      <c r="L15" s="5">
        <f t="shared" si="1"/>
        <v>0</v>
      </c>
      <c r="M15" s="5">
        <f t="shared" si="2"/>
        <v>0</v>
      </c>
      <c r="N15" s="5">
        <f t="shared" si="3"/>
        <v>0</v>
      </c>
      <c r="O15" s="5">
        <f t="shared" si="4"/>
        <v>0</v>
      </c>
      <c r="P15" s="5">
        <f t="shared" si="5"/>
        <v>0</v>
      </c>
      <c r="Q15" s="6" t="str">
        <f t="shared" si="6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5">
        <f t="shared" si="0"/>
        <v>0</v>
      </c>
      <c r="L16" s="5">
        <f t="shared" si="1"/>
        <v>0</v>
      </c>
      <c r="M16" s="5">
        <f t="shared" si="2"/>
        <v>0</v>
      </c>
      <c r="N16" s="5">
        <f t="shared" si="3"/>
        <v>0</v>
      </c>
      <c r="O16" s="5">
        <f t="shared" si="4"/>
        <v>0</v>
      </c>
      <c r="P16" s="5">
        <f t="shared" si="5"/>
        <v>0</v>
      </c>
      <c r="Q16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9">
    <cfRule type="expression" dxfId="128" priority="1">
      <formula>Q3="Alert"</formula>
    </cfRule>
    <cfRule type="expression" dxfId="127" priority="2">
      <formula>Q3="Yes"</formula>
    </cfRule>
    <cfRule type="expression" dxfId="126" priority="3">
      <formula>Q3="No"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15"/>
  <sheetViews>
    <sheetView zoomScale="80" zoomScaleNormal="80" workbookViewId="0">
      <selection activeCell="K8" sqref="K8:P8"/>
    </sheetView>
  </sheetViews>
  <sheetFormatPr defaultColWidth="18.33203125" defaultRowHeight="14.4" x14ac:dyDescent="0.3"/>
  <cols>
    <col min="1" max="2" width="18.33203125" style="1" customWidth="1"/>
    <col min="3" max="4" width="18.33203125" style="1"/>
    <col min="5" max="5" width="14" style="1" customWidth="1"/>
    <col min="6" max="6" width="13.5546875" style="1" customWidth="1"/>
    <col min="7" max="7" width="11.109375" style="1" customWidth="1"/>
    <col min="8" max="8" width="12" style="1" customWidth="1"/>
    <col min="9" max="9" width="11.44140625" style="1" customWidth="1"/>
    <col min="10" max="10" width="11.109375" style="1" customWidth="1"/>
    <col min="11" max="11" width="11.44140625" style="1" customWidth="1"/>
    <col min="12" max="12" width="12.44140625" style="1" customWidth="1"/>
    <col min="13" max="13" width="13.33203125" style="1" customWidth="1"/>
    <col min="14" max="14" width="13.109375" style="1" customWidth="1"/>
    <col min="15" max="15" width="13.5546875" style="1" customWidth="1"/>
    <col min="16" max="16" width="12.109375" style="1" customWidth="1"/>
    <col min="17" max="16384" width="18.33203125" style="1"/>
  </cols>
  <sheetData>
    <row r="1" spans="1:17" ht="14.7" customHeight="1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4.7" customHeight="1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2" t="s">
        <v>94</v>
      </c>
      <c r="O2" s="2" t="s">
        <v>95</v>
      </c>
      <c r="P2" s="2" t="s">
        <v>96</v>
      </c>
      <c r="Q2" s="67"/>
    </row>
    <row r="3" spans="1:17" x14ac:dyDescent="0.3">
      <c r="A3" s="16">
        <v>45799</v>
      </c>
      <c r="B3" s="6"/>
      <c r="C3" s="6" t="s">
        <v>127</v>
      </c>
      <c r="D3" s="6">
        <v>0.92</v>
      </c>
      <c r="E3" s="6">
        <v>0.92190000000000005</v>
      </c>
      <c r="F3" s="17">
        <v>1.3764000000000001</v>
      </c>
      <c r="G3" s="6">
        <v>1.8240000000000001</v>
      </c>
      <c r="H3" s="6">
        <v>3.0255000000000001</v>
      </c>
      <c r="I3" s="6">
        <v>3.6551</v>
      </c>
      <c r="J3" s="6">
        <v>4.569</v>
      </c>
      <c r="K3" s="5">
        <f t="shared" ref="K3:K15" si="0">IF(D3=0, 0, 100*(E3 - D3*1)/(D3*1))</f>
        <v>0.20652173913043617</v>
      </c>
      <c r="L3" s="5">
        <f t="shared" ref="L3:L15" si="1">IF(D3=0, 0, 100*(F3 - D3*1.5)/(D3*1.5))</f>
        <v>-0.26086956521739474</v>
      </c>
      <c r="M3" s="5">
        <f t="shared" ref="M3:M15" si="2">IF(D3=0, 0, 100*(G3 - D3*2)/(D3*2))</f>
        <v>-0.8695652173913051</v>
      </c>
      <c r="N3" s="5">
        <f t="shared" ref="N3:N15" si="3">IF(D3=0, 0, 100*(H3 - D3*3.3)/(D3*3.3))</f>
        <v>-0.34584980237153995</v>
      </c>
      <c r="O3" s="5">
        <f t="shared" ref="O3:O15" si="4">IF(D3=0, 0, 100*(I3 - D3*4)/(D3*4))</f>
        <v>-0.67663043478261253</v>
      </c>
      <c r="P3" s="5">
        <f t="shared" ref="P3:P15" si="5">IF(D3=0, 0, 100*(J3 - D3*5)/(D3*5))</f>
        <v>-0.67391304347827341</v>
      </c>
      <c r="Q3" s="6" t="str">
        <f t="shared" ref="Q3:Q15" si="6"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>
        <v>45824</v>
      </c>
      <c r="B4" s="6" t="s">
        <v>5</v>
      </c>
      <c r="C4" s="6" t="s">
        <v>98</v>
      </c>
      <c r="D4" s="6">
        <v>0.92</v>
      </c>
      <c r="E4" s="6">
        <v>0.92179999999999995</v>
      </c>
      <c r="F4" s="6">
        <v>1.3759999999999999</v>
      </c>
      <c r="G4" s="6">
        <v>1.8238000000000001</v>
      </c>
      <c r="H4" s="6">
        <v>3.0251999999999999</v>
      </c>
      <c r="I4" s="6">
        <v>3.6541999999999999</v>
      </c>
      <c r="J4" s="6">
        <v>4.569</v>
      </c>
      <c r="K4" s="5">
        <f t="shared" si="0"/>
        <v>0.19565217391303399</v>
      </c>
      <c r="L4" s="5">
        <f t="shared" si="1"/>
        <v>-0.28985507246378445</v>
      </c>
      <c r="M4" s="5">
        <f t="shared" si="2"/>
        <v>-0.88043478260869523</v>
      </c>
      <c r="N4" s="5">
        <f t="shared" si="3"/>
        <v>-0.35573122529644741</v>
      </c>
      <c r="O4" s="5">
        <f t="shared" si="4"/>
        <v>-0.70108695652174635</v>
      </c>
      <c r="P4" s="5">
        <f t="shared" si="5"/>
        <v>-0.67391304347827341</v>
      </c>
      <c r="Q4" s="6" t="str">
        <f t="shared" si="6"/>
        <v>Yes</v>
      </c>
    </row>
    <row r="5" spans="1:17" x14ac:dyDescent="0.3">
      <c r="A5" s="6" t="s">
        <v>159</v>
      </c>
      <c r="B5" s="6"/>
      <c r="C5" s="6" t="s">
        <v>160</v>
      </c>
      <c r="D5" s="6">
        <v>0.92</v>
      </c>
      <c r="E5" s="6">
        <v>0.9224</v>
      </c>
      <c r="F5" s="6">
        <v>1.3754999999999999</v>
      </c>
      <c r="G5" s="6">
        <v>1.8243</v>
      </c>
      <c r="H5" s="6">
        <v>3.0249999999999999</v>
      </c>
      <c r="I5" s="6">
        <v>3.6534</v>
      </c>
      <c r="J5" s="6">
        <v>4.5688000000000004</v>
      </c>
      <c r="K5" s="5">
        <f t="shared" si="0"/>
        <v>0.26086956521738669</v>
      </c>
      <c r="L5" s="5">
        <f t="shared" si="1"/>
        <v>-0.32608695652175146</v>
      </c>
      <c r="M5" s="5">
        <f t="shared" si="2"/>
        <v>-0.85326086956521996</v>
      </c>
      <c r="N5" s="5">
        <f t="shared" si="3"/>
        <v>-0.36231884057971414</v>
      </c>
      <c r="O5" s="5">
        <f t="shared" si="4"/>
        <v>-0.72282608695652661</v>
      </c>
      <c r="P5" s="5">
        <f t="shared" si="5"/>
        <v>-0.6782608695652198</v>
      </c>
      <c r="Q5" s="6" t="str">
        <f t="shared" si="6"/>
        <v>Yes</v>
      </c>
    </row>
    <row r="6" spans="1:17" x14ac:dyDescent="0.3">
      <c r="A6" s="38">
        <v>45901</v>
      </c>
      <c r="B6" s="6"/>
      <c r="C6" s="6" t="s">
        <v>103</v>
      </c>
      <c r="D6" s="6">
        <v>0.92</v>
      </c>
      <c r="E6" s="6">
        <v>0.92220000000000002</v>
      </c>
      <c r="F6" s="6">
        <v>1.3755999999999999</v>
      </c>
      <c r="G6" s="6">
        <v>1.8243</v>
      </c>
      <c r="H6" s="6">
        <v>3.0251000000000001</v>
      </c>
      <c r="I6" s="6">
        <v>3.6541999999999999</v>
      </c>
      <c r="J6" s="6">
        <v>4.569</v>
      </c>
      <c r="K6" s="5">
        <f t="shared" si="0"/>
        <v>0.23913043478260648</v>
      </c>
      <c r="L6" s="5">
        <f t="shared" si="1"/>
        <v>-0.31884057971015806</v>
      </c>
      <c r="M6" s="5">
        <f t="shared" si="2"/>
        <v>-0.85326086956521996</v>
      </c>
      <c r="N6" s="5">
        <f t="shared" si="3"/>
        <v>-0.35902503293807342</v>
      </c>
      <c r="O6" s="5">
        <f t="shared" si="4"/>
        <v>-0.70108695652174635</v>
      </c>
      <c r="P6" s="5">
        <f t="shared" si="5"/>
        <v>-0.67391304347827341</v>
      </c>
      <c r="Q6" s="6" t="str">
        <f t="shared" si="6"/>
        <v>Yes</v>
      </c>
    </row>
    <row r="7" spans="1:17" x14ac:dyDescent="0.3">
      <c r="A7" s="16">
        <v>45941</v>
      </c>
      <c r="B7" s="6"/>
      <c r="C7" s="6" t="s">
        <v>101</v>
      </c>
      <c r="D7" s="6">
        <v>0.92</v>
      </c>
      <c r="E7" s="6">
        <v>0.92179999999999995</v>
      </c>
      <c r="F7" s="6">
        <v>1.3759999999999999</v>
      </c>
      <c r="G7" s="6">
        <v>1.8239000000000001</v>
      </c>
      <c r="H7" s="6">
        <v>3.0264000000000002</v>
      </c>
      <c r="I7" s="6">
        <v>3.6537999999999999</v>
      </c>
      <c r="J7" s="6">
        <v>4.5692000000000004</v>
      </c>
      <c r="K7" s="5">
        <f t="shared" si="0"/>
        <v>0.19565217391303399</v>
      </c>
      <c r="L7" s="5">
        <f t="shared" si="1"/>
        <v>-0.28985507246378445</v>
      </c>
      <c r="M7" s="5">
        <f t="shared" si="2"/>
        <v>-0.87500000000000011</v>
      </c>
      <c r="N7" s="5">
        <f t="shared" si="3"/>
        <v>-0.31620553359683234</v>
      </c>
      <c r="O7" s="5">
        <f t="shared" si="4"/>
        <v>-0.71195652173913648</v>
      </c>
      <c r="P7" s="5">
        <f t="shared" si="5"/>
        <v>-0.66956521739130781</v>
      </c>
      <c r="Q7" s="6" t="str">
        <f t="shared" si="6"/>
        <v>Yes</v>
      </c>
    </row>
    <row r="8" spans="1:17" x14ac:dyDescent="0.3">
      <c r="A8" s="6" t="s">
        <v>149</v>
      </c>
      <c r="B8" s="6"/>
      <c r="C8" s="6" t="s">
        <v>150</v>
      </c>
      <c r="D8" s="6">
        <v>0.92</v>
      </c>
      <c r="E8" s="6">
        <v>0.92179999999999995</v>
      </c>
      <c r="F8" s="6">
        <v>1.3764000000000001</v>
      </c>
      <c r="G8" s="6">
        <v>1.8240000000000001</v>
      </c>
      <c r="H8" s="6">
        <v>3.0257000000000001</v>
      </c>
      <c r="I8" s="6">
        <v>3.6545000000000001</v>
      </c>
      <c r="J8" s="6">
        <v>4.5689000000000002</v>
      </c>
      <c r="K8" s="5">
        <f t="shared" si="0"/>
        <v>0.19565217391303399</v>
      </c>
      <c r="L8" s="5">
        <f t="shared" si="1"/>
        <v>-0.26086956521739474</v>
      </c>
      <c r="M8" s="5">
        <f t="shared" si="2"/>
        <v>-0.8695652173913051</v>
      </c>
      <c r="N8" s="5">
        <f t="shared" si="3"/>
        <v>-0.33926218708827327</v>
      </c>
      <c r="O8" s="5">
        <f t="shared" si="4"/>
        <v>-0.69293478260869779</v>
      </c>
      <c r="P8" s="5">
        <f t="shared" si="5"/>
        <v>-0.67608695652174666</v>
      </c>
      <c r="Q8" s="6" t="str">
        <f t="shared" si="6"/>
        <v>Yes</v>
      </c>
    </row>
    <row r="9" spans="1:17" x14ac:dyDescent="0.3">
      <c r="A9" s="16">
        <v>46205</v>
      </c>
      <c r="B9" s="6"/>
      <c r="C9" s="6" t="s">
        <v>135</v>
      </c>
      <c r="D9" s="6">
        <v>0.92</v>
      </c>
      <c r="E9" s="6">
        <v>0.92169999999999996</v>
      </c>
      <c r="F9" s="6">
        <v>1.3757999999999999</v>
      </c>
      <c r="G9" s="6">
        <v>1.8234999999999999</v>
      </c>
      <c r="H9" s="6">
        <v>3.0249999999999999</v>
      </c>
      <c r="I9" s="6">
        <v>3.6537999999999999</v>
      </c>
      <c r="J9" s="6">
        <v>4.5685000000000002</v>
      </c>
      <c r="K9" s="5">
        <f t="shared" si="0"/>
        <v>0.18478260869564389</v>
      </c>
      <c r="L9" s="5">
        <f t="shared" si="1"/>
        <v>-0.30434782608697125</v>
      </c>
      <c r="M9" s="5">
        <f t="shared" si="2"/>
        <v>-0.89673913043479236</v>
      </c>
      <c r="N9" s="5">
        <f t="shared" si="3"/>
        <v>-0.36231884057971414</v>
      </c>
      <c r="O9" s="5">
        <f t="shared" si="4"/>
        <v>-0.71195652173913648</v>
      </c>
      <c r="P9" s="5">
        <f t="shared" si="5"/>
        <v>-0.68478260869565877</v>
      </c>
      <c r="Q9" s="6" t="str">
        <f t="shared" si="6"/>
        <v>Yes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5">
        <f t="shared" si="0"/>
        <v>0</v>
      </c>
      <c r="L10" s="5">
        <f t="shared" si="1"/>
        <v>0</v>
      </c>
      <c r="M10" s="5">
        <f t="shared" si="2"/>
        <v>0</v>
      </c>
      <c r="N10" s="5">
        <f t="shared" si="3"/>
        <v>0</v>
      </c>
      <c r="O10" s="5">
        <f t="shared" si="4"/>
        <v>0</v>
      </c>
      <c r="P10" s="5">
        <f t="shared" si="5"/>
        <v>0</v>
      </c>
      <c r="Q10" s="6" t="str">
        <f t="shared" si="6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5">
        <f t="shared" si="0"/>
        <v>0</v>
      </c>
      <c r="L11" s="5">
        <f t="shared" si="1"/>
        <v>0</v>
      </c>
      <c r="M11" s="5">
        <f t="shared" si="2"/>
        <v>0</v>
      </c>
      <c r="N11" s="5">
        <f t="shared" si="3"/>
        <v>0</v>
      </c>
      <c r="O11" s="5">
        <f t="shared" si="4"/>
        <v>0</v>
      </c>
      <c r="P11" s="5">
        <f t="shared" si="5"/>
        <v>0</v>
      </c>
      <c r="Q11" s="6" t="str">
        <f t="shared" si="6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5">
        <f t="shared" si="0"/>
        <v>0</v>
      </c>
      <c r="L12" s="5">
        <f t="shared" si="1"/>
        <v>0</v>
      </c>
      <c r="M12" s="5">
        <f t="shared" si="2"/>
        <v>0</v>
      </c>
      <c r="N12" s="5">
        <f t="shared" si="3"/>
        <v>0</v>
      </c>
      <c r="O12" s="5">
        <f t="shared" si="4"/>
        <v>0</v>
      </c>
      <c r="P12" s="5">
        <f t="shared" si="5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5">
        <f t="shared" si="0"/>
        <v>0</v>
      </c>
      <c r="L13" s="5">
        <f t="shared" si="1"/>
        <v>0</v>
      </c>
      <c r="M13" s="5">
        <f t="shared" si="2"/>
        <v>0</v>
      </c>
      <c r="N13" s="5">
        <f t="shared" si="3"/>
        <v>0</v>
      </c>
      <c r="O13" s="5">
        <f t="shared" si="4"/>
        <v>0</v>
      </c>
      <c r="P13" s="5">
        <f t="shared" si="5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5">
        <f t="shared" si="0"/>
        <v>0</v>
      </c>
      <c r="L14" s="5">
        <f t="shared" si="1"/>
        <v>0</v>
      </c>
      <c r="M14" s="5">
        <f t="shared" si="2"/>
        <v>0</v>
      </c>
      <c r="N14" s="5">
        <f t="shared" si="3"/>
        <v>0</v>
      </c>
      <c r="O14" s="5">
        <f t="shared" si="4"/>
        <v>0</v>
      </c>
      <c r="P14" s="5">
        <f t="shared" si="5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5">
        <f t="shared" si="0"/>
        <v>0</v>
      </c>
      <c r="L15" s="5">
        <f t="shared" si="1"/>
        <v>0</v>
      </c>
      <c r="M15" s="5">
        <f t="shared" si="2"/>
        <v>0</v>
      </c>
      <c r="N15" s="5">
        <f t="shared" si="3"/>
        <v>0</v>
      </c>
      <c r="O15" s="5">
        <f t="shared" si="4"/>
        <v>0</v>
      </c>
      <c r="P15" s="5">
        <f t="shared" si="5"/>
        <v>0</v>
      </c>
      <c r="Q15" s="6" t="str">
        <f t="shared" si="6"/>
        <v>Ready to test</v>
      </c>
    </row>
  </sheetData>
  <mergeCells count="7">
    <mergeCell ref="K1:P1"/>
    <mergeCell ref="Q1:Q2"/>
    <mergeCell ref="A1:A2"/>
    <mergeCell ref="B1:B2"/>
    <mergeCell ref="C1:C2"/>
    <mergeCell ref="D1:D2"/>
    <mergeCell ref="E1:J1"/>
  </mergeCells>
  <conditionalFormatting sqref="Q3:Q15">
    <cfRule type="expression" dxfId="125" priority="1">
      <formula>Q3="Alert"</formula>
    </cfRule>
    <cfRule type="expression" dxfId="124" priority="2">
      <formula>Q3="Yes"</formula>
    </cfRule>
    <cfRule type="expression" dxfId="123" priority="3">
      <formula>Q3="No"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R16"/>
  <sheetViews>
    <sheetView workbookViewId="0">
      <selection activeCell="K9" sqref="K9:P9"/>
    </sheetView>
  </sheetViews>
  <sheetFormatPr defaultColWidth="18.33203125" defaultRowHeight="14.4" x14ac:dyDescent="0.3"/>
  <cols>
    <col min="1" max="1" width="11.6640625" style="39" bestFit="1" customWidth="1"/>
    <col min="2" max="2" width="9" style="1" bestFit="1" customWidth="1"/>
    <col min="3" max="3" width="15" style="1" bestFit="1" customWidth="1"/>
    <col min="4" max="4" width="17.44140625" style="1" bestFit="1" customWidth="1"/>
    <col min="5" max="5" width="12.88671875" style="1" customWidth="1"/>
    <col min="6" max="6" width="13.33203125" style="1" customWidth="1"/>
    <col min="7" max="7" width="11.6640625" style="1" customWidth="1"/>
    <col min="8" max="8" width="12" style="1" customWidth="1"/>
    <col min="9" max="9" width="9.88671875" style="1" customWidth="1"/>
    <col min="10" max="10" width="11.33203125" style="1" customWidth="1"/>
    <col min="11" max="11" width="13" style="1" customWidth="1"/>
    <col min="12" max="12" width="8.88671875" style="1" customWidth="1"/>
    <col min="13" max="14" width="12" style="1" customWidth="1"/>
    <col min="15" max="15" width="14.109375" style="1" customWidth="1"/>
    <col min="16" max="16" width="14" style="1" customWidth="1"/>
    <col min="17" max="18" width="18.33203125" style="1" customWidth="1"/>
    <col min="19" max="16384" width="18.33203125" style="1"/>
  </cols>
  <sheetData>
    <row r="1" spans="1:18" ht="28.5" customHeight="1" x14ac:dyDescent="0.3">
      <c r="A1" s="8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  <c r="R1" s="86" t="s">
        <v>4</v>
      </c>
    </row>
    <row r="2" spans="1:18" ht="14.7" customHeight="1" thickBot="1" x14ac:dyDescent="0.35">
      <c r="A2" s="8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  <c r="R2" s="87"/>
    </row>
    <row r="3" spans="1:18" x14ac:dyDescent="0.3">
      <c r="A3" s="37">
        <v>45803</v>
      </c>
      <c r="B3" s="4" t="s">
        <v>5</v>
      </c>
      <c r="C3" s="4" t="s">
        <v>103</v>
      </c>
      <c r="D3" s="4">
        <v>0.92</v>
      </c>
      <c r="E3" s="4">
        <v>0.92200000000000004</v>
      </c>
      <c r="F3" s="4">
        <v>1.3766</v>
      </c>
      <c r="G3" s="4">
        <v>1.8241000000000001</v>
      </c>
      <c r="H3" s="4">
        <v>3.0255999999999998</v>
      </c>
      <c r="I3" s="4">
        <v>3.6541999999999999</v>
      </c>
      <c r="J3" s="19">
        <v>4.5694999999999997</v>
      </c>
      <c r="K3" s="5">
        <f t="shared" ref="K3:K16" si="0">IF(D3=0, 0, 100*(E3 - D3*1)/(D3*1))</f>
        <v>0.21739130434782628</v>
      </c>
      <c r="L3" s="5">
        <f t="shared" ref="L3:L16" si="1">IF(D3=0, 0, 100*(F3 - D3*1.5)/(D3*1.5))</f>
        <v>-0.24637681159420793</v>
      </c>
      <c r="M3" s="5">
        <f t="shared" ref="M3:M16" si="2">IF(D3=0, 0, 100*(G3 - D3*2)/(D3*2))</f>
        <v>-0.86413043478260998</v>
      </c>
      <c r="N3" s="5">
        <f t="shared" ref="N3:N16" si="3">IF(D3=0, 0, 100*(H3 - D3*3.3)/(D3*3.3))</f>
        <v>-0.34255599472991394</v>
      </c>
      <c r="O3" s="5">
        <f t="shared" ref="O3:O16" si="4">IF(D3=0, 0, 100*(I3 - D3*4)/(D3*4))</f>
        <v>-0.70108695652174635</v>
      </c>
      <c r="P3" s="5">
        <f t="shared" ref="P3:P16" si="5">IF(D3=0, 0, 100*(J3 - D3*5)/(D3*5))</f>
        <v>-0.66304347826088816</v>
      </c>
      <c r="Q3" s="4" t="str">
        <f t="shared" ref="Q3:Q16" si="6">IF(AND(K3&gt;=0.11,K3&lt;=0.27,L3&gt;=-0.36,L3&lt;=-0.22,M3&gt;=-0.92,M3&lt;=-0.82,N3&gt;=-0.4,N3&lt;=-0.3,O3&gt;=-0.79,O3&lt;=-0.64,P3&gt;=-0.76,P3&lt;=-0.61), "Yes", IF(AND(K3=0,L3=0,M3=0,N3=0,O3=0,P3=0), "Ready to test", "No"))</f>
        <v>Yes</v>
      </c>
      <c r="R3" s="1" t="s">
        <v>113</v>
      </c>
    </row>
    <row r="4" spans="1:18" x14ac:dyDescent="0.3">
      <c r="A4" s="38">
        <v>45804</v>
      </c>
      <c r="B4" s="6" t="s">
        <v>170</v>
      </c>
      <c r="C4" s="6" t="s">
        <v>103</v>
      </c>
      <c r="D4" s="4">
        <v>0.92</v>
      </c>
      <c r="E4" s="6">
        <v>0.92200000000000004</v>
      </c>
      <c r="F4" s="17">
        <v>1.3764000000000001</v>
      </c>
      <c r="G4" s="6">
        <v>1.8242</v>
      </c>
      <c r="H4" s="6">
        <v>3.0257000000000001</v>
      </c>
      <c r="I4" s="6">
        <v>3.6549999999999998</v>
      </c>
      <c r="J4" s="6">
        <v>4.5693000000000001</v>
      </c>
      <c r="K4" s="15">
        <f t="shared" si="0"/>
        <v>0.21739130434782628</v>
      </c>
      <c r="L4" s="15">
        <f t="shared" si="1"/>
        <v>-0.26086956521739474</v>
      </c>
      <c r="M4" s="15">
        <f t="shared" si="2"/>
        <v>-0.85869565217391497</v>
      </c>
      <c r="N4" s="15">
        <f t="shared" si="3"/>
        <v>-0.33926218708827327</v>
      </c>
      <c r="O4" s="15">
        <f t="shared" si="4"/>
        <v>-0.6793478260869662</v>
      </c>
      <c r="P4" s="15">
        <f t="shared" si="5"/>
        <v>-0.66739130434783456</v>
      </c>
      <c r="Q4" s="6" t="str">
        <f t="shared" si="6"/>
        <v>Yes</v>
      </c>
    </row>
    <row r="5" spans="1:18" x14ac:dyDescent="0.3">
      <c r="A5" s="38">
        <v>45827</v>
      </c>
      <c r="B5" s="6" t="s">
        <v>5</v>
      </c>
      <c r="C5" s="6" t="s">
        <v>100</v>
      </c>
      <c r="D5" s="6">
        <v>0.92</v>
      </c>
      <c r="E5" s="6">
        <v>0.92169999999999996</v>
      </c>
      <c r="F5" s="6">
        <v>1.3755999999999999</v>
      </c>
      <c r="G5" s="6">
        <v>1.8238000000000001</v>
      </c>
      <c r="H5" s="6">
        <v>3.0249999999999999</v>
      </c>
      <c r="I5" s="6">
        <v>3.653</v>
      </c>
      <c r="J5" s="6">
        <v>4.5683999999999996</v>
      </c>
      <c r="K5" s="15">
        <f t="shared" si="0"/>
        <v>0.18478260869564389</v>
      </c>
      <c r="L5" s="15">
        <f t="shared" si="1"/>
        <v>-0.31884057971015806</v>
      </c>
      <c r="M5" s="15">
        <f t="shared" si="2"/>
        <v>-0.88043478260869523</v>
      </c>
      <c r="N5" s="15">
        <f t="shared" si="3"/>
        <v>-0.36231884057971414</v>
      </c>
      <c r="O5" s="15">
        <f t="shared" si="4"/>
        <v>-0.73369565217391663</v>
      </c>
      <c r="P5" s="15">
        <f t="shared" si="5"/>
        <v>-0.68695652173915123</v>
      </c>
      <c r="Q5" s="6" t="str">
        <f t="shared" si="6"/>
        <v>Yes</v>
      </c>
    </row>
    <row r="6" spans="1:18" x14ac:dyDescent="0.3">
      <c r="A6" s="6" t="s">
        <v>159</v>
      </c>
      <c r="B6" s="6"/>
      <c r="C6" s="6" t="s">
        <v>160</v>
      </c>
      <c r="D6" s="6">
        <v>0.92</v>
      </c>
      <c r="E6" s="6">
        <v>0.92169999999999996</v>
      </c>
      <c r="F6" s="6">
        <v>1.3756999999999999</v>
      </c>
      <c r="G6" s="6">
        <v>1.8238000000000001</v>
      </c>
      <c r="H6" s="6">
        <v>3.0246</v>
      </c>
      <c r="I6" s="6">
        <v>3.653</v>
      </c>
      <c r="J6" s="6">
        <v>4.5683999999999996</v>
      </c>
      <c r="K6" s="15">
        <f t="shared" si="0"/>
        <v>0.18478260869564389</v>
      </c>
      <c r="L6" s="15">
        <f t="shared" si="1"/>
        <v>-0.31159420289856465</v>
      </c>
      <c r="M6" s="15">
        <f t="shared" si="2"/>
        <v>-0.88043478260869523</v>
      </c>
      <c r="N6" s="15">
        <f t="shared" si="3"/>
        <v>-0.37549407114624761</v>
      </c>
      <c r="O6" s="15">
        <f t="shared" si="4"/>
        <v>-0.73369565217391663</v>
      </c>
      <c r="P6" s="15">
        <f t="shared" si="5"/>
        <v>-0.68695652173915123</v>
      </c>
      <c r="Q6" s="6" t="str">
        <f t="shared" si="6"/>
        <v>Yes</v>
      </c>
    </row>
    <row r="7" spans="1:18" x14ac:dyDescent="0.3">
      <c r="A7" s="38">
        <v>45901</v>
      </c>
      <c r="B7" s="6"/>
      <c r="C7" s="6" t="s">
        <v>103</v>
      </c>
      <c r="D7" s="6">
        <v>0.92</v>
      </c>
      <c r="E7" s="6">
        <v>0.92200000000000004</v>
      </c>
      <c r="F7" s="6">
        <v>1.3758999999999999</v>
      </c>
      <c r="G7" s="6">
        <v>1.8239000000000001</v>
      </c>
      <c r="H7" s="6">
        <v>3.0245000000000002</v>
      </c>
      <c r="I7" s="6">
        <v>3.6509999999999998</v>
      </c>
      <c r="J7" s="6">
        <v>4.5682999999999998</v>
      </c>
      <c r="K7" s="15">
        <f t="shared" si="0"/>
        <v>0.21739130434782628</v>
      </c>
      <c r="L7" s="15">
        <f t="shared" si="1"/>
        <v>-0.29710144927537785</v>
      </c>
      <c r="M7" s="15">
        <f t="shared" si="2"/>
        <v>-0.87500000000000011</v>
      </c>
      <c r="N7" s="15">
        <f t="shared" si="3"/>
        <v>-0.37878787878787362</v>
      </c>
      <c r="O7" s="15">
        <f t="shared" si="4"/>
        <v>-0.78804347826087928</v>
      </c>
      <c r="P7" s="15">
        <f t="shared" si="5"/>
        <v>-0.68913043478262448</v>
      </c>
      <c r="Q7" s="6" t="str">
        <f t="shared" si="6"/>
        <v>Yes</v>
      </c>
    </row>
    <row r="8" spans="1:18" x14ac:dyDescent="0.3">
      <c r="A8" s="16">
        <v>45941</v>
      </c>
      <c r="B8" s="6"/>
      <c r="C8" s="6" t="s">
        <v>101</v>
      </c>
      <c r="D8" s="6">
        <v>0.92</v>
      </c>
      <c r="E8" s="6">
        <v>0.92200000000000004</v>
      </c>
      <c r="F8" s="6">
        <v>1.3762000000000001</v>
      </c>
      <c r="G8" s="6">
        <v>1.8242</v>
      </c>
      <c r="H8" s="6">
        <v>3.0255000000000001</v>
      </c>
      <c r="I8" s="6">
        <v>3.6543999999999999</v>
      </c>
      <c r="J8" s="6">
        <v>4.5692000000000004</v>
      </c>
      <c r="K8" s="15">
        <f t="shared" si="0"/>
        <v>0.21739130434782628</v>
      </c>
      <c r="L8" s="15">
        <f t="shared" si="1"/>
        <v>-0.27536231884058154</v>
      </c>
      <c r="M8" s="15">
        <f t="shared" si="2"/>
        <v>-0.85869565217391497</v>
      </c>
      <c r="N8" s="15">
        <f t="shared" si="3"/>
        <v>-0.34584980237153995</v>
      </c>
      <c r="O8" s="15">
        <f t="shared" si="4"/>
        <v>-0.69565217391305134</v>
      </c>
      <c r="P8" s="15">
        <f t="shared" si="5"/>
        <v>-0.66956521739130781</v>
      </c>
      <c r="Q8" s="6" t="str">
        <f t="shared" si="6"/>
        <v>Yes</v>
      </c>
    </row>
    <row r="9" spans="1:18" x14ac:dyDescent="0.3">
      <c r="A9" s="6" t="s">
        <v>149</v>
      </c>
      <c r="B9" s="6"/>
      <c r="C9" s="6" t="s">
        <v>150</v>
      </c>
      <c r="D9" s="6">
        <v>0.92</v>
      </c>
      <c r="E9" s="6">
        <v>0.92210000000000003</v>
      </c>
      <c r="F9" s="6">
        <v>1.3765000000000001</v>
      </c>
      <c r="G9" s="6">
        <v>1.8245</v>
      </c>
      <c r="H9" s="6">
        <v>3.0259</v>
      </c>
      <c r="I9" s="6">
        <v>3.6556000000000002</v>
      </c>
      <c r="J9" s="6">
        <v>4.5693999999999999</v>
      </c>
      <c r="K9" s="15">
        <f t="shared" si="0"/>
        <v>0.22826086956521638</v>
      </c>
      <c r="L9" s="15">
        <f t="shared" si="1"/>
        <v>-0.25362318840580134</v>
      </c>
      <c r="M9" s="15">
        <f t="shared" si="2"/>
        <v>-0.84239130434782983</v>
      </c>
      <c r="N9" s="15">
        <f t="shared" si="3"/>
        <v>-0.33267457180500654</v>
      </c>
      <c r="O9" s="15">
        <f t="shared" si="4"/>
        <v>-0.66304347826086896</v>
      </c>
      <c r="P9" s="15">
        <f t="shared" si="5"/>
        <v>-0.66521739130436142</v>
      </c>
      <c r="Q9" s="6" t="str">
        <f t="shared" si="6"/>
        <v>Yes</v>
      </c>
    </row>
    <row r="10" spans="1:18" x14ac:dyDescent="0.3">
      <c r="A10" s="16">
        <v>46026</v>
      </c>
      <c r="B10" s="6"/>
      <c r="C10" s="6" t="s">
        <v>134</v>
      </c>
      <c r="D10" s="6">
        <v>0.92</v>
      </c>
      <c r="E10" s="6">
        <v>0.92179999999999995</v>
      </c>
      <c r="F10" s="6">
        <v>1.3762000000000001</v>
      </c>
      <c r="G10" s="6">
        <v>1.8241000000000001</v>
      </c>
      <c r="H10" s="6">
        <v>3.0255999999999998</v>
      </c>
      <c r="I10" s="6">
        <v>3.6551999999999998</v>
      </c>
      <c r="J10" s="6">
        <v>4.5697000000000001</v>
      </c>
      <c r="K10" s="15">
        <f t="shared" si="0"/>
        <v>0.19565217391303399</v>
      </c>
      <c r="L10" s="15">
        <f t="shared" si="1"/>
        <v>-0.27536231884058154</v>
      </c>
      <c r="M10" s="15">
        <f t="shared" si="2"/>
        <v>-0.86413043478260998</v>
      </c>
      <c r="N10" s="15">
        <f t="shared" si="3"/>
        <v>-0.34255599472991394</v>
      </c>
      <c r="O10" s="15">
        <f t="shared" si="4"/>
        <v>-0.67391304347827108</v>
      </c>
      <c r="P10" s="15">
        <f t="shared" si="5"/>
        <v>-0.65869565217392245</v>
      </c>
      <c r="Q10" s="6" t="str">
        <f t="shared" si="6"/>
        <v>Yes</v>
      </c>
    </row>
    <row r="11" spans="1:18" x14ac:dyDescent="0.3">
      <c r="A11" s="38">
        <v>46205</v>
      </c>
      <c r="B11" s="6"/>
      <c r="C11" s="6" t="s">
        <v>135</v>
      </c>
      <c r="D11" s="6">
        <v>0.92</v>
      </c>
      <c r="E11" s="6">
        <v>0.92169999999999996</v>
      </c>
      <c r="F11" s="6">
        <v>1.3754</v>
      </c>
      <c r="G11" s="6">
        <v>1.8236000000000001</v>
      </c>
      <c r="H11" s="6">
        <v>3.0247000000000002</v>
      </c>
      <c r="I11" s="6">
        <v>3.6530999999999998</v>
      </c>
      <c r="J11" s="6">
        <v>4.5664999999999996</v>
      </c>
      <c r="K11" s="15">
        <f t="shared" si="0"/>
        <v>0.18478260869564389</v>
      </c>
      <c r="L11" s="15">
        <f t="shared" si="1"/>
        <v>-0.33333333333334486</v>
      </c>
      <c r="M11" s="15">
        <f t="shared" si="2"/>
        <v>-0.89130434782608525</v>
      </c>
      <c r="N11" s="15">
        <f t="shared" si="3"/>
        <v>-0.37220026350460689</v>
      </c>
      <c r="O11" s="15">
        <f t="shared" si="4"/>
        <v>-0.73097826086957518</v>
      </c>
      <c r="P11" s="15">
        <f t="shared" si="5"/>
        <v>-0.7282608695652385</v>
      </c>
      <c r="Q11" s="6" t="str">
        <f t="shared" si="6"/>
        <v>Yes</v>
      </c>
    </row>
    <row r="12" spans="1:18" x14ac:dyDescent="0.3">
      <c r="A12" s="38"/>
      <c r="B12" s="6"/>
      <c r="C12" s="6"/>
      <c r="D12" s="6"/>
      <c r="E12" s="6"/>
      <c r="F12" s="6"/>
      <c r="G12" s="6"/>
      <c r="H12" s="6"/>
      <c r="I12" s="6"/>
      <c r="J12" s="6"/>
      <c r="K12" s="15">
        <f t="shared" si="0"/>
        <v>0</v>
      </c>
      <c r="L12" s="15">
        <f t="shared" si="1"/>
        <v>0</v>
      </c>
      <c r="M12" s="15">
        <f t="shared" si="2"/>
        <v>0</v>
      </c>
      <c r="N12" s="15">
        <f t="shared" si="3"/>
        <v>0</v>
      </c>
      <c r="O12" s="15">
        <f t="shared" si="4"/>
        <v>0</v>
      </c>
      <c r="P12" s="15">
        <f t="shared" si="5"/>
        <v>0</v>
      </c>
      <c r="Q12" s="6" t="str">
        <f t="shared" si="6"/>
        <v>Ready to test</v>
      </c>
    </row>
    <row r="13" spans="1:18" x14ac:dyDescent="0.3">
      <c r="A13" s="38"/>
      <c r="B13" s="6"/>
      <c r="C13" s="6"/>
      <c r="D13" s="6"/>
      <c r="E13" s="6"/>
      <c r="F13" s="6"/>
      <c r="G13" s="6"/>
      <c r="H13" s="6"/>
      <c r="I13" s="6"/>
      <c r="J13" s="6"/>
      <c r="K13" s="15">
        <f t="shared" si="0"/>
        <v>0</v>
      </c>
      <c r="L13" s="15">
        <f t="shared" si="1"/>
        <v>0</v>
      </c>
      <c r="M13" s="15">
        <f t="shared" si="2"/>
        <v>0</v>
      </c>
      <c r="N13" s="15">
        <f t="shared" si="3"/>
        <v>0</v>
      </c>
      <c r="O13" s="15">
        <f t="shared" si="4"/>
        <v>0</v>
      </c>
      <c r="P13" s="15">
        <f t="shared" si="5"/>
        <v>0</v>
      </c>
      <c r="Q13" s="6" t="str">
        <f t="shared" si="6"/>
        <v>Ready to test</v>
      </c>
    </row>
    <row r="14" spans="1:18" x14ac:dyDescent="0.3">
      <c r="A14" s="38"/>
      <c r="B14" s="6"/>
      <c r="C14" s="6"/>
      <c r="D14" s="6"/>
      <c r="E14" s="6"/>
      <c r="F14" s="6"/>
      <c r="G14" s="6"/>
      <c r="H14" s="6"/>
      <c r="I14" s="6"/>
      <c r="J14" s="6"/>
      <c r="K14" s="15">
        <f t="shared" si="0"/>
        <v>0</v>
      </c>
      <c r="L14" s="15">
        <f t="shared" si="1"/>
        <v>0</v>
      </c>
      <c r="M14" s="15">
        <f t="shared" si="2"/>
        <v>0</v>
      </c>
      <c r="N14" s="15">
        <f t="shared" si="3"/>
        <v>0</v>
      </c>
      <c r="O14" s="15">
        <f t="shared" si="4"/>
        <v>0</v>
      </c>
      <c r="P14" s="15">
        <f t="shared" si="5"/>
        <v>0</v>
      </c>
      <c r="Q14" s="6" t="str">
        <f t="shared" si="6"/>
        <v>Ready to test</v>
      </c>
    </row>
    <row r="15" spans="1:18" x14ac:dyDescent="0.3">
      <c r="A15" s="38"/>
      <c r="B15" s="6"/>
      <c r="C15" s="6"/>
      <c r="D15" s="6"/>
      <c r="E15" s="6"/>
      <c r="F15" s="6"/>
      <c r="G15" s="6"/>
      <c r="H15" s="6"/>
      <c r="I15" s="6"/>
      <c r="J15" s="6"/>
      <c r="K15" s="15">
        <f t="shared" si="0"/>
        <v>0</v>
      </c>
      <c r="L15" s="15">
        <f t="shared" si="1"/>
        <v>0</v>
      </c>
      <c r="M15" s="15">
        <f t="shared" si="2"/>
        <v>0</v>
      </c>
      <c r="N15" s="15">
        <f t="shared" si="3"/>
        <v>0</v>
      </c>
      <c r="O15" s="15">
        <f t="shared" si="4"/>
        <v>0</v>
      </c>
      <c r="P15" s="15">
        <f t="shared" si="5"/>
        <v>0</v>
      </c>
      <c r="Q15" s="6" t="str">
        <f t="shared" si="6"/>
        <v>Ready to test</v>
      </c>
    </row>
    <row r="16" spans="1:18" x14ac:dyDescent="0.3">
      <c r="A16" s="38"/>
      <c r="B16" s="6"/>
      <c r="C16" s="6"/>
      <c r="D16" s="6"/>
      <c r="E16" s="6"/>
      <c r="F16" s="6"/>
      <c r="G16" s="6"/>
      <c r="H16" s="6"/>
      <c r="I16" s="6"/>
      <c r="J16" s="6"/>
      <c r="K16" s="15">
        <f t="shared" si="0"/>
        <v>0</v>
      </c>
      <c r="L16" s="15">
        <f t="shared" si="1"/>
        <v>0</v>
      </c>
      <c r="M16" s="15">
        <f t="shared" si="2"/>
        <v>0</v>
      </c>
      <c r="N16" s="15">
        <f t="shared" si="3"/>
        <v>0</v>
      </c>
      <c r="O16" s="15">
        <f t="shared" si="4"/>
        <v>0</v>
      </c>
      <c r="P16" s="15">
        <f t="shared" si="5"/>
        <v>0</v>
      </c>
      <c r="Q16" s="6" t="str">
        <f t="shared" si="6"/>
        <v>Ready to test</v>
      </c>
    </row>
  </sheetData>
  <mergeCells count="8">
    <mergeCell ref="Q1:Q2"/>
    <mergeCell ref="R1:R2"/>
    <mergeCell ref="A1:A2"/>
    <mergeCell ref="B1:B2"/>
    <mergeCell ref="C1:C2"/>
    <mergeCell ref="D1:D2"/>
    <mergeCell ref="E1:J1"/>
    <mergeCell ref="K1:P1"/>
  </mergeCells>
  <conditionalFormatting sqref="Q3:Q16">
    <cfRule type="expression" dxfId="122" priority="1">
      <formula>Q3="Alert"</formula>
    </cfRule>
    <cfRule type="expression" dxfId="121" priority="2">
      <formula>Q3="Yes"</formula>
    </cfRule>
    <cfRule type="expression" dxfId="120" priority="3">
      <formula>Q3="No"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Q15"/>
  <sheetViews>
    <sheetView topLeftCell="C1" workbookViewId="0">
      <selection activeCell="K8" sqref="K8:P8"/>
    </sheetView>
  </sheetViews>
  <sheetFormatPr defaultColWidth="18.33203125" defaultRowHeight="14.4" x14ac:dyDescent="0.3"/>
  <cols>
    <col min="1" max="2" width="18.33203125" style="1" customWidth="1"/>
    <col min="3" max="16384" width="18.33203125" style="1"/>
  </cols>
  <sheetData>
    <row r="1" spans="1:17" ht="14.7" customHeight="1" x14ac:dyDescent="0.3">
      <c r="A1" s="68" t="s">
        <v>0</v>
      </c>
      <c r="B1" s="84" t="s">
        <v>85</v>
      </c>
      <c r="C1" s="9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4.7" customHeight="1" thickBot="1" x14ac:dyDescent="0.35">
      <c r="A2" s="69"/>
      <c r="B2" s="85"/>
      <c r="C2" s="9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2" t="s">
        <v>94</v>
      </c>
      <c r="O2" s="2" t="s">
        <v>95</v>
      </c>
      <c r="P2" s="2" t="s">
        <v>96</v>
      </c>
      <c r="Q2" s="67"/>
    </row>
    <row r="3" spans="1:17" x14ac:dyDescent="0.3">
      <c r="A3" s="46">
        <v>45799</v>
      </c>
      <c r="B3" s="6" t="s">
        <v>171</v>
      </c>
      <c r="C3" s="6" t="s">
        <v>127</v>
      </c>
      <c r="D3" s="6">
        <v>0.92</v>
      </c>
      <c r="E3" s="6">
        <v>0.92179999999999995</v>
      </c>
      <c r="F3" s="17">
        <v>1.3640000000000001</v>
      </c>
      <c r="G3" s="17">
        <v>1.8239000000000001</v>
      </c>
      <c r="H3" s="6">
        <v>3.0253000000000001</v>
      </c>
      <c r="I3" s="6">
        <v>3.6543999999999999</v>
      </c>
      <c r="J3" s="6">
        <v>4.5689000000000002</v>
      </c>
      <c r="K3" s="5">
        <f t="shared" ref="K3:K15" si="0">IF(D3=0, 0, 100*(E3 - D3*1)/(D3*1))</f>
        <v>0.19565217391303399</v>
      </c>
      <c r="L3" s="5">
        <f t="shared" ref="L3:L15" si="1">IF(D3=0, 0, 100*(F3 - D3*1.5)/(D3*1.5))</f>
        <v>-1.1594202898550734</v>
      </c>
      <c r="M3" s="5">
        <f t="shared" ref="M3:M15" si="2">IF(D3=0, 0, 100*(G3 - D3*2)/(D3*2))</f>
        <v>-0.87500000000000011</v>
      </c>
      <c r="N3" s="5">
        <f t="shared" ref="N3:N15" si="3">IF(D3=0, 0, 100*(H3 - D3*3.3)/(D3*3.3))</f>
        <v>-0.35243741765480668</v>
      </c>
      <c r="O3" s="5">
        <f t="shared" ref="O3:O15" si="4">IF(D3=0, 0, 100*(I3 - D3*4)/(D3*4))</f>
        <v>-0.69565217391305134</v>
      </c>
      <c r="P3" s="5">
        <f t="shared" ref="P3:P15" si="5">IF(D3=0, 0, 100*(J3 - D3*5)/(D3*5))</f>
        <v>-0.67608695652174666</v>
      </c>
      <c r="Q3" s="6" t="str">
        <f t="shared" ref="Q3:Q15" si="6">IF(AND(K3&gt;=0.11,K3&lt;=0.27,L3&gt;=-0.36,L3&lt;=-0.22,M3&gt;=-0.92,M3&lt;=-0.82,N3&gt;=-0.4,N3&lt;=-0.3,O3&gt;=-0.79,O3&lt;=-0.64,P3&gt;=-0.76,P3&lt;=-0.61), "Yes", IF(AND(K3=0,L3=0,M3=0,N3=0,O3=0,P3=0), "Ready to test", "No"))</f>
        <v>No</v>
      </c>
    </row>
    <row r="4" spans="1:17" x14ac:dyDescent="0.3">
      <c r="A4" s="46">
        <v>45824</v>
      </c>
      <c r="B4" s="6" t="s">
        <v>5</v>
      </c>
      <c r="C4" s="6" t="s">
        <v>98</v>
      </c>
      <c r="D4" s="6">
        <v>0.92</v>
      </c>
      <c r="E4" s="17">
        <v>0.92179999999999995</v>
      </c>
      <c r="F4" s="6">
        <v>1.3758999999999999</v>
      </c>
      <c r="G4" s="6">
        <v>1.8238000000000001</v>
      </c>
      <c r="H4" s="6">
        <v>3.0253000000000001</v>
      </c>
      <c r="I4" s="6">
        <v>3.6530999999999998</v>
      </c>
      <c r="J4" s="6">
        <v>4.5688000000000004</v>
      </c>
      <c r="K4" s="5">
        <f t="shared" si="0"/>
        <v>0.19565217391303399</v>
      </c>
      <c r="L4" s="5">
        <f t="shared" si="1"/>
        <v>-0.29710144927537785</v>
      </c>
      <c r="M4" s="5">
        <f t="shared" si="2"/>
        <v>-0.88043478260869523</v>
      </c>
      <c r="N4" s="5">
        <f t="shared" si="3"/>
        <v>-0.35243741765480668</v>
      </c>
      <c r="O4" s="5">
        <f t="shared" si="4"/>
        <v>-0.73097826086957518</v>
      </c>
      <c r="P4" s="5">
        <f t="shared" si="5"/>
        <v>-0.6782608695652198</v>
      </c>
      <c r="Q4" s="6" t="str">
        <f t="shared" si="6"/>
        <v>Yes</v>
      </c>
    </row>
    <row r="5" spans="1:17" x14ac:dyDescent="0.3">
      <c r="A5" s="46">
        <v>45867</v>
      </c>
      <c r="B5" s="6"/>
      <c r="C5" s="6" t="s">
        <v>172</v>
      </c>
      <c r="D5" s="6">
        <v>0.92</v>
      </c>
      <c r="E5" s="6">
        <v>0.92179999999999995</v>
      </c>
      <c r="F5" s="18">
        <v>1.3759999999999999</v>
      </c>
      <c r="G5" s="17">
        <v>1.8241000000000001</v>
      </c>
      <c r="H5" s="6">
        <v>3.0255999999999998</v>
      </c>
      <c r="I5" s="17">
        <v>3.6541999999999999</v>
      </c>
      <c r="J5" s="6">
        <v>4.5693999999999999</v>
      </c>
      <c r="K5" s="5">
        <f t="shared" si="0"/>
        <v>0.19565217391303399</v>
      </c>
      <c r="L5" s="5">
        <f t="shared" si="1"/>
        <v>-0.28985507246378445</v>
      </c>
      <c r="M5" s="5">
        <f t="shared" si="2"/>
        <v>-0.86413043478260998</v>
      </c>
      <c r="N5" s="5">
        <f t="shared" si="3"/>
        <v>-0.34255599472991394</v>
      </c>
      <c r="O5" s="5">
        <f t="shared" si="4"/>
        <v>-0.70108695652174635</v>
      </c>
      <c r="P5" s="5">
        <f t="shared" si="5"/>
        <v>-0.66521739130436142</v>
      </c>
      <c r="Q5" s="6" t="str">
        <f t="shared" si="6"/>
        <v>Yes</v>
      </c>
    </row>
    <row r="6" spans="1:17" x14ac:dyDescent="0.3">
      <c r="A6" s="46">
        <v>45901</v>
      </c>
      <c r="B6" s="6"/>
      <c r="C6" s="6" t="s">
        <v>103</v>
      </c>
      <c r="D6" s="6">
        <v>0.92</v>
      </c>
      <c r="E6" s="6">
        <v>0.92179999999999995</v>
      </c>
      <c r="F6" s="18">
        <v>1.3754999999999999</v>
      </c>
      <c r="G6" s="17">
        <v>1.8239000000000001</v>
      </c>
      <c r="H6" s="6">
        <v>3.0255000000000001</v>
      </c>
      <c r="I6" s="17">
        <v>3.6541000000000001</v>
      </c>
      <c r="J6" s="6">
        <v>4.5696000000000003</v>
      </c>
      <c r="K6" s="5">
        <f t="shared" si="0"/>
        <v>0.19565217391303399</v>
      </c>
      <c r="L6" s="5">
        <f t="shared" si="1"/>
        <v>-0.32608695652175146</v>
      </c>
      <c r="M6" s="5">
        <f t="shared" si="2"/>
        <v>-0.87500000000000011</v>
      </c>
      <c r="N6" s="5">
        <f t="shared" si="3"/>
        <v>-0.34584980237153995</v>
      </c>
      <c r="O6" s="5">
        <f t="shared" si="4"/>
        <v>-0.70380434782608781</v>
      </c>
      <c r="P6" s="5">
        <f t="shared" si="5"/>
        <v>-0.6608695652173957</v>
      </c>
      <c r="Q6" s="6" t="str">
        <f t="shared" si="6"/>
        <v>Yes</v>
      </c>
    </row>
    <row r="7" spans="1:17" x14ac:dyDescent="0.3">
      <c r="A7" s="46">
        <v>45941</v>
      </c>
      <c r="B7" s="6"/>
      <c r="C7" s="6" t="s">
        <v>101</v>
      </c>
      <c r="D7" s="6">
        <v>0.92</v>
      </c>
      <c r="E7" s="6">
        <v>0.92179999999999995</v>
      </c>
      <c r="F7" s="6">
        <v>1.3759999999999999</v>
      </c>
      <c r="G7" s="6">
        <v>1.8239000000000001</v>
      </c>
      <c r="H7" s="6">
        <v>3.0253999999999999</v>
      </c>
      <c r="I7" s="6">
        <v>3.6549</v>
      </c>
      <c r="J7" s="6">
        <v>4.5685000000000002</v>
      </c>
      <c r="K7" s="5">
        <f t="shared" si="0"/>
        <v>0.19565217391303399</v>
      </c>
      <c r="L7" s="5">
        <f t="shared" si="1"/>
        <v>-0.28985507246378445</v>
      </c>
      <c r="M7" s="5">
        <f t="shared" si="2"/>
        <v>-0.87500000000000011</v>
      </c>
      <c r="N7" s="5">
        <f t="shared" si="3"/>
        <v>-0.34914361001318067</v>
      </c>
      <c r="O7" s="5">
        <f t="shared" si="4"/>
        <v>-0.68206521739130765</v>
      </c>
      <c r="P7" s="5">
        <f t="shared" si="5"/>
        <v>-0.68478260869565877</v>
      </c>
      <c r="Q7" s="6" t="str">
        <f t="shared" si="6"/>
        <v>Yes</v>
      </c>
    </row>
    <row r="8" spans="1:17" x14ac:dyDescent="0.3">
      <c r="A8" s="46">
        <v>46034</v>
      </c>
      <c r="B8" s="6"/>
      <c r="C8" s="6" t="s">
        <v>150</v>
      </c>
      <c r="D8" s="6">
        <v>0.92</v>
      </c>
      <c r="E8" s="6">
        <v>0.92179999999999995</v>
      </c>
      <c r="F8" s="6">
        <v>1.3763000000000001</v>
      </c>
      <c r="G8" s="6">
        <v>1.8239000000000001</v>
      </c>
      <c r="H8" s="6">
        <v>3.0253999999999999</v>
      </c>
      <c r="I8" s="18">
        <v>3.6545000000000001</v>
      </c>
      <c r="J8" s="6">
        <v>4.5688000000000004</v>
      </c>
      <c r="K8" s="5">
        <f t="shared" si="0"/>
        <v>0.19565217391303399</v>
      </c>
      <c r="L8" s="5">
        <f t="shared" si="1"/>
        <v>-0.26811594202898814</v>
      </c>
      <c r="M8" s="5">
        <f t="shared" si="2"/>
        <v>-0.87500000000000011</v>
      </c>
      <c r="N8" s="5">
        <f t="shared" si="3"/>
        <v>-0.34914361001318067</v>
      </c>
      <c r="O8" s="5">
        <f t="shared" si="4"/>
        <v>-0.69293478260869779</v>
      </c>
      <c r="P8" s="5">
        <f t="shared" si="5"/>
        <v>-0.6782608695652198</v>
      </c>
      <c r="Q8" s="6" t="str">
        <f t="shared" si="6"/>
        <v>Yes</v>
      </c>
    </row>
    <row r="9" spans="1:17" x14ac:dyDescent="0.3">
      <c r="A9" s="46">
        <v>46113</v>
      </c>
      <c r="B9" s="6"/>
      <c r="C9" s="6" t="s">
        <v>134</v>
      </c>
      <c r="D9" s="6">
        <v>0.92</v>
      </c>
      <c r="E9" s="6">
        <v>0.92169999999999996</v>
      </c>
      <c r="F9" s="6">
        <v>1.3757999999999999</v>
      </c>
      <c r="G9" s="6">
        <v>1.8237000000000001</v>
      </c>
      <c r="H9" s="6">
        <v>3.0249999999999999</v>
      </c>
      <c r="I9" s="6">
        <v>3.6545999999999998</v>
      </c>
      <c r="J9" s="6">
        <v>4.5689000000000002</v>
      </c>
      <c r="K9" s="5">
        <f t="shared" si="0"/>
        <v>0.18478260869564389</v>
      </c>
      <c r="L9" s="5">
        <f t="shared" si="1"/>
        <v>-0.30434782608697125</v>
      </c>
      <c r="M9" s="5">
        <f t="shared" si="2"/>
        <v>-0.88586956521739024</v>
      </c>
      <c r="N9" s="5">
        <f t="shared" si="3"/>
        <v>-0.36231884057971414</v>
      </c>
      <c r="O9" s="5">
        <f t="shared" si="4"/>
        <v>-0.69021739130435622</v>
      </c>
      <c r="P9" s="5">
        <f t="shared" si="5"/>
        <v>-0.67608695652174666</v>
      </c>
      <c r="Q9" s="6" t="str">
        <f t="shared" si="6"/>
        <v>Yes</v>
      </c>
    </row>
    <row r="10" spans="1:17" x14ac:dyDescent="0.3">
      <c r="A10" s="46">
        <v>46205</v>
      </c>
      <c r="B10" s="6"/>
      <c r="C10" s="6" t="s">
        <v>135</v>
      </c>
      <c r="D10" s="6">
        <v>0.92</v>
      </c>
      <c r="E10" s="6">
        <v>0.92159999999999997</v>
      </c>
      <c r="F10" s="6">
        <v>1.3752</v>
      </c>
      <c r="G10" s="6">
        <v>1.8237000000000001</v>
      </c>
      <c r="H10" s="6">
        <v>3.0249000000000001</v>
      </c>
      <c r="I10" s="6">
        <v>3.6532</v>
      </c>
      <c r="J10" s="6">
        <v>4.5686</v>
      </c>
      <c r="K10" s="5">
        <f t="shared" si="0"/>
        <v>0.17391304347825379</v>
      </c>
      <c r="L10" s="5">
        <f t="shared" si="1"/>
        <v>-0.34782608695653167</v>
      </c>
      <c r="M10" s="5">
        <f t="shared" si="2"/>
        <v>-0.88586956521739024</v>
      </c>
      <c r="N10" s="5">
        <f t="shared" si="3"/>
        <v>-0.36561264822134015</v>
      </c>
      <c r="O10" s="5">
        <f t="shared" si="4"/>
        <v>-0.72826086956522162</v>
      </c>
      <c r="P10" s="5">
        <f t="shared" si="5"/>
        <v>-0.68260869565218552</v>
      </c>
      <c r="Q10" s="6" t="str">
        <f t="shared" si="6"/>
        <v>Yes</v>
      </c>
    </row>
    <row r="11" spans="1:17" x14ac:dyDescent="0.3">
      <c r="A11" s="46"/>
      <c r="B11" s="6"/>
      <c r="C11" s="6"/>
      <c r="D11" s="6"/>
      <c r="E11" s="6"/>
      <c r="F11" s="6"/>
      <c r="G11" s="6"/>
      <c r="H11" s="6"/>
      <c r="I11" s="6"/>
      <c r="J11" s="6"/>
      <c r="K11" s="5">
        <f t="shared" si="0"/>
        <v>0</v>
      </c>
      <c r="L11" s="5">
        <f t="shared" si="1"/>
        <v>0</v>
      </c>
      <c r="M11" s="5">
        <f t="shared" si="2"/>
        <v>0</v>
      </c>
      <c r="N11" s="5">
        <f t="shared" si="3"/>
        <v>0</v>
      </c>
      <c r="O11" s="5">
        <f t="shared" si="4"/>
        <v>0</v>
      </c>
      <c r="P11" s="5">
        <f t="shared" si="5"/>
        <v>0</v>
      </c>
      <c r="Q11" s="6" t="str">
        <f t="shared" si="6"/>
        <v>Ready to test</v>
      </c>
    </row>
    <row r="12" spans="1:17" x14ac:dyDescent="0.3">
      <c r="A12" s="46"/>
      <c r="B12" s="6"/>
      <c r="C12" s="6"/>
      <c r="D12" s="6"/>
      <c r="E12" s="6"/>
      <c r="F12" s="6"/>
      <c r="G12" s="6"/>
      <c r="H12" s="6"/>
      <c r="I12" s="6"/>
      <c r="J12" s="6"/>
      <c r="K12" s="5">
        <f t="shared" si="0"/>
        <v>0</v>
      </c>
      <c r="L12" s="5">
        <f t="shared" si="1"/>
        <v>0</v>
      </c>
      <c r="M12" s="5">
        <f t="shared" si="2"/>
        <v>0</v>
      </c>
      <c r="N12" s="5">
        <f t="shared" si="3"/>
        <v>0</v>
      </c>
      <c r="O12" s="5">
        <f t="shared" si="4"/>
        <v>0</v>
      </c>
      <c r="P12" s="5">
        <f t="shared" si="5"/>
        <v>0</v>
      </c>
      <c r="Q12" s="6" t="str">
        <f t="shared" si="6"/>
        <v>Ready to test</v>
      </c>
    </row>
    <row r="13" spans="1:17" x14ac:dyDescent="0.3">
      <c r="A13" s="46"/>
      <c r="B13" s="6"/>
      <c r="C13" s="6"/>
      <c r="D13" s="6"/>
      <c r="E13" s="6"/>
      <c r="F13" s="6"/>
      <c r="G13" s="6"/>
      <c r="H13" s="6"/>
      <c r="I13" s="6"/>
      <c r="J13" s="6"/>
      <c r="K13" s="5">
        <f t="shared" si="0"/>
        <v>0</v>
      </c>
      <c r="L13" s="5">
        <f t="shared" si="1"/>
        <v>0</v>
      </c>
      <c r="M13" s="5">
        <f t="shared" si="2"/>
        <v>0</v>
      </c>
      <c r="N13" s="5">
        <f t="shared" si="3"/>
        <v>0</v>
      </c>
      <c r="O13" s="5">
        <f t="shared" si="4"/>
        <v>0</v>
      </c>
      <c r="P13" s="5">
        <f t="shared" si="5"/>
        <v>0</v>
      </c>
      <c r="Q13" s="6" t="str">
        <f t="shared" si="6"/>
        <v>Ready to test</v>
      </c>
    </row>
    <row r="14" spans="1:17" x14ac:dyDescent="0.3">
      <c r="A14" s="46"/>
      <c r="B14" s="6"/>
      <c r="C14" s="6"/>
      <c r="D14" s="6"/>
      <c r="E14" s="6"/>
      <c r="F14" s="6"/>
      <c r="G14" s="6"/>
      <c r="H14" s="6"/>
      <c r="I14" s="6"/>
      <c r="J14" s="6"/>
      <c r="K14" s="5">
        <f t="shared" si="0"/>
        <v>0</v>
      </c>
      <c r="L14" s="5">
        <f t="shared" si="1"/>
        <v>0</v>
      </c>
      <c r="M14" s="5">
        <f t="shared" si="2"/>
        <v>0</v>
      </c>
      <c r="N14" s="5">
        <f t="shared" si="3"/>
        <v>0</v>
      </c>
      <c r="O14" s="5">
        <f t="shared" si="4"/>
        <v>0</v>
      </c>
      <c r="P14" s="5">
        <f t="shared" si="5"/>
        <v>0</v>
      </c>
      <c r="Q14" s="6" t="str">
        <f t="shared" si="6"/>
        <v>Ready to test</v>
      </c>
    </row>
    <row r="15" spans="1:17" x14ac:dyDescent="0.3">
      <c r="A15" s="46"/>
      <c r="B15" s="6"/>
      <c r="C15" s="6"/>
      <c r="D15" s="6"/>
      <c r="E15" s="6"/>
      <c r="F15" s="6"/>
      <c r="G15" s="6"/>
      <c r="H15" s="6"/>
      <c r="I15" s="6"/>
      <c r="J15" s="6"/>
      <c r="K15" s="5">
        <f t="shared" si="0"/>
        <v>0</v>
      </c>
      <c r="L15" s="5">
        <f t="shared" si="1"/>
        <v>0</v>
      </c>
      <c r="M15" s="5">
        <f t="shared" si="2"/>
        <v>0</v>
      </c>
      <c r="N15" s="5">
        <f t="shared" si="3"/>
        <v>0</v>
      </c>
      <c r="O15" s="5">
        <f t="shared" si="4"/>
        <v>0</v>
      </c>
      <c r="P15" s="5">
        <f t="shared" si="5"/>
        <v>0</v>
      </c>
      <c r="Q15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15">
    <cfRule type="expression" dxfId="119" priority="1">
      <formula>Q3="Alert"</formula>
    </cfRule>
    <cfRule type="expression" dxfId="118" priority="2">
      <formula>Q3="Yes"</formula>
    </cfRule>
    <cfRule type="expression" dxfId="117" priority="3">
      <formula>Q3="No"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15"/>
  <sheetViews>
    <sheetView workbookViewId="0">
      <selection activeCell="C23" sqref="C23"/>
    </sheetView>
  </sheetViews>
  <sheetFormatPr defaultColWidth="18.33203125" defaultRowHeight="14.4" x14ac:dyDescent="0.3"/>
  <cols>
    <col min="1" max="1" width="18.33203125" style="39" customWidth="1"/>
    <col min="2" max="2" width="18.33203125" style="1" customWidth="1"/>
    <col min="3" max="16384" width="18.33203125" style="1"/>
  </cols>
  <sheetData>
    <row r="1" spans="1:17" ht="14.7" customHeight="1" x14ac:dyDescent="0.3">
      <c r="A1" s="8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4.7" customHeight="1" thickBot="1" x14ac:dyDescent="0.35">
      <c r="A2" s="8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2" t="s">
        <v>94</v>
      </c>
      <c r="O2" s="2" t="s">
        <v>95</v>
      </c>
      <c r="P2" s="2" t="s">
        <v>96</v>
      </c>
      <c r="Q2" s="67"/>
    </row>
    <row r="3" spans="1:17" x14ac:dyDescent="0.3">
      <c r="A3" s="38">
        <v>45799</v>
      </c>
      <c r="B3" s="6"/>
      <c r="C3" s="6" t="s">
        <v>127</v>
      </c>
      <c r="D3" s="18">
        <v>0.92</v>
      </c>
      <c r="E3" s="6">
        <v>0.92210000000000003</v>
      </c>
      <c r="F3" s="17">
        <v>1.3766</v>
      </c>
      <c r="G3" s="17">
        <v>1.8243</v>
      </c>
      <c r="H3" s="6">
        <v>3.0261</v>
      </c>
      <c r="I3" s="6">
        <v>3.6551</v>
      </c>
      <c r="J3" s="6">
        <v>4.5697000000000001</v>
      </c>
      <c r="K3" s="5">
        <f>IF(D3=0, 0, 100*(E3 - D3*1)/(D3*1))</f>
        <v>0.22826086956521638</v>
      </c>
      <c r="L3" s="5">
        <f t="shared" ref="L3:L15" si="0">IF(D3=0, 0, 100*(F3 - D3*1.5)/(D3*1.5))</f>
        <v>-0.24637681159420793</v>
      </c>
      <c r="M3" s="5">
        <f t="shared" ref="M3:M15" si="1">IF(D3=0, 0, 100*(G3 - D3*2)/(D3*2))</f>
        <v>-0.85326086956521996</v>
      </c>
      <c r="N3" s="5">
        <f t="shared" ref="N3:N15" si="2">IF(D3=0, 0, 100*(H3 - D3*3.3)/(D3*3.3))</f>
        <v>-0.3260869565217398</v>
      </c>
      <c r="O3" s="5">
        <f t="shared" ref="O3:O15" si="3">IF(D3=0, 0, 100*(I3 - D3*4)/(D3*4))</f>
        <v>-0.67663043478261253</v>
      </c>
      <c r="P3" s="5">
        <f t="shared" ref="P3:P15" si="4">IF(D3=0, 0, 100*(J3 - D3*5)/(D3*5))</f>
        <v>-0.65869565217392245</v>
      </c>
      <c r="Q3" s="6" t="str">
        <f t="shared" ref="Q3:Q15" si="5"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38">
        <v>45833</v>
      </c>
      <c r="B4" s="6"/>
      <c r="C4" s="6" t="s">
        <v>173</v>
      </c>
      <c r="D4" s="6">
        <v>0.92</v>
      </c>
      <c r="E4" s="6">
        <v>0.92179999999999995</v>
      </c>
      <c r="F4" s="6">
        <v>1.3756999999999999</v>
      </c>
      <c r="G4" s="6">
        <v>1.8238000000000001</v>
      </c>
      <c r="H4" s="6">
        <v>3.0249999999999999</v>
      </c>
      <c r="I4" s="6">
        <v>3.6526999999999998</v>
      </c>
      <c r="J4" s="6">
        <v>4.5688000000000004</v>
      </c>
      <c r="K4" s="5">
        <f t="shared" ref="K4:K15" si="6">IF(D4=0, 0, 100*(E4 - D4*1)/(D4*1))</f>
        <v>0.19565217391303399</v>
      </c>
      <c r="L4" s="5">
        <f t="shared" si="0"/>
        <v>-0.31159420289856465</v>
      </c>
      <c r="M4" s="5">
        <f t="shared" si="1"/>
        <v>-0.88043478260869523</v>
      </c>
      <c r="N4" s="5">
        <f t="shared" si="2"/>
        <v>-0.36231884057971414</v>
      </c>
      <c r="O4" s="5">
        <f t="shared" si="3"/>
        <v>-0.74184782608696531</v>
      </c>
      <c r="P4" s="5">
        <f t="shared" si="4"/>
        <v>-0.6782608695652198</v>
      </c>
      <c r="Q4" s="6" t="str">
        <f t="shared" si="5"/>
        <v>Yes</v>
      </c>
    </row>
    <row r="5" spans="1:17" x14ac:dyDescent="0.3">
      <c r="A5" s="38">
        <v>45867</v>
      </c>
      <c r="B5" s="6"/>
      <c r="C5" s="6" t="s">
        <v>172</v>
      </c>
      <c r="D5" s="6">
        <v>0.92</v>
      </c>
      <c r="E5" s="6">
        <v>0.92159999999999997</v>
      </c>
      <c r="F5" s="17">
        <v>1.3756999999999999</v>
      </c>
      <c r="G5" s="6">
        <v>1.8236000000000001</v>
      </c>
      <c r="H5" s="6">
        <v>3.0247999999999999</v>
      </c>
      <c r="I5" s="6">
        <v>3.6526000000000001</v>
      </c>
      <c r="J5" s="6">
        <v>4.5688000000000004</v>
      </c>
      <c r="K5" s="5">
        <f t="shared" si="6"/>
        <v>0.17391304347825379</v>
      </c>
      <c r="L5" s="5">
        <f t="shared" si="0"/>
        <v>-0.31159420289856465</v>
      </c>
      <c r="M5" s="5">
        <f t="shared" si="1"/>
        <v>-0.89130434782608525</v>
      </c>
      <c r="N5" s="5">
        <f t="shared" si="2"/>
        <v>-0.36890645586298088</v>
      </c>
      <c r="O5" s="5">
        <f t="shared" si="3"/>
        <v>-0.74456521739130677</v>
      </c>
      <c r="P5" s="5">
        <f t="shared" si="4"/>
        <v>-0.6782608695652198</v>
      </c>
      <c r="Q5" s="6" t="str">
        <f t="shared" si="5"/>
        <v>Yes</v>
      </c>
    </row>
    <row r="6" spans="1:17" x14ac:dyDescent="0.3">
      <c r="A6" s="38">
        <v>45901</v>
      </c>
      <c r="B6" s="6"/>
      <c r="C6" s="6" t="s">
        <v>103</v>
      </c>
      <c r="D6" s="6">
        <v>0.92</v>
      </c>
      <c r="E6" s="6">
        <v>0.92159999999999997</v>
      </c>
      <c r="F6" s="6">
        <v>1.3754</v>
      </c>
      <c r="G6" s="6">
        <v>1.8233999999999999</v>
      </c>
      <c r="H6" s="6">
        <v>3.0244</v>
      </c>
      <c r="I6" s="20">
        <v>3.6530999999999998</v>
      </c>
      <c r="J6" s="6">
        <v>4.5674000000000001</v>
      </c>
      <c r="K6" s="5">
        <f t="shared" si="6"/>
        <v>0.17391304347825379</v>
      </c>
      <c r="L6" s="5">
        <f t="shared" si="0"/>
        <v>-0.33333333333334486</v>
      </c>
      <c r="M6" s="5">
        <f t="shared" si="1"/>
        <v>-0.90217391304348749</v>
      </c>
      <c r="N6" s="5">
        <f t="shared" si="2"/>
        <v>-0.38208168642951429</v>
      </c>
      <c r="O6" s="5">
        <f t="shared" si="3"/>
        <v>-0.73097826086957518</v>
      </c>
      <c r="P6" s="5">
        <f t="shared" si="4"/>
        <v>-0.70869565217392183</v>
      </c>
      <c r="Q6" s="6" t="str">
        <f t="shared" si="5"/>
        <v>Yes</v>
      </c>
    </row>
    <row r="7" spans="1:17" x14ac:dyDescent="0.3">
      <c r="A7" s="16">
        <v>45941</v>
      </c>
      <c r="B7" s="6"/>
      <c r="C7" s="6" t="s">
        <v>101</v>
      </c>
      <c r="D7" s="6">
        <v>0.92</v>
      </c>
      <c r="E7" s="6">
        <v>0.92200000000000004</v>
      </c>
      <c r="F7" s="6">
        <v>1.3763000000000001</v>
      </c>
      <c r="G7" s="6">
        <v>1.8241000000000001</v>
      </c>
      <c r="H7" s="6">
        <v>3.0255999999999998</v>
      </c>
      <c r="I7" s="6">
        <v>3.6551</v>
      </c>
      <c r="J7" s="6">
        <v>4.5697000000000001</v>
      </c>
      <c r="K7" s="5">
        <f t="shared" si="6"/>
        <v>0.21739130434782628</v>
      </c>
      <c r="L7" s="5">
        <f t="shared" si="0"/>
        <v>-0.26811594202898814</v>
      </c>
      <c r="M7" s="5">
        <f t="shared" si="1"/>
        <v>-0.86413043478260998</v>
      </c>
      <c r="N7" s="5">
        <f t="shared" si="2"/>
        <v>-0.34255599472991394</v>
      </c>
      <c r="O7" s="5">
        <f t="shared" si="3"/>
        <v>-0.67663043478261253</v>
      </c>
      <c r="P7" s="5">
        <f t="shared" si="4"/>
        <v>-0.65869565217392245</v>
      </c>
      <c r="Q7" s="6" t="str">
        <f t="shared" si="5"/>
        <v>Yes</v>
      </c>
    </row>
    <row r="8" spans="1:17" x14ac:dyDescent="0.3">
      <c r="A8" s="38">
        <v>45987</v>
      </c>
      <c r="B8" s="6"/>
      <c r="C8" s="6" t="s">
        <v>174</v>
      </c>
      <c r="D8" s="6">
        <v>0.92</v>
      </c>
      <c r="E8" s="6">
        <v>0.92190000000000005</v>
      </c>
      <c r="F8" s="6">
        <v>1.3764000000000001</v>
      </c>
      <c r="G8" s="6">
        <v>1.8241000000000001</v>
      </c>
      <c r="H8" s="6">
        <v>3.0259</v>
      </c>
      <c r="I8" s="6">
        <v>3.6543000000000001</v>
      </c>
      <c r="J8" s="6">
        <v>4.5692000000000004</v>
      </c>
      <c r="K8" s="5">
        <f t="shared" si="6"/>
        <v>0.20652173913043617</v>
      </c>
      <c r="L8" s="5">
        <f t="shared" si="0"/>
        <v>-0.26086956521739474</v>
      </c>
      <c r="M8" s="5">
        <f t="shared" si="1"/>
        <v>-0.86413043478260998</v>
      </c>
      <c r="N8" s="5">
        <f t="shared" si="2"/>
        <v>-0.33267457180500654</v>
      </c>
      <c r="O8" s="5">
        <f t="shared" si="3"/>
        <v>-0.6983695652173928</v>
      </c>
      <c r="P8" s="5">
        <f t="shared" si="4"/>
        <v>-0.66956521739130781</v>
      </c>
      <c r="Q8" s="6" t="str">
        <f t="shared" si="5"/>
        <v>Yes</v>
      </c>
    </row>
    <row r="9" spans="1:17" x14ac:dyDescent="0.3">
      <c r="A9" s="16">
        <v>46034</v>
      </c>
      <c r="B9" s="6"/>
      <c r="C9" s="6" t="s">
        <v>150</v>
      </c>
      <c r="D9" s="6">
        <v>0.92</v>
      </c>
      <c r="E9" s="6">
        <v>0.92220000000000002</v>
      </c>
      <c r="F9" s="6">
        <v>1.3768</v>
      </c>
      <c r="G9" s="6">
        <v>1.8243</v>
      </c>
      <c r="H9" s="6">
        <v>3.0257999999999998</v>
      </c>
      <c r="I9" s="6">
        <v>3.6541999999999999</v>
      </c>
      <c r="J9" s="6">
        <v>4.5693999999999999</v>
      </c>
      <c r="K9" s="5">
        <f t="shared" si="6"/>
        <v>0.23913043478260648</v>
      </c>
      <c r="L9" s="5">
        <f t="shared" si="0"/>
        <v>-0.23188405797102113</v>
      </c>
      <c r="M9" s="5">
        <f t="shared" si="1"/>
        <v>-0.85326086956521996</v>
      </c>
      <c r="N9" s="5">
        <f t="shared" si="2"/>
        <v>-0.3359683794466472</v>
      </c>
      <c r="O9" s="5">
        <f t="shared" si="3"/>
        <v>-0.70108695652174635</v>
      </c>
      <c r="P9" s="5">
        <f t="shared" si="4"/>
        <v>-0.66521739130436142</v>
      </c>
      <c r="Q9" s="6" t="str">
        <f t="shared" si="5"/>
        <v>Yes</v>
      </c>
    </row>
    <row r="10" spans="1:17" x14ac:dyDescent="0.3">
      <c r="A10" s="38">
        <v>46111</v>
      </c>
      <c r="B10" s="6"/>
      <c r="C10" s="6" t="s">
        <v>104</v>
      </c>
      <c r="D10" s="6">
        <v>0.92</v>
      </c>
      <c r="E10" s="6">
        <v>0.92179999999999995</v>
      </c>
      <c r="F10" s="6">
        <v>1.3762000000000001</v>
      </c>
      <c r="G10" s="6">
        <v>1.8241000000000001</v>
      </c>
      <c r="H10" s="6">
        <v>3.0255999999999998</v>
      </c>
      <c r="I10" s="6">
        <v>3.6551999999999998</v>
      </c>
      <c r="J10" s="6">
        <v>4.5693000000000001</v>
      </c>
      <c r="K10" s="5">
        <f t="shared" si="6"/>
        <v>0.19565217391303399</v>
      </c>
      <c r="L10" s="5">
        <f t="shared" si="0"/>
        <v>-0.27536231884058154</v>
      </c>
      <c r="M10" s="5">
        <f t="shared" si="1"/>
        <v>-0.86413043478260998</v>
      </c>
      <c r="N10" s="5">
        <f t="shared" si="2"/>
        <v>-0.34255599472991394</v>
      </c>
      <c r="O10" s="5">
        <f t="shared" si="3"/>
        <v>-0.67391304347827108</v>
      </c>
      <c r="P10" s="5">
        <f t="shared" si="4"/>
        <v>-0.66739130434783456</v>
      </c>
      <c r="Q10" s="50" t="str">
        <f t="shared" si="5"/>
        <v>Yes</v>
      </c>
    </row>
    <row r="11" spans="1:17" x14ac:dyDescent="0.3">
      <c r="A11" s="38">
        <v>46205</v>
      </c>
      <c r="B11" s="6"/>
      <c r="C11" s="6" t="s">
        <v>135</v>
      </c>
      <c r="D11" s="6">
        <v>0.92</v>
      </c>
      <c r="E11" s="6">
        <v>0.92149999999999999</v>
      </c>
      <c r="F11" s="6">
        <v>1.3753</v>
      </c>
      <c r="G11" s="6">
        <v>1.8234999999999999</v>
      </c>
      <c r="H11" s="6">
        <v>3.0251000000000001</v>
      </c>
      <c r="I11" s="6">
        <v>3.653</v>
      </c>
      <c r="J11" s="6">
        <v>4.5682999999999998</v>
      </c>
      <c r="K11" s="5">
        <f t="shared" si="6"/>
        <v>0.16304347826086366</v>
      </c>
      <c r="L11" s="5">
        <f t="shared" si="0"/>
        <v>-0.34057971014493826</v>
      </c>
      <c r="M11" s="5">
        <f t="shared" si="1"/>
        <v>-0.89673913043479236</v>
      </c>
      <c r="N11" s="5">
        <f t="shared" si="2"/>
        <v>-0.35902503293807342</v>
      </c>
      <c r="O11" s="5">
        <f t="shared" si="3"/>
        <v>-0.73369565217391663</v>
      </c>
      <c r="P11" s="5">
        <f t="shared" si="4"/>
        <v>-0.68913043478262448</v>
      </c>
      <c r="Q11" s="50" t="str">
        <f t="shared" si="5"/>
        <v>Yes</v>
      </c>
    </row>
    <row r="12" spans="1:17" x14ac:dyDescent="0.3">
      <c r="A12" s="38"/>
      <c r="B12" s="6"/>
      <c r="C12" s="6"/>
      <c r="D12" s="6"/>
      <c r="E12" s="6"/>
      <c r="F12" s="6"/>
      <c r="G12" s="6"/>
      <c r="H12" s="6"/>
      <c r="I12" s="6"/>
      <c r="J12" s="6"/>
      <c r="K12" s="5">
        <f t="shared" si="6"/>
        <v>0</v>
      </c>
      <c r="L12" s="5">
        <f t="shared" si="0"/>
        <v>0</v>
      </c>
      <c r="M12" s="5">
        <f t="shared" si="1"/>
        <v>0</v>
      </c>
      <c r="N12" s="5">
        <f t="shared" si="2"/>
        <v>0</v>
      </c>
      <c r="O12" s="5">
        <f t="shared" si="3"/>
        <v>0</v>
      </c>
      <c r="P12" s="5">
        <f t="shared" si="4"/>
        <v>0</v>
      </c>
      <c r="Q12" s="6" t="str">
        <f t="shared" si="5"/>
        <v>Ready to test</v>
      </c>
    </row>
    <row r="13" spans="1:17" x14ac:dyDescent="0.3">
      <c r="A13" s="38"/>
      <c r="B13" s="6"/>
      <c r="C13" s="6"/>
      <c r="D13" s="6"/>
      <c r="E13" s="6"/>
      <c r="F13" s="6"/>
      <c r="G13" s="6"/>
      <c r="H13" s="6"/>
      <c r="I13" s="6"/>
      <c r="J13" s="6"/>
      <c r="K13" s="5">
        <f t="shared" si="6"/>
        <v>0</v>
      </c>
      <c r="L13" s="5">
        <f t="shared" si="0"/>
        <v>0</v>
      </c>
      <c r="M13" s="5">
        <f t="shared" si="1"/>
        <v>0</v>
      </c>
      <c r="N13" s="5">
        <f t="shared" si="2"/>
        <v>0</v>
      </c>
      <c r="O13" s="5">
        <f t="shared" si="3"/>
        <v>0</v>
      </c>
      <c r="P13" s="5">
        <f t="shared" si="4"/>
        <v>0</v>
      </c>
      <c r="Q13" s="6" t="str">
        <f t="shared" si="5"/>
        <v>Ready to test</v>
      </c>
    </row>
    <row r="14" spans="1:17" x14ac:dyDescent="0.3">
      <c r="A14" s="38"/>
      <c r="B14" s="6"/>
      <c r="C14" s="6"/>
      <c r="D14" s="6"/>
      <c r="E14" s="6"/>
      <c r="F14" s="6"/>
      <c r="G14" s="6"/>
      <c r="H14" s="6"/>
      <c r="I14" s="6"/>
      <c r="J14" s="6"/>
      <c r="K14" s="5">
        <f t="shared" si="6"/>
        <v>0</v>
      </c>
      <c r="L14" s="5">
        <f t="shared" si="0"/>
        <v>0</v>
      </c>
      <c r="M14" s="5">
        <f t="shared" si="1"/>
        <v>0</v>
      </c>
      <c r="N14" s="5">
        <f t="shared" si="2"/>
        <v>0</v>
      </c>
      <c r="O14" s="5">
        <f t="shared" si="3"/>
        <v>0</v>
      </c>
      <c r="P14" s="5">
        <f t="shared" si="4"/>
        <v>0</v>
      </c>
      <c r="Q14" s="6" t="str">
        <f t="shared" si="5"/>
        <v>Ready to test</v>
      </c>
    </row>
    <row r="15" spans="1:17" x14ac:dyDescent="0.3">
      <c r="A15" s="38"/>
      <c r="B15" s="6"/>
      <c r="C15" s="6"/>
      <c r="D15" s="6"/>
      <c r="E15" s="6"/>
      <c r="F15" s="6"/>
      <c r="G15" s="6"/>
      <c r="H15" s="6"/>
      <c r="I15" s="6"/>
      <c r="J15" s="6"/>
      <c r="K15" s="5">
        <f t="shared" si="6"/>
        <v>0</v>
      </c>
      <c r="L15" s="5">
        <f t="shared" si="0"/>
        <v>0</v>
      </c>
      <c r="M15" s="5">
        <f t="shared" si="1"/>
        <v>0</v>
      </c>
      <c r="N15" s="5">
        <f t="shared" si="2"/>
        <v>0</v>
      </c>
      <c r="O15" s="5">
        <f t="shared" si="3"/>
        <v>0</v>
      </c>
      <c r="P15" s="5">
        <f t="shared" si="4"/>
        <v>0</v>
      </c>
      <c r="Q15" s="6" t="str">
        <f t="shared" si="5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9">
    <cfRule type="expression" dxfId="116" priority="1">
      <formula>Q3="Alert"</formula>
    </cfRule>
    <cfRule type="expression" dxfId="115" priority="2">
      <formula>Q3="Yes"</formula>
    </cfRule>
    <cfRule type="expression" dxfId="114" priority="3">
      <formula>Q3="No"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R16"/>
  <sheetViews>
    <sheetView zoomScale="120" zoomScaleNormal="120" workbookViewId="0">
      <selection activeCell="J11" sqref="J11"/>
    </sheetView>
  </sheetViews>
  <sheetFormatPr defaultColWidth="18.33203125" defaultRowHeight="14.4" x14ac:dyDescent="0.3"/>
  <cols>
    <col min="1" max="1" width="11.44140625" style="39" bestFit="1" customWidth="1"/>
    <col min="2" max="2" width="9" style="1" bestFit="1" customWidth="1"/>
    <col min="3" max="3" width="15" style="1" bestFit="1" customWidth="1"/>
    <col min="4" max="4" width="17.44140625" style="1" bestFit="1" customWidth="1"/>
    <col min="5" max="5" width="10.109375" style="1" customWidth="1"/>
    <col min="6" max="6" width="9" style="1" customWidth="1"/>
    <col min="7" max="7" width="10" style="1" customWidth="1"/>
    <col min="8" max="8" width="9.6640625" style="1" customWidth="1"/>
    <col min="9" max="10" width="8.5546875" style="1" customWidth="1"/>
    <col min="11" max="11" width="11" style="1" customWidth="1"/>
    <col min="12" max="12" width="12.88671875" style="1" customWidth="1"/>
    <col min="13" max="13" width="11" style="1" customWidth="1"/>
    <col min="14" max="15" width="12.88671875" style="1" customWidth="1"/>
    <col min="16" max="16" width="10.6640625" style="1" customWidth="1"/>
    <col min="17" max="18" width="18.33203125" style="1" customWidth="1"/>
    <col min="19" max="16384" width="18.33203125" style="1"/>
  </cols>
  <sheetData>
    <row r="1" spans="1:18" ht="28.5" customHeight="1" x14ac:dyDescent="0.3">
      <c r="A1" s="8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  <c r="R1" s="86" t="s">
        <v>4</v>
      </c>
    </row>
    <row r="2" spans="1:18" ht="14.7" customHeight="1" thickBot="1" x14ac:dyDescent="0.35">
      <c r="A2" s="8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  <c r="R2" s="87"/>
    </row>
    <row r="3" spans="1:18" x14ac:dyDescent="0.3">
      <c r="A3" s="37">
        <v>45803</v>
      </c>
      <c r="B3" s="4" t="s">
        <v>5</v>
      </c>
      <c r="C3" s="4" t="s">
        <v>107</v>
      </c>
      <c r="D3" s="4">
        <v>0.92</v>
      </c>
      <c r="E3" s="4">
        <v>0.9214</v>
      </c>
      <c r="F3" s="4">
        <v>1.3762000000000001</v>
      </c>
      <c r="G3" s="4">
        <v>1.8238000000000001</v>
      </c>
      <c r="H3" s="19">
        <v>3.0253999999999999</v>
      </c>
      <c r="I3" s="4">
        <v>3.6543999999999999</v>
      </c>
      <c r="J3" s="4">
        <v>4.5692000000000004</v>
      </c>
      <c r="K3" s="5">
        <f t="shared" ref="K3" si="0">IF(D3=0, 0, 100*(E3 - D3*1)/(D3*1))</f>
        <v>0.15217391304347355</v>
      </c>
      <c r="L3" s="5">
        <f t="shared" ref="L3" si="1">IF(D3=0, 0, 100*(F3 - D3*1.5)/(D3*1.5))</f>
        <v>-0.27536231884058154</v>
      </c>
      <c r="M3" s="5">
        <f t="shared" ref="M3" si="2">IF(D3=0, 0, 100*(G3 - D3*2)/(D3*2))</f>
        <v>-0.88043478260869523</v>
      </c>
      <c r="N3" s="5">
        <f t="shared" ref="N3" si="3">IF(D3=0, 0, 100*(H3 - D3*3.3)/(D3*3.3))</f>
        <v>-0.34914361001318067</v>
      </c>
      <c r="O3" s="5">
        <f t="shared" ref="O3" si="4">IF(D3=0, 0, 100*(I3 - D3*4)/(D3*4))</f>
        <v>-0.69565217391305134</v>
      </c>
      <c r="P3" s="5">
        <f t="shared" ref="P3" si="5">IF(D3=0, 0, 100*(J3 - D3*5)/(D3*5))</f>
        <v>-0.66956521739130781</v>
      </c>
      <c r="Q3" s="4" t="str">
        <f t="shared" ref="Q3:Q16" si="6">IF(AND(K3&gt;=0.11,K3&lt;=0.27,L3&gt;=-0.36,L3&lt;=-0.22,M3&gt;=-0.92,M3&lt;=-0.82,N3&gt;=-0.4,N3&lt;=-0.3,O3&gt;=-0.79,O3&lt;=-0.64,P3&gt;=-0.76,P3&lt;=-0.61), "Yes", IF(AND(K3=0,L3=0,M3=0,N3=0,O3=0,P3=0), "Ready to test", "No"))</f>
        <v>Yes</v>
      </c>
      <c r="R3" s="1" t="s">
        <v>113</v>
      </c>
    </row>
    <row r="4" spans="1:18" x14ac:dyDescent="0.3">
      <c r="A4" s="38">
        <v>45804</v>
      </c>
      <c r="B4" s="6" t="s">
        <v>175</v>
      </c>
      <c r="C4" s="6" t="s">
        <v>103</v>
      </c>
      <c r="D4" s="4">
        <v>0.92</v>
      </c>
      <c r="E4" s="6">
        <v>0.92149999999999999</v>
      </c>
      <c r="F4" s="6">
        <v>1.3758999999999999</v>
      </c>
      <c r="G4" s="6">
        <v>1.8234999999999999</v>
      </c>
      <c r="H4" s="17">
        <v>3.0247000000000002</v>
      </c>
      <c r="I4" s="6">
        <v>3.6534</v>
      </c>
      <c r="J4" s="20">
        <v>4.5685000000000002</v>
      </c>
      <c r="K4" s="5">
        <f>IF(D4=0, 0, 100*(E4 - D4*1)/(D4*1))</f>
        <v>0.16304347826086366</v>
      </c>
      <c r="L4" s="5">
        <f t="shared" ref="L4:L16" si="7">IF(D4=0, 0, 100*(F4 - D4*1.5)/(D4*1.5))</f>
        <v>-0.29710144927537785</v>
      </c>
      <c r="M4" s="5">
        <f t="shared" ref="M4:M16" si="8">IF(D4=0, 0, 100*(G4 - D4*2)/(D4*2))</f>
        <v>-0.89673913043479236</v>
      </c>
      <c r="N4" s="5">
        <f t="shared" ref="N4:N16" si="9">IF(D4=0, 0, 100*(H4 - D4*3.3)/(D4*3.3))</f>
        <v>-0.37220026350460689</v>
      </c>
      <c r="O4" s="5">
        <f t="shared" ref="O4:O16" si="10">IF(D4=0, 0, 100*(I4 - D4*4)/(D4*4))</f>
        <v>-0.72282608695652661</v>
      </c>
      <c r="P4" s="5">
        <f t="shared" ref="P4:P16" si="11">IF(D4=0, 0, 100*(J4 - D4*5)/(D4*5))</f>
        <v>-0.68478260869565877</v>
      </c>
      <c r="Q4" s="6" t="str">
        <f t="shared" si="6"/>
        <v>Yes</v>
      </c>
    </row>
    <row r="5" spans="1:18" x14ac:dyDescent="0.3">
      <c r="A5" s="38">
        <v>45827</v>
      </c>
      <c r="B5" s="6"/>
      <c r="C5" s="6" t="s">
        <v>128</v>
      </c>
      <c r="D5" s="6">
        <v>0.91979999999999995</v>
      </c>
      <c r="E5" s="6">
        <v>0.9214</v>
      </c>
      <c r="F5" s="6">
        <v>1.3757999999999999</v>
      </c>
      <c r="G5" s="6">
        <v>1.8234999999999999</v>
      </c>
      <c r="H5" s="6">
        <v>3.0251999999999999</v>
      </c>
      <c r="I5" s="6">
        <v>3.6541000000000001</v>
      </c>
      <c r="J5" s="6">
        <v>4.569</v>
      </c>
      <c r="K5" s="5">
        <f t="shared" ref="K5:K16" si="12">IF(D5=0, 0, 100*(E5 - D5*1)/(D5*1))</f>
        <v>0.17395085888237072</v>
      </c>
      <c r="L5" s="5">
        <f t="shared" si="7"/>
        <v>-0.28267014568384541</v>
      </c>
      <c r="M5" s="5">
        <f t="shared" si="8"/>
        <v>-0.87519025875190282</v>
      </c>
      <c r="N5" s="5">
        <f t="shared" si="9"/>
        <v>-0.33406471762635542</v>
      </c>
      <c r="O5" s="5">
        <f t="shared" si="10"/>
        <v>-0.68221352467926943</v>
      </c>
      <c r="P5" s="5">
        <f t="shared" si="11"/>
        <v>-0.6523157208088769</v>
      </c>
      <c r="Q5" s="6" t="str">
        <f t="shared" si="6"/>
        <v>Yes</v>
      </c>
    </row>
    <row r="6" spans="1:18" x14ac:dyDescent="0.3">
      <c r="A6" s="38">
        <v>45867</v>
      </c>
      <c r="B6" s="6"/>
      <c r="C6" s="6" t="s">
        <v>172</v>
      </c>
      <c r="D6" s="6">
        <v>0.92</v>
      </c>
      <c r="E6" s="6">
        <v>0.92120000000000002</v>
      </c>
      <c r="F6" s="6">
        <v>1.3753</v>
      </c>
      <c r="G6" s="6">
        <v>1.8231999999999999</v>
      </c>
      <c r="H6" s="6">
        <v>3.0246</v>
      </c>
      <c r="I6" s="6">
        <v>3.6524000000000001</v>
      </c>
      <c r="J6" s="6">
        <v>4.5682</v>
      </c>
      <c r="K6" s="5">
        <f t="shared" si="12"/>
        <v>0.13043478260869334</v>
      </c>
      <c r="L6" s="5">
        <f t="shared" si="7"/>
        <v>-0.34057971014493826</v>
      </c>
      <c r="M6" s="5">
        <f t="shared" si="8"/>
        <v>-0.91304347826087762</v>
      </c>
      <c r="N6" s="5">
        <f t="shared" si="9"/>
        <v>-0.37549407114624761</v>
      </c>
      <c r="O6" s="5">
        <f t="shared" si="10"/>
        <v>-0.75000000000000189</v>
      </c>
      <c r="P6" s="5">
        <f t="shared" si="11"/>
        <v>-0.69130434782609762</v>
      </c>
      <c r="Q6" s="6" t="str">
        <f>IF(AND(K6&gt;=0.11,K6&lt;=0.27,L6&gt;=-0.36,L6&lt;=-0.22,M6&gt;=-0.92,M6&lt;=-0.82,N6&gt;=-0.4,N6&lt;=-0.3,O6&gt;=-0.79,O6&lt;=-0.64,P6&gt;=-0.76,P6&lt;=-0.61), "Yes", IF(AND(K6=0,L6=0,M6=0,N6=0,O6=0,P6=0), "Ready to test", "No"))</f>
        <v>Yes</v>
      </c>
    </row>
    <row r="7" spans="1:18" x14ac:dyDescent="0.3">
      <c r="A7" s="38">
        <v>45901</v>
      </c>
      <c r="B7" s="6"/>
      <c r="C7" s="6" t="s">
        <v>103</v>
      </c>
      <c r="D7" s="6">
        <v>0.92</v>
      </c>
      <c r="E7" s="6">
        <v>0.92120000000000002</v>
      </c>
      <c r="F7" s="6">
        <v>1.3752</v>
      </c>
      <c r="G7" s="6">
        <v>1.8239000000000001</v>
      </c>
      <c r="H7" s="6">
        <v>3.0240999999999998</v>
      </c>
      <c r="I7" s="6">
        <v>3.6520000000000001</v>
      </c>
      <c r="J7" s="20">
        <v>4.5677000000000003</v>
      </c>
      <c r="K7" s="5">
        <f t="shared" si="12"/>
        <v>0.13043478260869334</v>
      </c>
      <c r="L7" s="5">
        <f t="shared" si="7"/>
        <v>-0.34782608695653167</v>
      </c>
      <c r="M7" s="5">
        <f t="shared" si="8"/>
        <v>-0.87500000000000011</v>
      </c>
      <c r="N7" s="5">
        <f t="shared" si="9"/>
        <v>-0.39196310935442175</v>
      </c>
      <c r="O7" s="5">
        <f t="shared" si="10"/>
        <v>-0.76086956521739191</v>
      </c>
      <c r="P7" s="5">
        <f t="shared" si="11"/>
        <v>-0.70217391304348287</v>
      </c>
      <c r="Q7" s="6" t="str">
        <f t="shared" ref="Q7:Q9" si="13">IF(AND(K7&gt;=0.11,K7&lt;=0.27,L7&gt;=-0.36,L7&lt;=-0.22,M7&gt;=-0.92,M7&lt;=-0.82,N7&gt;=-0.4,N7&lt;=-0.3,O7&gt;=-0.79,O7&lt;=-0.64,P7&gt;=-0.76,P7&lt;=-0.61), "Yes", IF(AND(K7=0,L7=0,M7=0,N7=0,O7=0,P7=0), "Ready to test", "No"))</f>
        <v>Yes</v>
      </c>
    </row>
    <row r="8" spans="1:18" x14ac:dyDescent="0.3">
      <c r="A8" s="16">
        <v>45941</v>
      </c>
      <c r="B8" s="6"/>
      <c r="C8" s="6" t="s">
        <v>101</v>
      </c>
      <c r="D8" s="6">
        <v>0.92</v>
      </c>
      <c r="E8" s="6">
        <v>0.92169999999999996</v>
      </c>
      <c r="F8" s="6">
        <v>1.3757999999999999</v>
      </c>
      <c r="G8" s="6">
        <v>1.8234999999999999</v>
      </c>
      <c r="H8" s="6">
        <v>3.0247000000000002</v>
      </c>
      <c r="I8" s="6">
        <v>3.6543999999999999</v>
      </c>
      <c r="J8" s="6">
        <v>4.5686</v>
      </c>
      <c r="K8" s="5">
        <f t="shared" si="12"/>
        <v>0.18478260869564389</v>
      </c>
      <c r="L8" s="5">
        <f t="shared" si="7"/>
        <v>-0.30434782608697125</v>
      </c>
      <c r="M8" s="5">
        <f t="shared" si="8"/>
        <v>-0.89673913043479236</v>
      </c>
      <c r="N8" s="5">
        <f t="shared" si="9"/>
        <v>-0.37220026350460689</v>
      </c>
      <c r="O8" s="5">
        <f t="shared" si="10"/>
        <v>-0.69565217391305134</v>
      </c>
      <c r="P8" s="5">
        <f t="shared" si="11"/>
        <v>-0.68260869565218552</v>
      </c>
      <c r="Q8" s="6" t="str">
        <f t="shared" si="13"/>
        <v>Yes</v>
      </c>
    </row>
    <row r="9" spans="1:18" x14ac:dyDescent="0.3">
      <c r="A9" s="16">
        <v>46034</v>
      </c>
      <c r="B9" s="6"/>
      <c r="C9" s="6" t="s">
        <v>150</v>
      </c>
      <c r="D9" s="6">
        <v>0.92</v>
      </c>
      <c r="E9" s="6">
        <v>0.92169999999999996</v>
      </c>
      <c r="F9" s="6">
        <v>1.3759999999999999</v>
      </c>
      <c r="G9" s="6">
        <v>1.8237000000000001</v>
      </c>
      <c r="H9" s="6">
        <v>3.0249999999999999</v>
      </c>
      <c r="I9" s="6">
        <v>3.6549</v>
      </c>
      <c r="J9" s="6">
        <v>4.5686999999999998</v>
      </c>
      <c r="K9" s="5">
        <f t="shared" si="12"/>
        <v>0.18478260869564389</v>
      </c>
      <c r="L9" s="5">
        <f t="shared" si="7"/>
        <v>-0.28985507246378445</v>
      </c>
      <c r="M9" s="5">
        <f t="shared" si="8"/>
        <v>-0.88586956521739024</v>
      </c>
      <c r="N9" s="5">
        <f t="shared" si="9"/>
        <v>-0.36231884057971414</v>
      </c>
      <c r="O9" s="5">
        <f t="shared" si="10"/>
        <v>-0.68206521739130765</v>
      </c>
      <c r="P9" s="5">
        <f t="shared" si="11"/>
        <v>-0.68043478260871237</v>
      </c>
      <c r="Q9" s="6" t="str">
        <f t="shared" si="13"/>
        <v>Yes</v>
      </c>
    </row>
    <row r="10" spans="1:18" x14ac:dyDescent="0.3">
      <c r="A10" s="38">
        <v>46111</v>
      </c>
      <c r="B10" s="6"/>
      <c r="C10" s="6" t="s">
        <v>104</v>
      </c>
      <c r="D10" s="6">
        <v>0.92</v>
      </c>
      <c r="E10" s="6">
        <v>0.92179999999999995</v>
      </c>
      <c r="F10" s="6">
        <v>1.3759999999999999</v>
      </c>
      <c r="G10" s="6">
        <v>1.8240000000000001</v>
      </c>
      <c r="H10" s="6">
        <v>3.0259</v>
      </c>
      <c r="I10" s="6">
        <v>3.6554000000000002</v>
      </c>
      <c r="J10" s="6">
        <v>4.5692000000000004</v>
      </c>
      <c r="K10" s="5">
        <f t="shared" si="12"/>
        <v>0.19565217391303399</v>
      </c>
      <c r="L10" s="5">
        <f t="shared" si="7"/>
        <v>-0.28985507246378445</v>
      </c>
      <c r="M10" s="5">
        <f t="shared" si="8"/>
        <v>-0.8695652173913051</v>
      </c>
      <c r="N10" s="5">
        <f t="shared" si="9"/>
        <v>-0.33267457180500654</v>
      </c>
      <c r="O10" s="5">
        <f t="shared" si="10"/>
        <v>-0.66847826086956397</v>
      </c>
      <c r="P10" s="5">
        <f t="shared" si="11"/>
        <v>-0.66956521739130781</v>
      </c>
      <c r="Q10" s="6" t="str">
        <f t="shared" si="6"/>
        <v>Yes</v>
      </c>
    </row>
    <row r="11" spans="1:18" x14ac:dyDescent="0.3">
      <c r="A11" s="6" t="s">
        <v>165</v>
      </c>
      <c r="B11" s="6"/>
      <c r="C11" s="6" t="s">
        <v>166</v>
      </c>
      <c r="D11" s="6">
        <v>0.92</v>
      </c>
      <c r="E11" s="6">
        <v>0.92179999999999995</v>
      </c>
      <c r="F11" s="6">
        <v>1.3763000000000001</v>
      </c>
      <c r="G11" s="6">
        <v>1.8238000000000001</v>
      </c>
      <c r="H11" s="6">
        <v>3.0251999999999999</v>
      </c>
      <c r="I11" s="6">
        <v>3.6543000000000001</v>
      </c>
      <c r="J11" s="6">
        <v>4.5701000000000001</v>
      </c>
      <c r="K11" s="5">
        <f t="shared" si="12"/>
        <v>0.19565217391303399</v>
      </c>
      <c r="L11" s="5">
        <f t="shared" si="7"/>
        <v>-0.26811594202898814</v>
      </c>
      <c r="M11" s="5">
        <f t="shared" si="8"/>
        <v>-0.88043478260869523</v>
      </c>
      <c r="N11" s="5">
        <f t="shared" si="9"/>
        <v>-0.35573122529644741</v>
      </c>
      <c r="O11" s="5">
        <f t="shared" si="10"/>
        <v>-0.6983695652173928</v>
      </c>
      <c r="P11" s="5">
        <f t="shared" si="11"/>
        <v>-0.65000000000001035</v>
      </c>
      <c r="Q11" s="6" t="str">
        <f t="shared" si="6"/>
        <v>Yes</v>
      </c>
    </row>
    <row r="12" spans="1:18" x14ac:dyDescent="0.3">
      <c r="A12" s="38"/>
      <c r="B12" s="6"/>
      <c r="C12" s="6"/>
      <c r="D12" s="6"/>
      <c r="E12" s="6"/>
      <c r="F12" s="6"/>
      <c r="G12" s="6"/>
      <c r="H12" s="6"/>
      <c r="I12" s="6"/>
      <c r="J12" s="6"/>
      <c r="K12" s="5">
        <f t="shared" si="12"/>
        <v>0</v>
      </c>
      <c r="L12" s="5">
        <f t="shared" si="7"/>
        <v>0</v>
      </c>
      <c r="M12" s="5">
        <f t="shared" si="8"/>
        <v>0</v>
      </c>
      <c r="N12" s="5">
        <f t="shared" si="9"/>
        <v>0</v>
      </c>
      <c r="O12" s="5">
        <f t="shared" si="10"/>
        <v>0</v>
      </c>
      <c r="P12" s="5">
        <f t="shared" si="11"/>
        <v>0</v>
      </c>
      <c r="Q12" s="6" t="str">
        <f t="shared" si="6"/>
        <v>Ready to test</v>
      </c>
    </row>
    <row r="13" spans="1:18" x14ac:dyDescent="0.3">
      <c r="A13" s="38"/>
      <c r="B13" s="6"/>
      <c r="C13" s="6"/>
      <c r="D13" s="6"/>
      <c r="E13" s="6"/>
      <c r="F13" s="6"/>
      <c r="G13" s="6"/>
      <c r="H13" s="6"/>
      <c r="I13" s="6"/>
      <c r="J13" s="6"/>
      <c r="K13" s="5">
        <f t="shared" si="12"/>
        <v>0</v>
      </c>
      <c r="L13" s="5">
        <f t="shared" si="7"/>
        <v>0</v>
      </c>
      <c r="M13" s="5">
        <f t="shared" si="8"/>
        <v>0</v>
      </c>
      <c r="N13" s="5">
        <f t="shared" si="9"/>
        <v>0</v>
      </c>
      <c r="O13" s="5">
        <f t="shared" si="10"/>
        <v>0</v>
      </c>
      <c r="P13" s="5">
        <f t="shared" si="11"/>
        <v>0</v>
      </c>
      <c r="Q13" s="6" t="str">
        <f t="shared" si="6"/>
        <v>Ready to test</v>
      </c>
    </row>
    <row r="14" spans="1:18" x14ac:dyDescent="0.3">
      <c r="A14" s="38"/>
      <c r="B14" s="6"/>
      <c r="C14" s="6"/>
      <c r="D14" s="6"/>
      <c r="E14" s="6"/>
      <c r="F14" s="6"/>
      <c r="G14" s="6"/>
      <c r="H14" s="6"/>
      <c r="I14" s="6"/>
      <c r="J14" s="6"/>
      <c r="K14" s="5">
        <f t="shared" si="12"/>
        <v>0</v>
      </c>
      <c r="L14" s="5">
        <f t="shared" si="7"/>
        <v>0</v>
      </c>
      <c r="M14" s="5">
        <f t="shared" si="8"/>
        <v>0</v>
      </c>
      <c r="N14" s="5">
        <f t="shared" si="9"/>
        <v>0</v>
      </c>
      <c r="O14" s="5">
        <f t="shared" si="10"/>
        <v>0</v>
      </c>
      <c r="P14" s="5">
        <f t="shared" si="11"/>
        <v>0</v>
      </c>
      <c r="Q14" s="6" t="str">
        <f t="shared" si="6"/>
        <v>Ready to test</v>
      </c>
    </row>
    <row r="15" spans="1:18" x14ac:dyDescent="0.3">
      <c r="A15" s="38"/>
      <c r="B15" s="6"/>
      <c r="C15" s="6"/>
      <c r="D15" s="6"/>
      <c r="E15" s="6"/>
      <c r="F15" s="6"/>
      <c r="G15" s="6"/>
      <c r="H15" s="6"/>
      <c r="I15" s="6"/>
      <c r="J15" s="6"/>
      <c r="K15" s="5">
        <f t="shared" si="12"/>
        <v>0</v>
      </c>
      <c r="L15" s="5">
        <f t="shared" si="7"/>
        <v>0</v>
      </c>
      <c r="M15" s="5">
        <f t="shared" si="8"/>
        <v>0</v>
      </c>
      <c r="N15" s="5">
        <f t="shared" si="9"/>
        <v>0</v>
      </c>
      <c r="O15" s="5">
        <f t="shared" si="10"/>
        <v>0</v>
      </c>
      <c r="P15" s="5">
        <f t="shared" si="11"/>
        <v>0</v>
      </c>
      <c r="Q15" s="6" t="str">
        <f t="shared" si="6"/>
        <v>Ready to test</v>
      </c>
    </row>
    <row r="16" spans="1:18" x14ac:dyDescent="0.3">
      <c r="A16" s="38"/>
      <c r="B16" s="6"/>
      <c r="C16" s="6"/>
      <c r="D16" s="6"/>
      <c r="E16" s="6"/>
      <c r="F16" s="6"/>
      <c r="G16" s="6"/>
      <c r="H16" s="6"/>
      <c r="I16" s="6"/>
      <c r="J16" s="6"/>
      <c r="K16" s="5">
        <f t="shared" si="12"/>
        <v>0</v>
      </c>
      <c r="L16" s="5">
        <f t="shared" si="7"/>
        <v>0</v>
      </c>
      <c r="M16" s="5">
        <f t="shared" si="8"/>
        <v>0</v>
      </c>
      <c r="N16" s="5">
        <f t="shared" si="9"/>
        <v>0</v>
      </c>
      <c r="O16" s="5">
        <f t="shared" si="10"/>
        <v>0</v>
      </c>
      <c r="P16" s="5">
        <f t="shared" si="11"/>
        <v>0</v>
      </c>
      <c r="Q16" s="6" t="str">
        <f t="shared" si="6"/>
        <v>Ready to test</v>
      </c>
    </row>
  </sheetData>
  <mergeCells count="8">
    <mergeCell ref="Q1:Q2"/>
    <mergeCell ref="R1:R2"/>
    <mergeCell ref="A1:A2"/>
    <mergeCell ref="B1:B2"/>
    <mergeCell ref="C1:C2"/>
    <mergeCell ref="D1:D2"/>
    <mergeCell ref="E1:J1"/>
    <mergeCell ref="K1:P1"/>
  </mergeCells>
  <conditionalFormatting sqref="Q3:Q11">
    <cfRule type="expression" dxfId="113" priority="1">
      <formula>Q3="Alert"</formula>
    </cfRule>
    <cfRule type="expression" dxfId="112" priority="2">
      <formula>Q3="Yes"</formula>
    </cfRule>
    <cfRule type="expression" dxfId="111" priority="3">
      <formula>Q3="No"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Q16"/>
  <sheetViews>
    <sheetView zoomScale="120" zoomScaleNormal="120" workbookViewId="0">
      <selection activeCell="D44" sqref="D44"/>
    </sheetView>
  </sheetViews>
  <sheetFormatPr defaultColWidth="18.33203125" defaultRowHeight="14.4" x14ac:dyDescent="0.3"/>
  <cols>
    <col min="1" max="4" width="18.33203125" style="1" customWidth="1"/>
    <col min="5" max="6" width="9.109375" style="1" customWidth="1"/>
    <col min="7" max="7" width="9.33203125" style="1" customWidth="1"/>
    <col min="8" max="8" width="9.44140625" style="1" customWidth="1"/>
    <col min="9" max="9" width="8.109375" style="1" customWidth="1"/>
    <col min="10" max="10" width="8.88671875" style="1" customWidth="1"/>
    <col min="11" max="11" width="12.109375" style="1" customWidth="1"/>
    <col min="12" max="12" width="13" style="1" customWidth="1"/>
    <col min="13" max="13" width="13.6640625" style="1" customWidth="1"/>
    <col min="14" max="14" width="12.88671875" style="1" customWidth="1"/>
    <col min="15" max="15" width="12.5546875" style="1" customWidth="1"/>
    <col min="16" max="16" width="11.33203125" style="1" customWidth="1"/>
    <col min="17" max="16384" width="18.33203125" style="1"/>
  </cols>
  <sheetData>
    <row r="1" spans="1:17" ht="28.5" customHeight="1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4.7" customHeight="1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2" t="s">
        <v>94</v>
      </c>
      <c r="O2" s="2" t="s">
        <v>95</v>
      </c>
      <c r="P2" s="2" t="s">
        <v>96</v>
      </c>
      <c r="Q2" s="67"/>
    </row>
    <row r="3" spans="1:17" x14ac:dyDescent="0.3">
      <c r="A3" s="16">
        <v>45799</v>
      </c>
      <c r="B3" s="6"/>
      <c r="C3" s="6" t="s">
        <v>127</v>
      </c>
      <c r="D3" s="6">
        <v>0.92</v>
      </c>
      <c r="E3" s="1">
        <v>0.92159999999999997</v>
      </c>
      <c r="F3" s="9">
        <v>1.3762000000000001</v>
      </c>
      <c r="G3" s="4">
        <v>1.8237000000000001</v>
      </c>
      <c r="H3" s="9">
        <v>3.0251999999999999</v>
      </c>
      <c r="I3" s="9">
        <v>3.6545999999999998</v>
      </c>
      <c r="J3" s="12">
        <v>4.5689000000000002</v>
      </c>
      <c r="K3" s="5">
        <f t="shared" ref="K3:K16" si="0">IF(D3=0, 0, 100*(E3 - D3*1)/(D3*1))</f>
        <v>0.17391304347825379</v>
      </c>
      <c r="L3" s="5">
        <f t="shared" ref="L3:L16" si="1">IF(D3=0, 0, 100*(F3 - D3*1.5)/(D3*1.5))</f>
        <v>-0.27536231884058154</v>
      </c>
      <c r="M3" s="5">
        <f t="shared" ref="M3:M16" si="2">IF(D3=0, 0, 100*(G3 - D3*2)/(D3*2))</f>
        <v>-0.88586956521739024</v>
      </c>
      <c r="N3" s="5">
        <f t="shared" ref="N3:N16" si="3">IF(D3=0, 0, 100*(H3 - D3*3.3)/(D3*3.3))</f>
        <v>-0.35573122529644741</v>
      </c>
      <c r="O3" s="5">
        <f t="shared" ref="O3:O16" si="4">IF(D3=0, 0, 100*(I3 - D3*4)/(D3*4))</f>
        <v>-0.69021739130435622</v>
      </c>
      <c r="P3" s="5">
        <f t="shared" ref="P3:P16" si="5">IF(D3=0, 0, 100*(J3 - D3*5)/(D3*5))</f>
        <v>-0.67608695652174666</v>
      </c>
      <c r="Q3" s="4" t="str">
        <f t="shared" ref="Q3:Q16" si="6"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>
        <v>45997</v>
      </c>
      <c r="B4" s="6"/>
      <c r="C4" s="6" t="s">
        <v>128</v>
      </c>
      <c r="D4" s="6">
        <v>0.91979999999999995</v>
      </c>
      <c r="E4" s="6">
        <v>0.9214</v>
      </c>
      <c r="F4" s="6">
        <v>1.3759999999999999</v>
      </c>
      <c r="G4" s="20">
        <v>1.8233999999999999</v>
      </c>
      <c r="H4" s="12">
        <v>3.0247000000000002</v>
      </c>
      <c r="I4" s="17">
        <v>3.6539999999999999</v>
      </c>
      <c r="J4" s="34">
        <v>4.5682999999999998</v>
      </c>
      <c r="K4" s="15">
        <f t="shared" si="0"/>
        <v>0.17395085888237072</v>
      </c>
      <c r="L4" s="15">
        <f t="shared" si="1"/>
        <v>-0.26817424077698315</v>
      </c>
      <c r="M4" s="15">
        <f t="shared" si="2"/>
        <v>-0.88062622309197613</v>
      </c>
      <c r="N4" s="15">
        <f>IF(D4=0, 0, 100*(H4 - D4*3.3)/(D4*3.3))</f>
        <v>-0.35053733683869154</v>
      </c>
      <c r="O4" s="15">
        <f t="shared" si="4"/>
        <v>-0.68493150684931214</v>
      </c>
      <c r="P4" s="15">
        <f t="shared" si="5"/>
        <v>-0.66753642096108701</v>
      </c>
      <c r="Q4" s="6" t="str">
        <f t="shared" si="6"/>
        <v>Yes</v>
      </c>
    </row>
    <row r="5" spans="1:17" x14ac:dyDescent="0.3">
      <c r="A5" s="16">
        <v>45867</v>
      </c>
      <c r="B5" s="6"/>
      <c r="C5" s="6" t="s">
        <v>172</v>
      </c>
      <c r="D5" s="6">
        <v>0.92</v>
      </c>
      <c r="E5" s="6">
        <v>0.92110000000000003</v>
      </c>
      <c r="F5" s="6">
        <v>1.3751</v>
      </c>
      <c r="G5" s="6">
        <v>1.8230999999999999</v>
      </c>
      <c r="H5" s="6">
        <v>3.0240999999999998</v>
      </c>
      <c r="I5" s="6">
        <v>3.6526999999999998</v>
      </c>
      <c r="J5" s="6">
        <v>4.5673000000000004</v>
      </c>
      <c r="K5" s="15">
        <f t="shared" si="0"/>
        <v>0.11956521739130324</v>
      </c>
      <c r="L5" s="15">
        <f t="shared" si="1"/>
        <v>-0.35507246376812507</v>
      </c>
      <c r="M5" s="15">
        <f>IF(D5=0, 0, 100*(G5 - D5*2)/(D5*2))</f>
        <v>-0.91847826086957263</v>
      </c>
      <c r="N5" s="15">
        <f>IF(D5=0, 0, 100*(H5 - D5*3.3)/(D5*3.3))</f>
        <v>-0.39196310935442175</v>
      </c>
      <c r="O5" s="15">
        <f t="shared" si="4"/>
        <v>-0.74184782608696531</v>
      </c>
      <c r="P5" s="15">
        <f t="shared" si="5"/>
        <v>-0.71086956521739497</v>
      </c>
      <c r="Q5" s="6" t="str">
        <f t="shared" si="6"/>
        <v>Yes</v>
      </c>
    </row>
    <row r="6" spans="1:17" x14ac:dyDescent="0.3">
      <c r="A6" s="38">
        <v>45901</v>
      </c>
      <c r="B6" s="6"/>
      <c r="C6" s="6" t="s">
        <v>103</v>
      </c>
      <c r="D6" s="6">
        <v>0.92</v>
      </c>
      <c r="E6" s="6">
        <v>0.92100000000000004</v>
      </c>
      <c r="F6" s="20">
        <v>1.3749</v>
      </c>
      <c r="G6" s="6">
        <v>1.8229</v>
      </c>
      <c r="H6" s="6">
        <v>3.0236999999999998</v>
      </c>
      <c r="I6" s="6">
        <v>3.6484999999999999</v>
      </c>
      <c r="J6" s="6">
        <v>4.5655000000000001</v>
      </c>
      <c r="K6" s="15">
        <f t="shared" si="0"/>
        <v>0.10869565217391314</v>
      </c>
      <c r="L6" s="15">
        <f t="shared" si="1"/>
        <v>-0.36956521739131187</v>
      </c>
      <c r="M6" s="15">
        <f t="shared" si="2"/>
        <v>-0.92934782608696276</v>
      </c>
      <c r="N6" s="15">
        <f t="shared" si="3"/>
        <v>-0.40513833992095521</v>
      </c>
      <c r="O6" s="15">
        <f t="shared" si="4"/>
        <v>-0.85597826086957352</v>
      </c>
      <c r="P6" s="15">
        <f t="shared" si="5"/>
        <v>-0.75000000000000899</v>
      </c>
      <c r="Q6" s="6" t="str">
        <f>IF(AND(K6&gt;=0.1,K6&lt;=0.27,L6&gt;=-0.38,L6&lt;=-0.22,M6&gt;=-0.94,M6&lt;=-0.82,N6&gt;=-0.42,N6&lt;=-0.3,O6&gt;=-0.87,O6&lt;=-0.64,P6&gt;=-0.76,P6&lt;=-0.61), "Yes", IF(AND(K6=0,L6=0,M6=0,N6=0,O6=0,P6=0), "Ready to test", "No"))</f>
        <v>Yes</v>
      </c>
    </row>
    <row r="7" spans="1:17" x14ac:dyDescent="0.3">
      <c r="A7" s="16">
        <v>45966</v>
      </c>
      <c r="B7" s="6" t="s">
        <v>5</v>
      </c>
      <c r="C7" s="6" t="s">
        <v>130</v>
      </c>
      <c r="D7" s="6">
        <v>0.92</v>
      </c>
      <c r="E7" s="6">
        <v>0.92130000000000001</v>
      </c>
      <c r="F7" s="6">
        <v>1.3754999999999999</v>
      </c>
      <c r="G7" s="6">
        <v>1.8230999999999999</v>
      </c>
      <c r="H7" s="6">
        <v>3.0244</v>
      </c>
      <c r="I7" s="6">
        <v>3.6528</v>
      </c>
      <c r="J7" s="6">
        <v>4.5678000000000001</v>
      </c>
      <c r="K7" s="15">
        <f t="shared" si="0"/>
        <v>0.14130434782608345</v>
      </c>
      <c r="L7" s="15">
        <f t="shared" si="1"/>
        <v>-0.32608695652175146</v>
      </c>
      <c r="M7" s="15">
        <f t="shared" si="2"/>
        <v>-0.91847826086957263</v>
      </c>
      <c r="N7" s="15">
        <f t="shared" si="3"/>
        <v>-0.38208168642951429</v>
      </c>
      <c r="O7" s="15">
        <f>IF(D7=0, 0, 100*(I7 - D7*4)/(D7*4))</f>
        <v>-0.73913043478261176</v>
      </c>
      <c r="P7" s="15">
        <f t="shared" si="5"/>
        <v>-0.70000000000000973</v>
      </c>
      <c r="Q7" s="6" t="str">
        <f t="shared" ref="Q7" si="7">IF(AND(K7&gt;=0.1,K7&lt;=0.27,L7&gt;=-0.38,L7&lt;=-0.22,M7&gt;=-0.94,M7&lt;=-0.82,N7&gt;=-0.42,N7&lt;=-0.3,O7&gt;=-0.87,O7&lt;=-0.64,P7&gt;=-0.76,P7&lt;=-0.61), "Yes", IF(AND(K7=0,L7=0,M7=0,N7=0,O7=0,P7=0), "Ready to test", "No"))</f>
        <v>Yes</v>
      </c>
    </row>
    <row r="8" spans="1:17" x14ac:dyDescent="0.3">
      <c r="A8" s="16">
        <v>46034</v>
      </c>
      <c r="B8" s="6"/>
      <c r="C8" s="6" t="s">
        <v>150</v>
      </c>
      <c r="D8" s="6">
        <v>0.92</v>
      </c>
      <c r="E8" s="6">
        <v>0.92159999999999997</v>
      </c>
      <c r="F8" s="6">
        <v>1.3758999999999999</v>
      </c>
      <c r="G8" s="6">
        <v>1.8238000000000001</v>
      </c>
      <c r="H8" s="6">
        <v>3.0253000000000001</v>
      </c>
      <c r="I8" s="6">
        <v>3.6536</v>
      </c>
      <c r="J8" s="6">
        <v>4.5697999999999999</v>
      </c>
      <c r="K8" s="15">
        <f t="shared" ref="K8" si="8">IF(D8=0, 0, 100*(E8 - D8*1)/(D8*1))</f>
        <v>0.17391304347825379</v>
      </c>
      <c r="L8" s="15">
        <f t="shared" ref="L8" si="9">IF(D8=0, 0, 100*(F8 - D8*1.5)/(D8*1.5))</f>
        <v>-0.29710144927537785</v>
      </c>
      <c r="M8" s="15">
        <f t="shared" ref="M8" si="10">IF(D8=0, 0, 100*(G8 - D8*2)/(D8*2))</f>
        <v>-0.88043478260869523</v>
      </c>
      <c r="N8" s="15">
        <f t="shared" ref="N8" si="11">IF(D8=0, 0, 100*(H8 - D8*3.3)/(D8*3.3))</f>
        <v>-0.35243741765480668</v>
      </c>
      <c r="O8" s="15">
        <f>IF(D8=0, 0, 100*(I8 - D8*4)/(D8*4))</f>
        <v>-0.71739130434783149</v>
      </c>
      <c r="P8" s="15">
        <f t="shared" ref="P8" si="12">IF(D8=0, 0, 100*(J8 - D8*5)/(D8*5))</f>
        <v>-0.65652173913044931</v>
      </c>
      <c r="Q8" s="6" t="str">
        <f>IF(AND(K8&gt;=0.1,K8&lt;=0.27,L8&gt;=-0.38,L8&lt;=-0.22,M8&gt;=-0.94,M8&lt;=-0.82,N8&gt;=-0.42,N8&lt;=-0.3,O8&gt;=-0.87,O8&lt;=-0.64,P8&gt;=-0.76,P8&lt;=-0.61), "Yes", IF(AND(K8=0,L8=0,M8=0,N8=0,O8=0,P8=0), "Ready to test", "No"))</f>
        <v>Yes</v>
      </c>
    </row>
    <row r="9" spans="1:17" x14ac:dyDescent="0.3">
      <c r="A9" s="16">
        <v>46111</v>
      </c>
      <c r="B9" s="6"/>
      <c r="C9" s="6" t="s">
        <v>104</v>
      </c>
      <c r="D9" s="6">
        <v>0.92</v>
      </c>
      <c r="E9" s="6">
        <v>0.92179999999999995</v>
      </c>
      <c r="F9" s="6">
        <v>1.3763000000000001</v>
      </c>
      <c r="G9" s="6">
        <v>1.8242</v>
      </c>
      <c r="H9" s="6">
        <v>3.0255000000000001</v>
      </c>
      <c r="I9" s="6">
        <v>3.6562000000000001</v>
      </c>
      <c r="J9" s="6">
        <v>4.5696000000000003</v>
      </c>
      <c r="K9" s="15">
        <f t="shared" si="0"/>
        <v>0.19565217391303399</v>
      </c>
      <c r="L9" s="15">
        <f t="shared" si="1"/>
        <v>-0.26811594202898814</v>
      </c>
      <c r="M9" s="15">
        <f t="shared" si="2"/>
        <v>-0.85869565217391497</v>
      </c>
      <c r="N9" s="15">
        <f t="shared" si="3"/>
        <v>-0.34584980237153995</v>
      </c>
      <c r="O9" s="15">
        <f t="shared" si="4"/>
        <v>-0.6467391304347837</v>
      </c>
      <c r="P9" s="15">
        <f t="shared" si="5"/>
        <v>-0.6608695652173957</v>
      </c>
      <c r="Q9" s="50" t="str">
        <f t="shared" si="6"/>
        <v>Yes</v>
      </c>
    </row>
    <row r="10" spans="1:17" x14ac:dyDescent="0.3">
      <c r="A10" s="16">
        <v>46113</v>
      </c>
      <c r="B10" s="6"/>
      <c r="C10" s="6" t="s">
        <v>176</v>
      </c>
      <c r="D10" s="6">
        <v>0.92</v>
      </c>
      <c r="E10" s="6">
        <v>0.92179999999999995</v>
      </c>
      <c r="F10" s="6">
        <v>1.3761000000000001</v>
      </c>
      <c r="G10" s="6">
        <v>1.8241000000000001</v>
      </c>
      <c r="H10" s="6">
        <v>3.0255999999999998</v>
      </c>
      <c r="I10" s="6">
        <v>3.6549999999999998</v>
      </c>
      <c r="J10" s="6">
        <v>4.5689000000000002</v>
      </c>
      <c r="K10" s="15">
        <f t="shared" si="0"/>
        <v>0.19565217391303399</v>
      </c>
      <c r="L10" s="15">
        <f t="shared" si="1"/>
        <v>-0.28260869565217495</v>
      </c>
      <c r="M10" s="15">
        <f t="shared" si="2"/>
        <v>-0.86413043478260998</v>
      </c>
      <c r="N10" s="15">
        <f t="shared" si="3"/>
        <v>-0.34255599472991394</v>
      </c>
      <c r="O10" s="15">
        <f t="shared" si="4"/>
        <v>-0.6793478260869662</v>
      </c>
      <c r="P10" s="15">
        <f t="shared" si="5"/>
        <v>-0.67608695652174666</v>
      </c>
      <c r="Q10" s="50" t="str">
        <f t="shared" si="6"/>
        <v>Yes</v>
      </c>
    </row>
    <row r="11" spans="1:17" x14ac:dyDescent="0.3">
      <c r="A11" s="6" t="s">
        <v>177</v>
      </c>
      <c r="B11" s="6"/>
      <c r="C11" s="6" t="s">
        <v>98</v>
      </c>
      <c r="D11" s="6">
        <v>0.92</v>
      </c>
      <c r="E11" s="6">
        <v>0.92169999999999996</v>
      </c>
      <c r="F11" s="6">
        <v>1.3759999999999999</v>
      </c>
      <c r="G11" s="6">
        <v>1.8237000000000001</v>
      </c>
      <c r="H11" s="6">
        <v>3.0251999999999999</v>
      </c>
      <c r="I11" s="6">
        <v>3.6545999999999998</v>
      </c>
      <c r="J11" s="6">
        <v>4.5697000000000001</v>
      </c>
      <c r="K11" s="15">
        <f t="shared" si="0"/>
        <v>0.18478260869564389</v>
      </c>
      <c r="L11" s="15">
        <f t="shared" si="1"/>
        <v>-0.28985507246378445</v>
      </c>
      <c r="M11" s="15">
        <f t="shared" si="2"/>
        <v>-0.88586956521739024</v>
      </c>
      <c r="N11" s="15">
        <f t="shared" si="3"/>
        <v>-0.35573122529644741</v>
      </c>
      <c r="O11" s="15">
        <f t="shared" si="4"/>
        <v>-0.69021739130435622</v>
      </c>
      <c r="P11" s="15">
        <f t="shared" si="5"/>
        <v>-0.65869565217392245</v>
      </c>
      <c r="Q11" s="50" t="str">
        <f t="shared" si="6"/>
        <v>Yes</v>
      </c>
    </row>
    <row r="12" spans="1:17" x14ac:dyDescent="0.3">
      <c r="A12" s="6" t="s">
        <v>165</v>
      </c>
      <c r="B12" s="6"/>
      <c r="C12" s="6" t="s">
        <v>166</v>
      </c>
      <c r="D12" s="6">
        <v>0.92</v>
      </c>
      <c r="E12" s="6">
        <v>0.91710000000000003</v>
      </c>
      <c r="F12" s="6">
        <v>1.3756999999999999</v>
      </c>
      <c r="G12" s="6">
        <v>1.8236000000000001</v>
      </c>
      <c r="H12" s="6">
        <v>3.0253000000000001</v>
      </c>
      <c r="I12" s="6">
        <v>3.6541999999999999</v>
      </c>
      <c r="J12" s="6">
        <v>4.5693000000000001</v>
      </c>
      <c r="K12" s="15">
        <f t="shared" si="0"/>
        <v>-0.31521739130434928</v>
      </c>
      <c r="L12" s="15">
        <f t="shared" si="1"/>
        <v>-0.31159420289856465</v>
      </c>
      <c r="M12" s="15">
        <f t="shared" si="2"/>
        <v>-0.89130434782608525</v>
      </c>
      <c r="N12" s="15">
        <f t="shared" si="3"/>
        <v>-0.35243741765480668</v>
      </c>
      <c r="O12" s="15">
        <f t="shared" si="4"/>
        <v>-0.70108695652174635</v>
      </c>
      <c r="P12" s="15">
        <f t="shared" si="5"/>
        <v>-0.66739130434783456</v>
      </c>
      <c r="Q12" s="6" t="str">
        <f t="shared" si="6"/>
        <v>No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>
        <f t="shared" si="0"/>
        <v>0</v>
      </c>
      <c r="L13" s="6">
        <f t="shared" si="1"/>
        <v>0</v>
      </c>
      <c r="M13" s="6">
        <f t="shared" si="2"/>
        <v>0</v>
      </c>
      <c r="N13" s="6">
        <f t="shared" si="3"/>
        <v>0</v>
      </c>
      <c r="O13" s="6">
        <f t="shared" si="4"/>
        <v>0</v>
      </c>
      <c r="P13" s="6">
        <f t="shared" si="5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>
        <f t="shared" si="0"/>
        <v>0</v>
      </c>
      <c r="L14" s="6">
        <f t="shared" si="1"/>
        <v>0</v>
      </c>
      <c r="M14" s="6">
        <f t="shared" si="2"/>
        <v>0</v>
      </c>
      <c r="N14" s="6">
        <f t="shared" si="3"/>
        <v>0</v>
      </c>
      <c r="O14" s="6">
        <f t="shared" si="4"/>
        <v>0</v>
      </c>
      <c r="P14" s="6">
        <f t="shared" si="5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>
        <f t="shared" si="0"/>
        <v>0</v>
      </c>
      <c r="L15" s="6">
        <f t="shared" si="1"/>
        <v>0</v>
      </c>
      <c r="M15" s="6">
        <f t="shared" si="2"/>
        <v>0</v>
      </c>
      <c r="N15" s="6">
        <f t="shared" si="3"/>
        <v>0</v>
      </c>
      <c r="O15" s="6">
        <f t="shared" si="4"/>
        <v>0</v>
      </c>
      <c r="P15" s="6">
        <f t="shared" si="5"/>
        <v>0</v>
      </c>
      <c r="Q15" s="6" t="str">
        <f t="shared" si="6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>
        <f t="shared" si="0"/>
        <v>0</v>
      </c>
      <c r="L16" s="6">
        <f t="shared" si="1"/>
        <v>0</v>
      </c>
      <c r="M16" s="6">
        <f t="shared" si="2"/>
        <v>0</v>
      </c>
      <c r="N16" s="6">
        <f t="shared" si="3"/>
        <v>0</v>
      </c>
      <c r="O16" s="6">
        <f t="shared" si="4"/>
        <v>0</v>
      </c>
      <c r="P16" s="6">
        <f t="shared" si="5"/>
        <v>0</v>
      </c>
      <c r="Q16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8">
    <cfRule type="expression" dxfId="110" priority="1">
      <formula>Q3="Alert"</formula>
    </cfRule>
    <cfRule type="expression" dxfId="109" priority="2">
      <formula>Q3="Yes"</formula>
    </cfRule>
    <cfRule type="expression" dxfId="108" priority="3">
      <formula>Q3="No"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Q16"/>
  <sheetViews>
    <sheetView zoomScale="120" zoomScaleNormal="120" workbookViewId="0">
      <selection activeCell="A9" sqref="A9:D9"/>
    </sheetView>
  </sheetViews>
  <sheetFormatPr defaultColWidth="18.33203125" defaultRowHeight="14.4" x14ac:dyDescent="0.3"/>
  <cols>
    <col min="1" max="2" width="18.33203125" style="1" customWidth="1"/>
    <col min="3" max="4" width="18.33203125" style="1"/>
    <col min="5" max="6" width="13.109375" style="1" customWidth="1"/>
    <col min="7" max="7" width="12.33203125" style="1" customWidth="1"/>
    <col min="8" max="8" width="12.44140625" style="1" customWidth="1"/>
    <col min="9" max="9" width="12.109375" style="1" customWidth="1"/>
    <col min="10" max="10" width="12.88671875" style="1" customWidth="1"/>
    <col min="11" max="11" width="13.109375" style="1" customWidth="1"/>
    <col min="12" max="12" width="11.5546875" style="1" customWidth="1"/>
    <col min="13" max="13" width="13.109375" style="1" customWidth="1"/>
    <col min="14" max="14" width="13.44140625" style="1" customWidth="1"/>
    <col min="15" max="15" width="13.109375" style="1" customWidth="1"/>
    <col min="16" max="16" width="12.44140625" style="1" customWidth="1"/>
    <col min="17" max="16384" width="18.33203125" style="1"/>
  </cols>
  <sheetData>
    <row r="1" spans="1:17" ht="14.7" customHeight="1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4.7" customHeight="1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2" t="s">
        <v>94</v>
      </c>
      <c r="O2" s="2" t="s">
        <v>95</v>
      </c>
      <c r="P2" s="2" t="s">
        <v>96</v>
      </c>
      <c r="Q2" s="67"/>
    </row>
    <row r="3" spans="1:17" x14ac:dyDescent="0.3">
      <c r="A3" s="16">
        <v>45799</v>
      </c>
      <c r="B3" s="6"/>
      <c r="C3" s="6" t="s">
        <v>127</v>
      </c>
      <c r="D3" s="6">
        <v>0.91969999999999996</v>
      </c>
      <c r="E3" s="1">
        <v>0.92149999999999999</v>
      </c>
      <c r="F3" s="9">
        <v>1.3758999999999999</v>
      </c>
      <c r="G3" s="9">
        <v>1.8234999999999999</v>
      </c>
      <c r="H3" s="9">
        <v>3.0246</v>
      </c>
      <c r="I3" s="9">
        <v>3.6537000000000002</v>
      </c>
      <c r="J3" s="12">
        <v>4.5682</v>
      </c>
      <c r="K3" s="5">
        <f t="shared" ref="K3:K16" si="0">IF(D3=0, 0, 100*(E3 - D3*1)/(D3*1))</f>
        <v>0.19571599434598499</v>
      </c>
      <c r="L3" s="5">
        <f t="shared" ref="L3:L16" si="1">IF(D3=0, 0, 100*(F3 - D3*1.5)/(D3*1.5))</f>
        <v>-0.26457902939365396</v>
      </c>
      <c r="M3" s="5">
        <f t="shared" ref="M3:M16" si="2">IF(D3=0, 0, 100*(G3 - D3*2)/(D3*2))</f>
        <v>-0.86441230836142358</v>
      </c>
      <c r="N3" s="5">
        <f t="shared" ref="N3:N16" si="3">IF(D3=0, 0, 100*(H3 - D3*3.3)/(D3*3.3))</f>
        <v>-0.34299722241441738</v>
      </c>
      <c r="O3" s="5">
        <f t="shared" ref="O3:O16" si="4">IF(D3=0, 0, 100*(I3 - D3*4)/(D3*4))</f>
        <v>-0.68228770251167992</v>
      </c>
      <c r="P3" s="5">
        <f t="shared" ref="P3:P16" si="5">IF(D3=0, 0, 100*(J3 - D3*5)/(D3*5))</f>
        <v>-0.65891051429813097</v>
      </c>
      <c r="Q3" s="4" t="str">
        <f t="shared" ref="Q3:Q4" si="6"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>
        <v>45820</v>
      </c>
      <c r="B4" s="6"/>
      <c r="C4" s="6" t="s">
        <v>128</v>
      </c>
      <c r="D4" s="6">
        <v>0.91969999999999996</v>
      </c>
      <c r="E4" s="6">
        <v>0.92130000000000001</v>
      </c>
      <c r="F4" s="6">
        <v>1.3754</v>
      </c>
      <c r="G4" s="6">
        <v>1.8232999999999999</v>
      </c>
      <c r="H4" s="6">
        <v>3.0236000000000001</v>
      </c>
      <c r="I4" s="6">
        <v>3.6526999999999998</v>
      </c>
      <c r="J4" s="6">
        <v>4.5674999999999999</v>
      </c>
      <c r="K4" s="15">
        <f t="shared" si="0"/>
        <v>0.17396977275198933</v>
      </c>
      <c r="L4" s="15">
        <f t="shared" si="1"/>
        <v>-0.30082273205031335</v>
      </c>
      <c r="M4" s="15">
        <f t="shared" si="2"/>
        <v>-0.8752854191584214</v>
      </c>
      <c r="N4" s="15">
        <f t="shared" si="3"/>
        <v>-0.37594604301138052</v>
      </c>
      <c r="O4" s="15">
        <f t="shared" si="4"/>
        <v>-0.70947047950418651</v>
      </c>
      <c r="P4" s="15">
        <f t="shared" si="5"/>
        <v>-0.67413286941393269</v>
      </c>
      <c r="Q4" s="6" t="str">
        <f t="shared" si="6"/>
        <v>Yes</v>
      </c>
    </row>
    <row r="5" spans="1:17" x14ac:dyDescent="0.3">
      <c r="A5" s="16">
        <v>45867</v>
      </c>
      <c r="B5" s="6"/>
      <c r="C5" s="6" t="s">
        <v>172</v>
      </c>
      <c r="D5" s="6">
        <v>0.92</v>
      </c>
      <c r="E5" s="6">
        <v>0.92120000000000002</v>
      </c>
      <c r="F5" s="6">
        <v>1.375</v>
      </c>
      <c r="G5" s="6">
        <v>1.8229</v>
      </c>
      <c r="H5" s="6">
        <v>3.0234999999999999</v>
      </c>
      <c r="I5" s="6">
        <v>3.6520999999999999</v>
      </c>
      <c r="J5" s="6">
        <v>4.5669000000000004</v>
      </c>
      <c r="K5" s="15">
        <f t="shared" si="0"/>
        <v>0.13043478260869334</v>
      </c>
      <c r="L5" s="15">
        <f t="shared" si="1"/>
        <v>-0.36231884057971847</v>
      </c>
      <c r="M5" s="15">
        <f t="shared" si="2"/>
        <v>-0.92934782608696276</v>
      </c>
      <c r="N5" s="15">
        <f t="shared" si="3"/>
        <v>-0.41172595520422189</v>
      </c>
      <c r="O5" s="15">
        <f t="shared" si="4"/>
        <v>-0.75815217391305045</v>
      </c>
      <c r="P5" s="15">
        <f t="shared" si="5"/>
        <v>-0.71956521739130708</v>
      </c>
      <c r="Q5" s="6" t="str">
        <f>IF(AND(K5&gt;=0.11,K5&lt;=0.27,L5&gt;=-0.37,L5&lt;=-0.22,M5&gt;=-0.94,M5&lt;=-0.82,N5&gt;=-0.42,N5&lt;=-0.3,O5&gt;=-0.79,O5&lt;=-0.64,P5&gt;=-0.76,P5&lt;=-0.61), "Yes", IF(AND(K5=0,L5=0,M5=0,N5=0,O5=0,P5=0), "Ready to test", "No"))</f>
        <v>Yes</v>
      </c>
    </row>
    <row r="6" spans="1:17" s="45" customFormat="1" x14ac:dyDescent="0.3">
      <c r="A6" s="16">
        <v>45901</v>
      </c>
      <c r="B6" s="18"/>
      <c r="C6" s="18" t="s">
        <v>103</v>
      </c>
      <c r="D6" s="18">
        <v>0.92</v>
      </c>
      <c r="E6" s="18">
        <v>0.92120000000000002</v>
      </c>
      <c r="F6" s="18">
        <v>1.3747</v>
      </c>
      <c r="G6" s="18">
        <v>1.8223</v>
      </c>
      <c r="H6" s="18">
        <v>3.0234000000000001</v>
      </c>
      <c r="I6" s="18">
        <v>3.6505000000000001</v>
      </c>
      <c r="J6" s="18">
        <v>4.5659000000000001</v>
      </c>
      <c r="K6" s="15">
        <f t="shared" si="0"/>
        <v>0.13043478260869334</v>
      </c>
      <c r="L6" s="15">
        <f t="shared" si="1"/>
        <v>-0.38405797101449868</v>
      </c>
      <c r="M6" s="15">
        <f t="shared" si="2"/>
        <v>-0.96195652173913304</v>
      </c>
      <c r="N6" s="15">
        <f t="shared" si="3"/>
        <v>-0.41501976284584796</v>
      </c>
      <c r="O6" s="15">
        <f t="shared" si="4"/>
        <v>-0.80163043478261087</v>
      </c>
      <c r="P6" s="15">
        <f t="shared" si="5"/>
        <v>-0.74130434782609689</v>
      </c>
      <c r="Q6" s="18" t="str">
        <f>IF(AND(K6&gt;=0.11,K6&lt;=0.27,L6&gt;=-0.39,L6&lt;=-0.22,M6&gt;=-0.97,M6&lt;=-0.82,N6&gt;=-0.42,N6&lt;=-0.3,O6&gt;=-0.81,O6&lt;=-0.64,P6&gt;=-0.76,P6&lt;=-0.61), "Yes", IF(AND(K6=0,L6=0,M6=0,N6=0,O6=0,P6=0), "Ready to test", "No"))</f>
        <v>Yes</v>
      </c>
    </row>
    <row r="7" spans="1:17" x14ac:dyDescent="0.3">
      <c r="A7" s="16">
        <v>45952</v>
      </c>
      <c r="B7" s="6" t="s">
        <v>48</v>
      </c>
      <c r="C7" s="6" t="s">
        <v>140</v>
      </c>
      <c r="D7" s="6">
        <v>0.92</v>
      </c>
      <c r="E7" s="6">
        <v>0.92110000000000003</v>
      </c>
      <c r="F7" s="6">
        <v>1.3754</v>
      </c>
      <c r="G7" s="6">
        <v>1.823</v>
      </c>
      <c r="H7" s="6">
        <v>3.0242</v>
      </c>
      <c r="I7" s="6">
        <v>3.6535000000000002</v>
      </c>
      <c r="J7" s="6">
        <v>4.5673000000000004</v>
      </c>
      <c r="K7" s="15">
        <f t="shared" si="0"/>
        <v>0.11956521739130324</v>
      </c>
      <c r="L7" s="15">
        <f t="shared" si="1"/>
        <v>-0.33333333333334486</v>
      </c>
      <c r="M7" s="15">
        <f t="shared" si="2"/>
        <v>-0.92391304347826764</v>
      </c>
      <c r="N7" s="15">
        <f t="shared" si="3"/>
        <v>-0.38866930171278102</v>
      </c>
      <c r="O7" s="15">
        <f t="shared" si="4"/>
        <v>-0.72010869565217306</v>
      </c>
      <c r="P7" s="15">
        <f t="shared" si="5"/>
        <v>-0.71086956521739497</v>
      </c>
      <c r="Q7" s="6" t="str">
        <f t="shared" ref="Q7:Q16" si="7">IF(AND(K7&gt;=0.11,K7&lt;=0.27,L7&gt;=-0.37,L7&lt;=-0.22,M7&gt;=-0.94,M7&lt;=-0.82,N7&gt;=-0.42,N7&lt;=-0.3,O7&gt;=-0.79,O7&lt;=-0.64,P7&gt;=-0.76,P7&lt;=-0.61), "Yes", IF(AND(K7=0,L7=0,M7=0,N7=0,O7=0,P7=0), "Ready to test", "No"))</f>
        <v>Yes</v>
      </c>
    </row>
    <row r="8" spans="1:17" x14ac:dyDescent="0.3">
      <c r="A8" s="16">
        <v>46045</v>
      </c>
      <c r="B8" s="6"/>
      <c r="C8" s="6" t="s">
        <v>178</v>
      </c>
      <c r="D8" s="6">
        <v>0.92</v>
      </c>
      <c r="E8" s="6">
        <v>0.9224</v>
      </c>
      <c r="F8" s="6">
        <v>1.3766</v>
      </c>
      <c r="G8" s="6">
        <v>1.8246</v>
      </c>
      <c r="H8" s="6">
        <v>3.0265</v>
      </c>
      <c r="I8" s="6">
        <v>3.6553</v>
      </c>
      <c r="J8" s="6">
        <v>4.57</v>
      </c>
      <c r="K8" s="15">
        <f t="shared" si="0"/>
        <v>0.26086956521738669</v>
      </c>
      <c r="L8" s="15">
        <f t="shared" si="1"/>
        <v>-0.24637681159420793</v>
      </c>
      <c r="M8" s="15">
        <f t="shared" si="2"/>
        <v>-0.83695652173913471</v>
      </c>
      <c r="N8" s="15">
        <f t="shared" si="3"/>
        <v>-0.31291172595520633</v>
      </c>
      <c r="O8" s="15">
        <f t="shared" si="4"/>
        <v>-0.67119565217391752</v>
      </c>
      <c r="P8" s="15">
        <f t="shared" si="5"/>
        <v>-0.6521739130434836</v>
      </c>
      <c r="Q8" s="6" t="str">
        <f t="shared" si="7"/>
        <v>Yes</v>
      </c>
    </row>
    <row r="9" spans="1:17" x14ac:dyDescent="0.3">
      <c r="A9" s="16" t="s">
        <v>105</v>
      </c>
      <c r="B9" s="6"/>
      <c r="C9" s="6" t="s">
        <v>134</v>
      </c>
      <c r="D9" s="6">
        <v>0.92</v>
      </c>
      <c r="E9" s="6">
        <v>0.92230000000000001</v>
      </c>
      <c r="F9" s="6">
        <v>1.3771</v>
      </c>
      <c r="G9" s="6">
        <v>1.825</v>
      </c>
      <c r="H9" s="6">
        <v>3.0274999999999999</v>
      </c>
      <c r="I9" s="6">
        <v>3.6555</v>
      </c>
      <c r="J9" s="6">
        <v>4.5701000000000001</v>
      </c>
      <c r="K9" s="15">
        <f t="shared" si="0"/>
        <v>0.24999999999999659</v>
      </c>
      <c r="L9" s="15">
        <f t="shared" si="1"/>
        <v>-0.21014492753624089</v>
      </c>
      <c r="M9" s="15">
        <f t="shared" si="2"/>
        <v>-0.81521739130435456</v>
      </c>
      <c r="N9" s="15">
        <f t="shared" si="3"/>
        <v>-0.27997364953887266</v>
      </c>
      <c r="O9" s="15">
        <f t="shared" si="4"/>
        <v>-0.66576086956522251</v>
      </c>
      <c r="P9" s="15">
        <f t="shared" si="5"/>
        <v>-0.65000000000001035</v>
      </c>
      <c r="Q9" s="6" t="str">
        <f>IF(AND(K9&gt;=0.11,K9&lt;=0.27,L9&gt;=-0.37,L9&lt;=-0.22,M9&gt;=-0.94,M9&lt;=-0.82,N9&gt;=-0.42,N9&lt;=-0.3,O9&gt;=-0.79,O9&lt;=-0.64,P9&gt;=-0.76,P9&lt;=-0.61), "Yes", IF(AND(K9=0,L9=0,M9=0,N9=0,O9=0,P9=0), "Ready to test", "No"))</f>
        <v>No</v>
      </c>
    </row>
    <row r="10" spans="1:17" x14ac:dyDescent="0.3">
      <c r="A10" s="16"/>
      <c r="B10" s="6"/>
      <c r="C10" s="6"/>
      <c r="D10" s="6"/>
      <c r="E10" s="6"/>
      <c r="F10" s="6"/>
      <c r="G10" s="6"/>
      <c r="H10" s="6"/>
      <c r="I10" s="6"/>
      <c r="J10" s="6"/>
      <c r="K10" s="15">
        <f t="shared" si="0"/>
        <v>0</v>
      </c>
      <c r="L10" s="15">
        <f t="shared" si="1"/>
        <v>0</v>
      </c>
      <c r="M10" s="15">
        <f t="shared" si="2"/>
        <v>0</v>
      </c>
      <c r="N10" s="15">
        <f t="shared" si="3"/>
        <v>0</v>
      </c>
      <c r="O10" s="15">
        <f t="shared" si="4"/>
        <v>0</v>
      </c>
      <c r="P10" s="15">
        <f t="shared" si="5"/>
        <v>0</v>
      </c>
      <c r="Q10" s="6" t="str">
        <f t="shared" si="7"/>
        <v>Ready to test</v>
      </c>
    </row>
    <row r="11" spans="1:17" x14ac:dyDescent="0.3">
      <c r="A11" s="16"/>
      <c r="B11" s="6"/>
      <c r="C11" s="6"/>
      <c r="D11" s="6"/>
      <c r="E11" s="6"/>
      <c r="F11" s="6"/>
      <c r="G11" s="6"/>
      <c r="H11" s="6"/>
      <c r="I11" s="6"/>
      <c r="J11" s="6"/>
      <c r="K11" s="15">
        <f t="shared" si="0"/>
        <v>0</v>
      </c>
      <c r="L11" s="15">
        <f t="shared" si="1"/>
        <v>0</v>
      </c>
      <c r="M11" s="15">
        <f t="shared" si="2"/>
        <v>0</v>
      </c>
      <c r="N11" s="15">
        <f t="shared" si="3"/>
        <v>0</v>
      </c>
      <c r="O11" s="15">
        <f t="shared" si="4"/>
        <v>0</v>
      </c>
      <c r="P11" s="15">
        <f t="shared" si="5"/>
        <v>0</v>
      </c>
      <c r="Q11" s="6" t="str">
        <f t="shared" si="7"/>
        <v>Ready to test</v>
      </c>
    </row>
    <row r="12" spans="1:17" x14ac:dyDescent="0.3">
      <c r="A12" s="16"/>
      <c r="B12" s="6"/>
      <c r="C12" s="6"/>
      <c r="D12" s="6"/>
      <c r="E12" s="6"/>
      <c r="F12" s="6"/>
      <c r="G12" s="6"/>
      <c r="H12" s="6"/>
      <c r="I12" s="6"/>
      <c r="J12" s="6"/>
      <c r="K12" s="15">
        <f t="shared" si="0"/>
        <v>0</v>
      </c>
      <c r="L12" s="15">
        <f t="shared" si="1"/>
        <v>0</v>
      </c>
      <c r="M12" s="15">
        <f t="shared" si="2"/>
        <v>0</v>
      </c>
      <c r="N12" s="15">
        <f t="shared" si="3"/>
        <v>0</v>
      </c>
      <c r="O12" s="15">
        <f t="shared" si="4"/>
        <v>0</v>
      </c>
      <c r="P12" s="15">
        <f t="shared" si="5"/>
        <v>0</v>
      </c>
      <c r="Q12" s="6" t="str">
        <f t="shared" si="7"/>
        <v>Ready to test</v>
      </c>
    </row>
    <row r="13" spans="1:17" x14ac:dyDescent="0.3">
      <c r="A13" s="16"/>
      <c r="B13" s="6"/>
      <c r="C13" s="6"/>
      <c r="D13" s="6"/>
      <c r="E13" s="6"/>
      <c r="F13" s="6"/>
      <c r="G13" s="6"/>
      <c r="H13" s="6"/>
      <c r="I13" s="6"/>
      <c r="J13" s="6"/>
      <c r="K13" s="15">
        <f t="shared" si="0"/>
        <v>0</v>
      </c>
      <c r="L13" s="15">
        <f t="shared" si="1"/>
        <v>0</v>
      </c>
      <c r="M13" s="15">
        <f t="shared" si="2"/>
        <v>0</v>
      </c>
      <c r="N13" s="15">
        <f t="shared" si="3"/>
        <v>0</v>
      </c>
      <c r="O13" s="15">
        <f t="shared" si="4"/>
        <v>0</v>
      </c>
      <c r="P13" s="15">
        <f t="shared" si="5"/>
        <v>0</v>
      </c>
      <c r="Q13" s="6" t="str">
        <f t="shared" si="7"/>
        <v>Ready to test</v>
      </c>
    </row>
    <row r="14" spans="1:17" x14ac:dyDescent="0.3">
      <c r="A14" s="16"/>
      <c r="B14" s="6"/>
      <c r="C14" s="6"/>
      <c r="D14" s="6"/>
      <c r="E14" s="6"/>
      <c r="F14" s="6"/>
      <c r="G14" s="6"/>
      <c r="H14" s="6"/>
      <c r="I14" s="6"/>
      <c r="J14" s="6"/>
      <c r="K14" s="15">
        <f t="shared" si="0"/>
        <v>0</v>
      </c>
      <c r="L14" s="15">
        <f t="shared" si="1"/>
        <v>0</v>
      </c>
      <c r="M14" s="15">
        <f t="shared" si="2"/>
        <v>0</v>
      </c>
      <c r="N14" s="15">
        <f t="shared" si="3"/>
        <v>0</v>
      </c>
      <c r="O14" s="15">
        <f t="shared" si="4"/>
        <v>0</v>
      </c>
      <c r="P14" s="15">
        <f t="shared" si="5"/>
        <v>0</v>
      </c>
      <c r="Q14" s="6" t="str">
        <f t="shared" si="7"/>
        <v>Ready to test</v>
      </c>
    </row>
    <row r="15" spans="1:17" x14ac:dyDescent="0.3">
      <c r="A15" s="16"/>
      <c r="B15" s="6"/>
      <c r="C15" s="6"/>
      <c r="D15" s="6"/>
      <c r="E15" s="6"/>
      <c r="F15" s="6"/>
      <c r="G15" s="6"/>
      <c r="H15" s="6"/>
      <c r="I15" s="6"/>
      <c r="J15" s="6"/>
      <c r="K15" s="15">
        <f t="shared" si="0"/>
        <v>0</v>
      </c>
      <c r="L15" s="15">
        <f t="shared" si="1"/>
        <v>0</v>
      </c>
      <c r="M15" s="15">
        <f t="shared" si="2"/>
        <v>0</v>
      </c>
      <c r="N15" s="15">
        <f t="shared" si="3"/>
        <v>0</v>
      </c>
      <c r="O15" s="15">
        <f t="shared" si="4"/>
        <v>0</v>
      </c>
      <c r="P15" s="15">
        <f t="shared" si="5"/>
        <v>0</v>
      </c>
      <c r="Q15" s="6" t="str">
        <f t="shared" si="7"/>
        <v>Ready to test</v>
      </c>
    </row>
    <row r="16" spans="1:17" x14ac:dyDescent="0.3">
      <c r="A16" s="16"/>
      <c r="B16" s="6"/>
      <c r="C16" s="6"/>
      <c r="D16" s="6"/>
      <c r="E16" s="6"/>
      <c r="F16" s="6"/>
      <c r="G16" s="6"/>
      <c r="H16" s="6"/>
      <c r="I16" s="6"/>
      <c r="J16" s="6"/>
      <c r="K16" s="15">
        <f t="shared" si="0"/>
        <v>0</v>
      </c>
      <c r="L16" s="15">
        <f t="shared" si="1"/>
        <v>0</v>
      </c>
      <c r="M16" s="15">
        <f t="shared" si="2"/>
        <v>0</v>
      </c>
      <c r="N16" s="15">
        <f t="shared" si="3"/>
        <v>0</v>
      </c>
      <c r="O16" s="15">
        <f t="shared" si="4"/>
        <v>0</v>
      </c>
      <c r="P16" s="15">
        <f t="shared" si="5"/>
        <v>0</v>
      </c>
      <c r="Q16" s="6" t="str">
        <f t="shared" si="7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16">
    <cfRule type="expression" dxfId="107" priority="1">
      <formula>Q3="Alert"</formula>
    </cfRule>
    <cfRule type="expression" dxfId="106" priority="2">
      <formula>Q3="Yes"</formula>
    </cfRule>
    <cfRule type="expression" dxfId="105" priority="3">
      <formula>Q3="No"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Q16"/>
  <sheetViews>
    <sheetView zoomScale="90" zoomScaleNormal="90" workbookViewId="0">
      <selection activeCell="Q6" sqref="Q6"/>
    </sheetView>
  </sheetViews>
  <sheetFormatPr defaultColWidth="18.33203125" defaultRowHeight="14.4" x14ac:dyDescent="0.3"/>
  <cols>
    <col min="1" max="2" width="18.33203125" style="1" customWidth="1"/>
    <col min="3" max="4" width="18.33203125" style="1"/>
    <col min="5" max="5" width="12.88671875" style="1" customWidth="1"/>
    <col min="6" max="6" width="11.44140625" style="1" customWidth="1"/>
    <col min="7" max="7" width="12.5546875" style="1" customWidth="1"/>
    <col min="8" max="8" width="12.6640625" style="1" customWidth="1"/>
    <col min="9" max="9" width="11.88671875" style="1" customWidth="1"/>
    <col min="10" max="10" width="10.88671875" style="1" customWidth="1"/>
    <col min="11" max="11" width="13.5546875" style="1" customWidth="1"/>
    <col min="12" max="12" width="12.5546875" style="1" customWidth="1"/>
    <col min="13" max="13" width="11.5546875" style="1" customWidth="1"/>
    <col min="14" max="14" width="10.44140625" style="1" customWidth="1"/>
    <col min="15" max="15" width="13.44140625" style="1" customWidth="1"/>
    <col min="16" max="16" width="11.5546875" style="1" customWidth="1"/>
    <col min="17" max="16384" width="18.33203125" style="1"/>
  </cols>
  <sheetData>
    <row r="1" spans="1:17" ht="28.5" customHeight="1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4.7" customHeight="1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2" t="s">
        <v>94</v>
      </c>
      <c r="O2" s="2" t="s">
        <v>95</v>
      </c>
      <c r="P2" s="2" t="s">
        <v>96</v>
      </c>
      <c r="Q2" s="67"/>
    </row>
    <row r="3" spans="1:17" x14ac:dyDescent="0.3">
      <c r="A3" s="7">
        <v>45797</v>
      </c>
      <c r="B3" s="4" t="s">
        <v>179</v>
      </c>
      <c r="C3" s="4" t="s">
        <v>103</v>
      </c>
      <c r="D3" s="4">
        <v>0.92</v>
      </c>
      <c r="E3" s="1">
        <v>0.9214</v>
      </c>
      <c r="F3" s="9">
        <v>1.3754999999999999</v>
      </c>
      <c r="G3" s="4">
        <v>1.8232999999999999</v>
      </c>
      <c r="H3" s="9">
        <v>3.0243000000000002</v>
      </c>
      <c r="I3" s="9">
        <v>3.6518000000000002</v>
      </c>
      <c r="J3" s="1">
        <v>4.5678000000000001</v>
      </c>
      <c r="K3" s="5">
        <f t="shared" ref="K3:K16" si="0">IF(D3=0, 0, 100*(E3 - D3*1)/(D3*1))</f>
        <v>0.15217391304347355</v>
      </c>
      <c r="L3" s="5">
        <f t="shared" ref="L3:L16" si="1">IF(D3=0, 0, 100*(F3 - D3*1.5)/(D3*1.5))</f>
        <v>-0.32608695652175146</v>
      </c>
      <c r="M3" s="5">
        <f t="shared" ref="M3:M16" si="2">IF(D3=0, 0, 100*(G3 - D3*2)/(D3*2))</f>
        <v>-0.9076086956521825</v>
      </c>
      <c r="N3" s="5">
        <f t="shared" ref="N3:N16" si="3">IF(D3=0, 0, 100*(H3 - D3*3.3)/(D3*3.3))</f>
        <v>-0.38537549407114036</v>
      </c>
      <c r="O3" s="5">
        <f t="shared" ref="O3:O16" si="4">IF(D3=0, 0, 100*(I3 - D3*4)/(D3*4))</f>
        <v>-0.76630434782608703</v>
      </c>
      <c r="P3" s="5">
        <f t="shared" ref="P3:P16" si="5">IF(D3=0, 0, 100*(J3 - D3*5)/(D3*5))</f>
        <v>-0.70000000000000973</v>
      </c>
      <c r="Q3" s="4" t="str">
        <f t="shared" ref="Q3:Q16" si="6"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>
        <v>45997</v>
      </c>
      <c r="B4" s="6"/>
      <c r="C4" s="6" t="s">
        <v>128</v>
      </c>
      <c r="D4" s="6">
        <v>0.91959999999999997</v>
      </c>
      <c r="E4" s="6">
        <v>0.9214</v>
      </c>
      <c r="F4" s="6">
        <v>1.3756999999999999</v>
      </c>
      <c r="G4" s="6">
        <v>1.8231999999999999</v>
      </c>
      <c r="H4" s="6">
        <v>3.0245000000000002</v>
      </c>
      <c r="I4" s="6">
        <v>3.6524999999999999</v>
      </c>
      <c r="J4" s="6">
        <v>4.5682</v>
      </c>
      <c r="K4" s="15">
        <f t="shared" si="0"/>
        <v>0.19573727707699259</v>
      </c>
      <c r="L4" s="15">
        <f t="shared" si="1"/>
        <v>-0.26823256488328523</v>
      </c>
      <c r="M4" s="15">
        <f t="shared" si="2"/>
        <v>-0.86994345367551185</v>
      </c>
      <c r="N4" s="15">
        <f>IF(D4=0, 0, 100*(H4 - D4*3.3)/(D4*3.3))</f>
        <v>-0.33545546812183274</v>
      </c>
      <c r="O4" s="15">
        <f t="shared" si="4"/>
        <v>-0.70411048281861777</v>
      </c>
      <c r="P4" s="15">
        <f t="shared" si="5"/>
        <v>-0.64810787298825201</v>
      </c>
      <c r="Q4" s="6" t="str">
        <f>IF(AND(K4&gt;=0.11,K4&lt;=0.27,L4&gt;=-0.36,L4&lt;=-0.22,M4&gt;=-0.92,M4&lt;=-0.82,N4&gt;=-0.4,N4&lt;=-0.3,O4&gt;=-0.79,O4&lt;=-0.64,P4&gt;=-0.76,P4&lt;=-0.61), "Yes", IF(AND(K4=0,L4=0,M4=0,N4=0,O4=0,P4=0), "Ready to test", "No"))</f>
        <v>Yes</v>
      </c>
    </row>
    <row r="5" spans="1:17" x14ac:dyDescent="0.3">
      <c r="A5" s="16">
        <v>45867</v>
      </c>
      <c r="B5" s="6"/>
      <c r="C5" s="6" t="s">
        <v>172</v>
      </c>
      <c r="D5" s="6">
        <v>0.92</v>
      </c>
      <c r="E5" s="6">
        <v>0.92130000000000001</v>
      </c>
      <c r="F5" s="6">
        <v>1.3752</v>
      </c>
      <c r="G5" s="6">
        <v>1.8229</v>
      </c>
      <c r="H5" s="6">
        <v>3.0236999999999998</v>
      </c>
      <c r="I5" s="6">
        <v>3.6524000000000001</v>
      </c>
      <c r="J5" s="6">
        <v>4.5670000000000002</v>
      </c>
      <c r="K5" s="15">
        <f t="shared" si="0"/>
        <v>0.14130434782608345</v>
      </c>
      <c r="L5" s="15">
        <f t="shared" si="1"/>
        <v>-0.34782608695653167</v>
      </c>
      <c r="M5" s="15">
        <f t="shared" si="2"/>
        <v>-0.92934782608696276</v>
      </c>
      <c r="N5" s="15">
        <f>IF(D5=0, 0, 100*(H5 - D5*3.3)/(D5*3.3))</f>
        <v>-0.40513833992095521</v>
      </c>
      <c r="O5" s="15">
        <f t="shared" si="4"/>
        <v>-0.75000000000000189</v>
      </c>
      <c r="P5" s="15">
        <f t="shared" si="5"/>
        <v>-0.71739130434783394</v>
      </c>
      <c r="Q5" s="6" t="str">
        <f>IF(AND(K5&gt;=0.11,K5&lt;=0.27,L5&gt;=-0.36,L5&lt;=-0.22,M5&gt;=-0.94,M5&lt;=-0.82,N5&gt;=-0.42,N5&lt;=-0.3,O5&gt;=-0.79,O5&lt;=-0.64,P5&gt;=-0.76,P5&lt;=-0.61), "Yes", IF(AND(K5=0,L5=0,M5=0,N5=0,O5=0,P5=0), "Ready to test", "No"))</f>
        <v>Yes</v>
      </c>
    </row>
    <row r="6" spans="1:17" x14ac:dyDescent="0.3">
      <c r="A6" s="16">
        <v>46042</v>
      </c>
      <c r="B6" s="6"/>
      <c r="C6" s="6" t="s">
        <v>107</v>
      </c>
      <c r="D6" s="6">
        <v>0.92</v>
      </c>
      <c r="E6" s="6">
        <v>0.92169999999999996</v>
      </c>
      <c r="F6" s="6">
        <v>1.3758999999999999</v>
      </c>
      <c r="G6" s="6">
        <v>1.8237000000000001</v>
      </c>
      <c r="H6" s="6">
        <v>3.0255000000000001</v>
      </c>
      <c r="I6" s="6">
        <v>3.6555</v>
      </c>
      <c r="J6" s="6">
        <v>4.5697999999999999</v>
      </c>
      <c r="K6" s="15">
        <f>IF(D6=0, 0, 100*(E6 - D6*1)/(D6*1))</f>
        <v>0.18478260869564389</v>
      </c>
      <c r="L6" s="15">
        <f>IF(D6=0, 0, 100*(F6 - D6*1.5)/(D6*1.5))</f>
        <v>-0.29710144927537785</v>
      </c>
      <c r="M6" s="15">
        <f>IF(D6=0, 0, 100*(G6 - D6*2)/(D6*2))</f>
        <v>-0.88586956521739024</v>
      </c>
      <c r="N6" s="15">
        <f>IF(D6=0, 0, 100*(H6 - D6*3.3)/(D6*3.3))</f>
        <v>-0.34584980237153995</v>
      </c>
      <c r="O6" s="15">
        <f>IF(D6=0, 0, 100*(I6 - D6*4)/(D6*4))</f>
        <v>-0.66576086956522251</v>
      </c>
      <c r="P6" s="15">
        <f>IF(D6=0, 0, 100*(J6 - D6*5)/(D6*5))</f>
        <v>-0.65652173913044931</v>
      </c>
      <c r="Q6" s="6" t="str">
        <f t="shared" si="6"/>
        <v>Yes</v>
      </c>
    </row>
    <row r="7" spans="1:17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>
        <f t="shared" si="0"/>
        <v>0</v>
      </c>
      <c r="L7" s="6">
        <f t="shared" si="1"/>
        <v>0</v>
      </c>
      <c r="M7" s="6">
        <f t="shared" si="2"/>
        <v>0</v>
      </c>
      <c r="N7" s="6">
        <f t="shared" si="3"/>
        <v>0</v>
      </c>
      <c r="O7" s="6">
        <f t="shared" si="4"/>
        <v>0</v>
      </c>
      <c r="P7" s="6">
        <f t="shared" si="5"/>
        <v>0</v>
      </c>
      <c r="Q7" s="6" t="str">
        <f t="shared" si="6"/>
        <v>Ready to test</v>
      </c>
    </row>
    <row r="8" spans="1:17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>
        <f t="shared" si="0"/>
        <v>0</v>
      </c>
      <c r="L8" s="6">
        <f t="shared" si="1"/>
        <v>0</v>
      </c>
      <c r="M8" s="6">
        <f t="shared" si="2"/>
        <v>0</v>
      </c>
      <c r="N8" s="6">
        <f t="shared" si="3"/>
        <v>0</v>
      </c>
      <c r="O8" s="6">
        <f t="shared" si="4"/>
        <v>0</v>
      </c>
      <c r="P8" s="6">
        <f t="shared" si="5"/>
        <v>0</v>
      </c>
      <c r="Q8" s="6" t="str">
        <f t="shared" si="6"/>
        <v>Ready to test</v>
      </c>
    </row>
    <row r="9" spans="1:17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>
        <f t="shared" si="0"/>
        <v>0</v>
      </c>
      <c r="L9" s="6">
        <f t="shared" si="1"/>
        <v>0</v>
      </c>
      <c r="M9" s="6">
        <f t="shared" si="2"/>
        <v>0</v>
      </c>
      <c r="N9" s="6">
        <f t="shared" si="3"/>
        <v>0</v>
      </c>
      <c r="O9" s="6">
        <f t="shared" si="4"/>
        <v>0</v>
      </c>
      <c r="P9" s="6">
        <f t="shared" si="5"/>
        <v>0</v>
      </c>
      <c r="Q9" s="6" t="str">
        <f t="shared" si="6"/>
        <v>Ready to test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>
        <f t="shared" si="0"/>
        <v>0</v>
      </c>
      <c r="L10" s="6">
        <f t="shared" si="1"/>
        <v>0</v>
      </c>
      <c r="M10" s="6">
        <f t="shared" si="2"/>
        <v>0</v>
      </c>
      <c r="N10" s="6">
        <f>IF(D10=0, 0, 100*(H10 - D10*3.3)/(D10*3.3))</f>
        <v>0</v>
      </c>
      <c r="O10" s="6">
        <f t="shared" si="4"/>
        <v>0</v>
      </c>
      <c r="P10" s="6">
        <f t="shared" si="5"/>
        <v>0</v>
      </c>
      <c r="Q10" s="6" t="str">
        <f t="shared" si="6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>
        <f t="shared" si="0"/>
        <v>0</v>
      </c>
      <c r="L11" s="6">
        <f t="shared" si="1"/>
        <v>0</v>
      </c>
      <c r="M11" s="6">
        <f t="shared" si="2"/>
        <v>0</v>
      </c>
      <c r="N11" s="6">
        <f t="shared" si="3"/>
        <v>0</v>
      </c>
      <c r="O11" s="6">
        <f t="shared" si="4"/>
        <v>0</v>
      </c>
      <c r="P11" s="6">
        <f t="shared" si="5"/>
        <v>0</v>
      </c>
      <c r="Q11" s="6" t="str">
        <f t="shared" si="6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>
        <f t="shared" si="0"/>
        <v>0</v>
      </c>
      <c r="L12" s="6">
        <f t="shared" si="1"/>
        <v>0</v>
      </c>
      <c r="M12" s="6">
        <f t="shared" si="2"/>
        <v>0</v>
      </c>
      <c r="N12" s="6">
        <f t="shared" si="3"/>
        <v>0</v>
      </c>
      <c r="O12" s="6">
        <f t="shared" si="4"/>
        <v>0</v>
      </c>
      <c r="P12" s="6">
        <f t="shared" si="5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>
        <f t="shared" si="0"/>
        <v>0</v>
      </c>
      <c r="L13" s="6">
        <f t="shared" si="1"/>
        <v>0</v>
      </c>
      <c r="M13" s="6">
        <f t="shared" si="2"/>
        <v>0</v>
      </c>
      <c r="N13" s="6">
        <f t="shared" si="3"/>
        <v>0</v>
      </c>
      <c r="O13" s="6">
        <f t="shared" si="4"/>
        <v>0</v>
      </c>
      <c r="P13" s="6">
        <f t="shared" si="5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>
        <f t="shared" si="0"/>
        <v>0</v>
      </c>
      <c r="L14" s="6">
        <f t="shared" si="1"/>
        <v>0</v>
      </c>
      <c r="M14" s="6">
        <f t="shared" si="2"/>
        <v>0</v>
      </c>
      <c r="N14" s="6">
        <f t="shared" si="3"/>
        <v>0</v>
      </c>
      <c r="O14" s="6">
        <f t="shared" si="4"/>
        <v>0</v>
      </c>
      <c r="P14" s="6">
        <f t="shared" si="5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>
        <f t="shared" si="0"/>
        <v>0</v>
      </c>
      <c r="L15" s="6">
        <f t="shared" si="1"/>
        <v>0</v>
      </c>
      <c r="M15" s="6">
        <f t="shared" si="2"/>
        <v>0</v>
      </c>
      <c r="N15" s="6">
        <f t="shared" si="3"/>
        <v>0</v>
      </c>
      <c r="O15" s="6">
        <f t="shared" si="4"/>
        <v>0</v>
      </c>
      <c r="P15" s="6">
        <f t="shared" si="5"/>
        <v>0</v>
      </c>
      <c r="Q15" s="6" t="str">
        <f t="shared" si="6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>
        <f t="shared" si="0"/>
        <v>0</v>
      </c>
      <c r="L16" s="6">
        <f t="shared" si="1"/>
        <v>0</v>
      </c>
      <c r="M16" s="6">
        <f t="shared" si="2"/>
        <v>0</v>
      </c>
      <c r="N16" s="6">
        <f t="shared" si="3"/>
        <v>0</v>
      </c>
      <c r="O16" s="6">
        <f t="shared" si="4"/>
        <v>0</v>
      </c>
      <c r="P16" s="6">
        <f t="shared" si="5"/>
        <v>0</v>
      </c>
      <c r="Q16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6">
    <cfRule type="expression" dxfId="104" priority="1">
      <formula>Q3="Alert"</formula>
    </cfRule>
    <cfRule type="expression" dxfId="103" priority="2">
      <formula>Q3="Yes"</formula>
    </cfRule>
    <cfRule type="expression" dxfId="102" priority="3">
      <formula>Q3="No"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Q16"/>
  <sheetViews>
    <sheetView topLeftCell="B1" zoomScale="90" zoomScaleNormal="90" workbookViewId="0">
      <selection activeCell="Q6" sqref="Q6"/>
    </sheetView>
  </sheetViews>
  <sheetFormatPr defaultColWidth="18.33203125" defaultRowHeight="14.4" x14ac:dyDescent="0.3"/>
  <cols>
    <col min="1" max="2" width="18.33203125" style="1" customWidth="1"/>
    <col min="3" max="4" width="18.33203125" style="1"/>
    <col min="5" max="5" width="10.5546875" style="1" customWidth="1"/>
    <col min="6" max="6" width="9.44140625" style="1" customWidth="1"/>
    <col min="7" max="7" width="10.44140625" style="1" customWidth="1"/>
    <col min="8" max="8" width="9.44140625" style="1" customWidth="1"/>
    <col min="9" max="9" width="9.88671875" style="1" customWidth="1"/>
    <col min="10" max="10" width="7.6640625" style="1" customWidth="1"/>
    <col min="11" max="16384" width="18.33203125" style="1"/>
  </cols>
  <sheetData>
    <row r="1" spans="1:17" ht="14.7" customHeight="1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4.7" customHeight="1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2" t="s">
        <v>94</v>
      </c>
      <c r="O2" s="2" t="s">
        <v>95</v>
      </c>
      <c r="P2" s="2" t="s">
        <v>96</v>
      </c>
      <c r="Q2" s="67"/>
    </row>
    <row r="3" spans="1:17" x14ac:dyDescent="0.3">
      <c r="A3" s="16">
        <v>45799</v>
      </c>
      <c r="B3" s="6"/>
      <c r="C3" s="6" t="s">
        <v>127</v>
      </c>
      <c r="D3" s="6">
        <v>0.91969999999999996</v>
      </c>
      <c r="E3" s="1">
        <v>0.92169999999999996</v>
      </c>
      <c r="F3" s="9">
        <v>1.3762000000000001</v>
      </c>
      <c r="G3" s="9">
        <v>1.8237000000000001</v>
      </c>
      <c r="H3" s="9">
        <v>3.0249999999999999</v>
      </c>
      <c r="I3" s="9">
        <v>3.6532</v>
      </c>
      <c r="J3" s="12">
        <v>4.5682999999999998</v>
      </c>
      <c r="K3" s="5">
        <f t="shared" ref="K3:K16" si="0">IF(D3=0, 0, 100*(E3 - D3*1)/(D3*1))</f>
        <v>0.21746221593998064</v>
      </c>
      <c r="L3" s="5">
        <f t="shared" ref="L3:L16" si="1">IF(D3=0, 0, 100*(F3 - D3*1.5)/(D3*1.5))</f>
        <v>-0.2428328077996422</v>
      </c>
      <c r="M3" s="5">
        <f t="shared" ref="M3:M16" si="2">IF(D3=0, 0, 100*(G3 - D3*2)/(D3*2))</f>
        <v>-0.85353919756441377</v>
      </c>
      <c r="N3" s="5">
        <f t="shared" ref="N3:N16" si="3">IF(D3=0, 0, 100*(H3 - D3*3.3)/(D3*3.3))</f>
        <v>-0.32981769417563217</v>
      </c>
      <c r="O3" s="5">
        <f t="shared" ref="O3:O16" si="4">IF(D3=0, 0, 100*(I3 - D3*4)/(D3*4))</f>
        <v>-0.69587909100793321</v>
      </c>
      <c r="P3" s="5">
        <f t="shared" ref="P3:P16" si="5">IF(D3=0, 0, 100*(J3 - D3*5)/(D3*5))</f>
        <v>-0.65673589213873618</v>
      </c>
      <c r="Q3" s="4" t="str">
        <f t="shared" ref="Q3:Q16" si="6"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>
        <v>45997</v>
      </c>
      <c r="B4" s="6"/>
      <c r="C4" s="6" t="s">
        <v>128</v>
      </c>
      <c r="D4" s="6">
        <v>0.91969999999999996</v>
      </c>
      <c r="E4" s="6">
        <v>0.92149999999999999</v>
      </c>
      <c r="F4" s="6">
        <v>1.3758999999999999</v>
      </c>
      <c r="G4" s="6">
        <v>1.8234999999999999</v>
      </c>
      <c r="H4" s="6">
        <v>3.0244</v>
      </c>
      <c r="I4" s="6">
        <v>3.6533000000000002</v>
      </c>
      <c r="J4" s="6">
        <v>4.5675999999999997</v>
      </c>
      <c r="K4" s="15">
        <f t="shared" si="0"/>
        <v>0.19571599434598499</v>
      </c>
      <c r="L4" s="15">
        <f t="shared" si="1"/>
        <v>-0.26457902939365396</v>
      </c>
      <c r="M4" s="15">
        <f t="shared" si="2"/>
        <v>-0.86441230836142358</v>
      </c>
      <c r="N4" s="15">
        <f t="shared" si="3"/>
        <v>-0.34958698653380998</v>
      </c>
      <c r="O4" s="15">
        <f t="shared" si="4"/>
        <v>-0.69316081330867774</v>
      </c>
      <c r="P4" s="15">
        <f t="shared" si="5"/>
        <v>-0.67195824725453801</v>
      </c>
      <c r="Q4" s="6" t="str">
        <f t="shared" si="6"/>
        <v>Yes</v>
      </c>
    </row>
    <row r="5" spans="1:17" x14ac:dyDescent="0.3">
      <c r="A5" s="16">
        <v>45867</v>
      </c>
      <c r="B5" s="6"/>
      <c r="C5" s="6" t="s">
        <v>172</v>
      </c>
      <c r="D5" s="6">
        <v>0.92</v>
      </c>
      <c r="E5" s="6">
        <v>0.92159999999999997</v>
      </c>
      <c r="F5" s="6">
        <v>1.375</v>
      </c>
      <c r="G5" s="6">
        <v>1.823</v>
      </c>
      <c r="H5" s="6">
        <v>3.0238</v>
      </c>
      <c r="I5" s="6">
        <v>3.6522999999999999</v>
      </c>
      <c r="J5" s="6">
        <v>4.5666000000000002</v>
      </c>
      <c r="K5" s="15">
        <f t="shared" si="0"/>
        <v>0.17391304347825379</v>
      </c>
      <c r="L5" s="15">
        <f t="shared" si="1"/>
        <v>-0.36231884057971847</v>
      </c>
      <c r="M5" s="15">
        <f t="shared" si="2"/>
        <v>-0.92391304347826764</v>
      </c>
      <c r="N5" s="15">
        <f t="shared" si="3"/>
        <v>-0.40184453227931449</v>
      </c>
      <c r="O5" s="15">
        <f t="shared" si="4"/>
        <v>-0.75271739130435544</v>
      </c>
      <c r="P5" s="15">
        <f t="shared" si="5"/>
        <v>-0.72608695652174593</v>
      </c>
      <c r="Q5" s="6" t="str">
        <f>IF(AND(K5&gt;=0.11,K5&lt;=0.27,L5&gt;=-0.37,L5&lt;=-0.22,M5&gt;=-0.93,M5&lt;=-0.82,N5&gt;=-0.41,N5&lt;=-0.3,O5&gt;=-0.79,O5&lt;=-0.64,P5&gt;=-0.76,P5&lt;=-0.61), "Yes", IF(AND(K5=0,L5=0,M5=0,N5=0,O5=0,P5=0), "Ready to test", "No"))</f>
        <v>Yes</v>
      </c>
    </row>
    <row r="6" spans="1:17" x14ac:dyDescent="0.3">
      <c r="A6" s="16">
        <v>46042</v>
      </c>
      <c r="B6" s="6"/>
      <c r="C6" s="6" t="s">
        <v>107</v>
      </c>
      <c r="D6" s="6">
        <v>0.92</v>
      </c>
      <c r="E6" s="6">
        <v>0.92169999999999996</v>
      </c>
      <c r="F6" s="17">
        <v>1.3765000000000001</v>
      </c>
      <c r="G6" s="6">
        <v>1.8240000000000001</v>
      </c>
      <c r="H6" s="6">
        <v>3.0255000000000001</v>
      </c>
      <c r="I6" s="6">
        <v>3.6537999999999999</v>
      </c>
      <c r="J6" s="6">
        <v>4.569</v>
      </c>
      <c r="K6" s="15">
        <f t="shared" si="0"/>
        <v>0.18478260869564389</v>
      </c>
      <c r="L6" s="15">
        <f t="shared" si="1"/>
        <v>-0.25362318840580134</v>
      </c>
      <c r="M6" s="15">
        <f t="shared" si="2"/>
        <v>-0.8695652173913051</v>
      </c>
      <c r="N6" s="15">
        <f t="shared" si="3"/>
        <v>-0.34584980237153995</v>
      </c>
      <c r="O6" s="15">
        <f t="shared" si="4"/>
        <v>-0.71195652173913648</v>
      </c>
      <c r="P6" s="15">
        <f t="shared" si="5"/>
        <v>-0.67391304347827341</v>
      </c>
      <c r="Q6" s="6" t="str">
        <f t="shared" si="6"/>
        <v>Yes</v>
      </c>
    </row>
    <row r="7" spans="1:17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>
        <f t="shared" si="0"/>
        <v>0</v>
      </c>
      <c r="L7" s="6">
        <f t="shared" si="1"/>
        <v>0</v>
      </c>
      <c r="M7" s="6">
        <f t="shared" si="2"/>
        <v>0</v>
      </c>
      <c r="N7" s="6">
        <f t="shared" si="3"/>
        <v>0</v>
      </c>
      <c r="O7" s="6">
        <f t="shared" si="4"/>
        <v>0</v>
      </c>
      <c r="P7" s="6">
        <f t="shared" si="5"/>
        <v>0</v>
      </c>
      <c r="Q7" s="6" t="str">
        <f t="shared" si="6"/>
        <v>Ready to test</v>
      </c>
    </row>
    <row r="8" spans="1:17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>
        <f t="shared" si="0"/>
        <v>0</v>
      </c>
      <c r="L8" s="6">
        <f t="shared" si="1"/>
        <v>0</v>
      </c>
      <c r="M8" s="6">
        <f t="shared" si="2"/>
        <v>0</v>
      </c>
      <c r="N8" s="6">
        <f t="shared" si="3"/>
        <v>0</v>
      </c>
      <c r="O8" s="6">
        <f t="shared" si="4"/>
        <v>0</v>
      </c>
      <c r="P8" s="6">
        <f t="shared" si="5"/>
        <v>0</v>
      </c>
      <c r="Q8" s="6" t="str">
        <f t="shared" si="6"/>
        <v>Ready to test</v>
      </c>
    </row>
    <row r="9" spans="1:17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>
        <f t="shared" si="0"/>
        <v>0</v>
      </c>
      <c r="L9" s="6">
        <f t="shared" si="1"/>
        <v>0</v>
      </c>
      <c r="M9" s="6">
        <f t="shared" si="2"/>
        <v>0</v>
      </c>
      <c r="N9" s="6">
        <f t="shared" si="3"/>
        <v>0</v>
      </c>
      <c r="O9" s="6">
        <f t="shared" si="4"/>
        <v>0</v>
      </c>
      <c r="P9" s="6">
        <f t="shared" si="5"/>
        <v>0</v>
      </c>
      <c r="Q9" s="6" t="str">
        <f t="shared" si="6"/>
        <v>Ready to test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>
        <f t="shared" si="0"/>
        <v>0</v>
      </c>
      <c r="L10" s="6">
        <f t="shared" si="1"/>
        <v>0</v>
      </c>
      <c r="M10" s="6">
        <f t="shared" si="2"/>
        <v>0</v>
      </c>
      <c r="N10" s="6">
        <f t="shared" si="3"/>
        <v>0</v>
      </c>
      <c r="O10" s="6">
        <f t="shared" si="4"/>
        <v>0</v>
      </c>
      <c r="P10" s="6">
        <f t="shared" si="5"/>
        <v>0</v>
      </c>
      <c r="Q10" s="6" t="str">
        <f t="shared" si="6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>
        <f t="shared" si="0"/>
        <v>0</v>
      </c>
      <c r="L11" s="6">
        <f t="shared" si="1"/>
        <v>0</v>
      </c>
      <c r="M11" s="6">
        <f t="shared" si="2"/>
        <v>0</v>
      </c>
      <c r="N11" s="6">
        <f t="shared" si="3"/>
        <v>0</v>
      </c>
      <c r="O11" s="6">
        <f t="shared" si="4"/>
        <v>0</v>
      </c>
      <c r="P11" s="6">
        <f t="shared" si="5"/>
        <v>0</v>
      </c>
      <c r="Q11" s="6" t="str">
        <f t="shared" si="6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>
        <f t="shared" si="0"/>
        <v>0</v>
      </c>
      <c r="L12" s="6">
        <f t="shared" si="1"/>
        <v>0</v>
      </c>
      <c r="M12" s="6">
        <f t="shared" si="2"/>
        <v>0</v>
      </c>
      <c r="N12" s="6">
        <f t="shared" si="3"/>
        <v>0</v>
      </c>
      <c r="O12" s="6">
        <f t="shared" si="4"/>
        <v>0</v>
      </c>
      <c r="P12" s="6">
        <f t="shared" si="5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>
        <f t="shared" si="0"/>
        <v>0</v>
      </c>
      <c r="L13" s="6">
        <f t="shared" si="1"/>
        <v>0</v>
      </c>
      <c r="M13" s="6">
        <f t="shared" si="2"/>
        <v>0</v>
      </c>
      <c r="N13" s="6">
        <f t="shared" si="3"/>
        <v>0</v>
      </c>
      <c r="O13" s="6">
        <f t="shared" si="4"/>
        <v>0</v>
      </c>
      <c r="P13" s="6">
        <f t="shared" si="5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>
        <f t="shared" si="0"/>
        <v>0</v>
      </c>
      <c r="L14" s="6">
        <f t="shared" si="1"/>
        <v>0</v>
      </c>
      <c r="M14" s="6">
        <f t="shared" si="2"/>
        <v>0</v>
      </c>
      <c r="N14" s="6">
        <f t="shared" si="3"/>
        <v>0</v>
      </c>
      <c r="O14" s="6">
        <f t="shared" si="4"/>
        <v>0</v>
      </c>
      <c r="P14" s="6">
        <f t="shared" si="5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>
        <f t="shared" si="0"/>
        <v>0</v>
      </c>
      <c r="L15" s="6">
        <f t="shared" si="1"/>
        <v>0</v>
      </c>
      <c r="M15" s="6">
        <f t="shared" si="2"/>
        <v>0</v>
      </c>
      <c r="N15" s="6">
        <f t="shared" si="3"/>
        <v>0</v>
      </c>
      <c r="O15" s="6">
        <f t="shared" si="4"/>
        <v>0</v>
      </c>
      <c r="P15" s="6">
        <f t="shared" si="5"/>
        <v>0</v>
      </c>
      <c r="Q15" s="6" t="str">
        <f t="shared" si="6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>
        <f t="shared" si="0"/>
        <v>0</v>
      </c>
      <c r="L16" s="6">
        <f t="shared" si="1"/>
        <v>0</v>
      </c>
      <c r="M16" s="6">
        <f t="shared" si="2"/>
        <v>0</v>
      </c>
      <c r="N16" s="6">
        <f t="shared" si="3"/>
        <v>0</v>
      </c>
      <c r="O16" s="6">
        <f t="shared" si="4"/>
        <v>0</v>
      </c>
      <c r="P16" s="6">
        <f t="shared" si="5"/>
        <v>0</v>
      </c>
      <c r="Q16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6">
    <cfRule type="expression" dxfId="101" priority="1">
      <formula>Q3="Alert"</formula>
    </cfRule>
    <cfRule type="expression" dxfId="100" priority="2">
      <formula>Q3="Yes"</formula>
    </cfRule>
    <cfRule type="expression" dxfId="99" priority="3">
      <formula>Q3="No"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Q16"/>
  <sheetViews>
    <sheetView zoomScale="80" zoomScaleNormal="80" workbookViewId="0">
      <selection activeCell="N10" sqref="N10"/>
    </sheetView>
  </sheetViews>
  <sheetFormatPr defaultColWidth="18.33203125" defaultRowHeight="14.4" x14ac:dyDescent="0.3"/>
  <cols>
    <col min="1" max="1" width="15" style="1" customWidth="1"/>
    <col min="2" max="2" width="9" style="1" bestFit="1" customWidth="1"/>
    <col min="3" max="3" width="12" style="1" bestFit="1" customWidth="1"/>
    <col min="4" max="4" width="17.44140625" style="1" bestFit="1" customWidth="1"/>
    <col min="5" max="5" width="12" style="1" customWidth="1"/>
    <col min="6" max="6" width="11.5546875" style="1" customWidth="1"/>
    <col min="7" max="7" width="12.33203125" style="1" customWidth="1"/>
    <col min="8" max="8" width="12" style="1" customWidth="1"/>
    <col min="9" max="9" width="11.109375" style="1" customWidth="1"/>
    <col min="10" max="10" width="11.33203125" style="1" customWidth="1"/>
    <col min="11" max="11" width="11.44140625" style="1" customWidth="1"/>
    <col min="12" max="12" width="13.44140625" style="1" customWidth="1"/>
    <col min="13" max="13" width="11.44140625" style="1" customWidth="1"/>
    <col min="14" max="14" width="18.33203125" style="1"/>
    <col min="15" max="15" width="13.5546875" style="1" customWidth="1"/>
    <col min="16" max="16" width="14.5546875" style="1" customWidth="1"/>
    <col min="17" max="16384" width="18.33203125" style="1"/>
  </cols>
  <sheetData>
    <row r="1" spans="1:17" ht="28.5" customHeight="1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4.7" customHeight="1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</row>
    <row r="3" spans="1:17" x14ac:dyDescent="0.3">
      <c r="A3" s="7">
        <v>45803</v>
      </c>
      <c r="B3" s="4" t="s">
        <v>5</v>
      </c>
      <c r="C3" s="4" t="s">
        <v>107</v>
      </c>
      <c r="D3" s="4">
        <v>0.92</v>
      </c>
      <c r="E3" s="4">
        <v>0.92149999999999999</v>
      </c>
      <c r="F3" s="4">
        <v>1.3759999999999999</v>
      </c>
      <c r="G3" s="4">
        <v>1.8236000000000001</v>
      </c>
      <c r="H3" s="4">
        <v>3.0245000000000002</v>
      </c>
      <c r="I3" s="4">
        <v>3.6545999999999998</v>
      </c>
      <c r="J3" s="4">
        <v>4.5685000000000002</v>
      </c>
      <c r="K3" s="5">
        <f t="shared" ref="K3:K16" si="0">IF(D3=0, 0, 100*(E3 - D3*1)/(D3*1))</f>
        <v>0.16304347826086366</v>
      </c>
      <c r="L3" s="5">
        <f t="shared" ref="L3:L16" si="1">IF(D3=0, 0, 100*(F3 - D3*1.5)/(D3*1.5))</f>
        <v>-0.28985507246378445</v>
      </c>
      <c r="M3" s="5">
        <f t="shared" ref="M3:M16" si="2">IF(D3=0, 0, 100*(G3 - D3*2)/(D3*2))</f>
        <v>-0.89130434782608525</v>
      </c>
      <c r="N3" s="5">
        <f t="shared" ref="N3:N16" si="3">IF(D3=0, 0, 100*(H3 - D3*3.3)/(D3*3.3))</f>
        <v>-0.37878787878787362</v>
      </c>
      <c r="O3" s="5">
        <f t="shared" ref="O3:O16" si="4">IF(D3=0, 0, 100*(I3 - D3*4)/(D3*4))</f>
        <v>-0.69021739130435622</v>
      </c>
      <c r="P3" s="5">
        <f t="shared" ref="P3:P16" si="5">IF(D3=0, 0, 100*(J3 - D3*5)/(D3*5))</f>
        <v>-0.68478260869565877</v>
      </c>
      <c r="Q3" s="4" t="str">
        <f t="shared" ref="Q3:Q16" si="6"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>
        <v>45824</v>
      </c>
      <c r="B4" s="6" t="s">
        <v>5</v>
      </c>
      <c r="C4" s="6" t="s">
        <v>98</v>
      </c>
      <c r="D4" s="6">
        <v>0.92</v>
      </c>
      <c r="E4" s="6">
        <v>0.9214</v>
      </c>
      <c r="F4" s="6">
        <v>1.3753</v>
      </c>
      <c r="G4" s="17">
        <v>1.8231999999999999</v>
      </c>
      <c r="H4" s="6">
        <v>3.0243000000000002</v>
      </c>
      <c r="I4" s="6">
        <v>3.6528</v>
      </c>
      <c r="J4" s="6">
        <v>4.5669000000000004</v>
      </c>
      <c r="K4" s="15">
        <f t="shared" si="0"/>
        <v>0.15217391304347355</v>
      </c>
      <c r="L4" s="15">
        <f t="shared" si="1"/>
        <v>-0.34057971014493826</v>
      </c>
      <c r="M4" s="15">
        <f t="shared" si="2"/>
        <v>-0.91304347826087762</v>
      </c>
      <c r="N4" s="15">
        <f t="shared" si="3"/>
        <v>-0.38537549407114036</v>
      </c>
      <c r="O4" s="15">
        <f t="shared" si="4"/>
        <v>-0.73913043478261176</v>
      </c>
      <c r="P4" s="15">
        <f t="shared" si="5"/>
        <v>-0.71956521739130708</v>
      </c>
      <c r="Q4" s="6" t="str">
        <f t="shared" si="6"/>
        <v>Yes</v>
      </c>
    </row>
    <row r="5" spans="1:17" x14ac:dyDescent="0.3">
      <c r="A5" s="16">
        <v>45867</v>
      </c>
      <c r="B5" s="6"/>
      <c r="C5" s="6" t="s">
        <v>172</v>
      </c>
      <c r="D5" s="6">
        <v>0.92</v>
      </c>
      <c r="E5" s="6">
        <v>0.92120000000000002</v>
      </c>
      <c r="F5" s="6">
        <v>1.3749</v>
      </c>
      <c r="G5" s="6">
        <v>1.8229</v>
      </c>
      <c r="H5" s="6">
        <v>3.0238</v>
      </c>
      <c r="I5" s="6">
        <v>3.6520999999999999</v>
      </c>
      <c r="J5" s="6">
        <v>4.5666000000000002</v>
      </c>
      <c r="K5" s="15">
        <f t="shared" si="0"/>
        <v>0.13043478260869334</v>
      </c>
      <c r="L5" s="15">
        <f t="shared" si="1"/>
        <v>-0.36956521739131187</v>
      </c>
      <c r="M5" s="15">
        <f t="shared" si="2"/>
        <v>-0.92934782608696276</v>
      </c>
      <c r="N5" s="15">
        <f t="shared" si="3"/>
        <v>-0.40184453227931449</v>
      </c>
      <c r="O5" s="15">
        <f t="shared" si="4"/>
        <v>-0.75815217391305045</v>
      </c>
      <c r="P5" s="15">
        <f t="shared" si="5"/>
        <v>-0.72608695652174593</v>
      </c>
      <c r="Q5" s="6" t="str">
        <f>IF(AND(K5&gt;=0.11,K5&lt;=0.27,L5&gt;=-0.38,L5&lt;=-0.22,M5&gt;=-0.94,M5&lt;=-0.82,N5&gt;=-0.41,N5&lt;=-0.3,O5&gt;=-0.79,O5&lt;=-0.64,P5&gt;=-0.76,P5&lt;=-0.61), "Yes", IF(AND(K5=0,L5=0,M5=0,N5=0,O5=0,P5=0), "Ready to test", "No"))</f>
        <v>Yes</v>
      </c>
    </row>
    <row r="6" spans="1:17" x14ac:dyDescent="0.3">
      <c r="A6" s="16">
        <v>46042</v>
      </c>
      <c r="B6" s="6"/>
      <c r="C6" s="6" t="s">
        <v>107</v>
      </c>
      <c r="D6" s="6">
        <v>0.92</v>
      </c>
      <c r="E6" s="6">
        <v>0.92169999999999996</v>
      </c>
      <c r="F6" s="6">
        <v>1.3755999999999999</v>
      </c>
      <c r="G6" s="17">
        <v>1.8240000000000001</v>
      </c>
      <c r="H6" s="6">
        <v>3.0255000000000001</v>
      </c>
      <c r="I6" s="6">
        <v>3.6549999999999998</v>
      </c>
      <c r="J6" s="6">
        <v>4.5681000000000003</v>
      </c>
      <c r="K6" s="15">
        <f t="shared" si="0"/>
        <v>0.18478260869564389</v>
      </c>
      <c r="L6" s="15">
        <f t="shared" si="1"/>
        <v>-0.31884057971015806</v>
      </c>
      <c r="M6" s="15">
        <f t="shared" si="2"/>
        <v>-0.8695652173913051</v>
      </c>
      <c r="N6" s="15">
        <f t="shared" si="3"/>
        <v>-0.34584980237153995</v>
      </c>
      <c r="O6" s="15">
        <f t="shared" si="4"/>
        <v>-0.6793478260869662</v>
      </c>
      <c r="P6" s="15">
        <f t="shared" si="5"/>
        <v>-0.69347826086957087</v>
      </c>
      <c r="Q6" s="6" t="str">
        <f t="shared" si="6"/>
        <v>Yes</v>
      </c>
    </row>
    <row r="7" spans="1:17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>
        <f t="shared" si="0"/>
        <v>0</v>
      </c>
      <c r="L7" s="6">
        <f t="shared" si="1"/>
        <v>0</v>
      </c>
      <c r="M7" s="6">
        <f t="shared" si="2"/>
        <v>0</v>
      </c>
      <c r="N7" s="6">
        <f t="shared" si="3"/>
        <v>0</v>
      </c>
      <c r="O7" s="6">
        <f t="shared" si="4"/>
        <v>0</v>
      </c>
      <c r="P7" s="6">
        <f t="shared" si="5"/>
        <v>0</v>
      </c>
      <c r="Q7" s="6" t="str">
        <f t="shared" si="6"/>
        <v>Ready to test</v>
      </c>
    </row>
    <row r="8" spans="1:17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>
        <f t="shared" si="0"/>
        <v>0</v>
      </c>
      <c r="L8" s="6">
        <f t="shared" si="1"/>
        <v>0</v>
      </c>
      <c r="M8" s="6">
        <f t="shared" si="2"/>
        <v>0</v>
      </c>
      <c r="N8" s="6">
        <f t="shared" si="3"/>
        <v>0</v>
      </c>
      <c r="O8" s="6">
        <f t="shared" si="4"/>
        <v>0</v>
      </c>
      <c r="P8" s="6">
        <f t="shared" si="5"/>
        <v>0</v>
      </c>
      <c r="Q8" s="6" t="str">
        <f t="shared" si="6"/>
        <v>Ready to test</v>
      </c>
    </row>
    <row r="9" spans="1:17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>
        <f t="shared" si="0"/>
        <v>0</v>
      </c>
      <c r="L9" s="6">
        <f t="shared" si="1"/>
        <v>0</v>
      </c>
      <c r="M9" s="6">
        <f t="shared" si="2"/>
        <v>0</v>
      </c>
      <c r="N9" s="6">
        <f t="shared" si="3"/>
        <v>0</v>
      </c>
      <c r="O9" s="6">
        <f t="shared" si="4"/>
        <v>0</v>
      </c>
      <c r="P9" s="6">
        <f t="shared" si="5"/>
        <v>0</v>
      </c>
      <c r="Q9" s="6" t="str">
        <f t="shared" si="6"/>
        <v>Ready to test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>
        <f t="shared" si="0"/>
        <v>0</v>
      </c>
      <c r="L10" s="6">
        <f t="shared" si="1"/>
        <v>0</v>
      </c>
      <c r="M10" s="6">
        <f t="shared" si="2"/>
        <v>0</v>
      </c>
      <c r="N10" s="6">
        <f t="shared" si="3"/>
        <v>0</v>
      </c>
      <c r="O10" s="6">
        <f t="shared" si="4"/>
        <v>0</v>
      </c>
      <c r="P10" s="6">
        <f t="shared" si="5"/>
        <v>0</v>
      </c>
      <c r="Q10" s="6" t="str">
        <f t="shared" si="6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>
        <f t="shared" si="0"/>
        <v>0</v>
      </c>
      <c r="L11" s="6">
        <f t="shared" si="1"/>
        <v>0</v>
      </c>
      <c r="M11" s="6">
        <f t="shared" si="2"/>
        <v>0</v>
      </c>
      <c r="N11" s="6">
        <f t="shared" si="3"/>
        <v>0</v>
      </c>
      <c r="O11" s="6">
        <f t="shared" si="4"/>
        <v>0</v>
      </c>
      <c r="P11" s="6">
        <f t="shared" si="5"/>
        <v>0</v>
      </c>
      <c r="Q11" s="6" t="str">
        <f t="shared" si="6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>
        <f t="shared" si="0"/>
        <v>0</v>
      </c>
      <c r="L12" s="6">
        <f t="shared" si="1"/>
        <v>0</v>
      </c>
      <c r="M12" s="6">
        <f t="shared" si="2"/>
        <v>0</v>
      </c>
      <c r="N12" s="6">
        <f t="shared" si="3"/>
        <v>0</v>
      </c>
      <c r="O12" s="6">
        <f t="shared" si="4"/>
        <v>0</v>
      </c>
      <c r="P12" s="6">
        <f t="shared" si="5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>
        <f t="shared" si="0"/>
        <v>0</v>
      </c>
      <c r="L13" s="6">
        <f t="shared" si="1"/>
        <v>0</v>
      </c>
      <c r="M13" s="6">
        <f t="shared" si="2"/>
        <v>0</v>
      </c>
      <c r="N13" s="6">
        <f t="shared" si="3"/>
        <v>0</v>
      </c>
      <c r="O13" s="6">
        <f t="shared" si="4"/>
        <v>0</v>
      </c>
      <c r="P13" s="6">
        <f t="shared" si="5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>
        <f t="shared" si="0"/>
        <v>0</v>
      </c>
      <c r="L14" s="6">
        <f t="shared" si="1"/>
        <v>0</v>
      </c>
      <c r="M14" s="6">
        <f t="shared" si="2"/>
        <v>0</v>
      </c>
      <c r="N14" s="6">
        <f t="shared" si="3"/>
        <v>0</v>
      </c>
      <c r="O14" s="6">
        <f t="shared" si="4"/>
        <v>0</v>
      </c>
      <c r="P14" s="6">
        <f t="shared" si="5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>
        <f t="shared" si="0"/>
        <v>0</v>
      </c>
      <c r="L15" s="6">
        <f t="shared" si="1"/>
        <v>0</v>
      </c>
      <c r="M15" s="6">
        <f t="shared" si="2"/>
        <v>0</v>
      </c>
      <c r="N15" s="6">
        <f t="shared" si="3"/>
        <v>0</v>
      </c>
      <c r="O15" s="6">
        <f t="shared" si="4"/>
        <v>0</v>
      </c>
      <c r="P15" s="6">
        <f t="shared" si="5"/>
        <v>0</v>
      </c>
      <c r="Q15" s="6" t="str">
        <f t="shared" si="6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>
        <f t="shared" si="0"/>
        <v>0</v>
      </c>
      <c r="L16" s="6">
        <f t="shared" si="1"/>
        <v>0</v>
      </c>
      <c r="M16" s="6">
        <f t="shared" si="2"/>
        <v>0</v>
      </c>
      <c r="N16" s="6">
        <f t="shared" si="3"/>
        <v>0</v>
      </c>
      <c r="O16" s="6">
        <f t="shared" si="4"/>
        <v>0</v>
      </c>
      <c r="P16" s="6">
        <f t="shared" si="5"/>
        <v>0</v>
      </c>
      <c r="Q16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6">
    <cfRule type="expression" dxfId="98" priority="1">
      <formula>Q3="Alert"</formula>
    </cfRule>
    <cfRule type="expression" dxfId="97" priority="2">
      <formula>Q3="Yes"</formula>
    </cfRule>
    <cfRule type="expression" dxfId="96" priority="3">
      <formula>Q3="No"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9028F-B4CF-497D-8379-723B3EB4154B}">
  <dimension ref="A1:Q16"/>
  <sheetViews>
    <sheetView topLeftCell="E1" zoomScale="73" workbookViewId="0">
      <selection activeCell="P4" sqref="K4:P4"/>
    </sheetView>
  </sheetViews>
  <sheetFormatPr defaultColWidth="18.33203125" defaultRowHeight="14.4" x14ac:dyDescent="0.3"/>
  <cols>
    <col min="1" max="1" width="15" style="1" customWidth="1"/>
    <col min="2" max="2" width="9" style="1" bestFit="1" customWidth="1"/>
    <col min="3" max="3" width="12" style="1" bestFit="1" customWidth="1"/>
    <col min="4" max="4" width="17.44140625" style="1" bestFit="1" customWidth="1"/>
    <col min="5" max="5" width="12" style="1" customWidth="1"/>
    <col min="6" max="6" width="11.5546875" style="1" customWidth="1"/>
    <col min="7" max="7" width="12.33203125" style="1" customWidth="1"/>
    <col min="8" max="8" width="12" style="1" customWidth="1"/>
    <col min="9" max="9" width="11.109375" style="1" customWidth="1"/>
    <col min="10" max="10" width="11.33203125" style="1" customWidth="1"/>
    <col min="11" max="11" width="11.44140625" style="1" customWidth="1"/>
    <col min="12" max="12" width="13.44140625" style="1" customWidth="1"/>
    <col min="13" max="13" width="11.44140625" style="1" customWidth="1"/>
    <col min="14" max="14" width="18.33203125" style="1"/>
    <col min="15" max="15" width="13.5546875" style="1" customWidth="1"/>
    <col min="16" max="16" width="14.5546875" style="1" customWidth="1"/>
    <col min="17" max="16384" width="18.33203125" style="1"/>
  </cols>
  <sheetData>
    <row r="1" spans="1:17" ht="28.5" customHeight="1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4.7" customHeight="1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</row>
    <row r="3" spans="1:17" x14ac:dyDescent="0.3">
      <c r="A3" s="7">
        <v>46103</v>
      </c>
      <c r="B3" s="4" t="s">
        <v>5</v>
      </c>
      <c r="C3" s="4" t="s">
        <v>180</v>
      </c>
      <c r="D3" s="4">
        <v>0.92</v>
      </c>
      <c r="E3" s="4">
        <v>0.92200000000000004</v>
      </c>
      <c r="F3" s="4">
        <v>1.3764000000000001</v>
      </c>
      <c r="G3" s="4">
        <v>1.8244</v>
      </c>
      <c r="H3" s="4">
        <v>3.0261999999999998</v>
      </c>
      <c r="I3" s="4">
        <v>3.6558000000000002</v>
      </c>
      <c r="J3" s="9">
        <v>4.5704000000000002</v>
      </c>
      <c r="K3" s="5">
        <f t="shared" ref="K3:K16" si="0">IF(D3=0, 0, 100*(E3 - D3*1)/(D3*1))</f>
        <v>0.21739130434782628</v>
      </c>
      <c r="L3" s="5">
        <f t="shared" ref="L3:L16" si="1">IF(D3=0, 0, 100*(F3 - D3*1.5)/(D3*1.5))</f>
        <v>-0.26086956521739474</v>
      </c>
      <c r="M3" s="5">
        <f t="shared" ref="M3:M16" si="2">IF(D3=0, 0, 100*(G3 - D3*2)/(D3*2))</f>
        <v>-0.84782608695652484</v>
      </c>
      <c r="N3" s="5">
        <f t="shared" ref="N3:N16" si="3">IF(D3=0, 0, 100*(H3 - D3*3.3)/(D3*3.3))</f>
        <v>-0.32279314888011373</v>
      </c>
      <c r="O3" s="5">
        <f t="shared" ref="O3:O16" si="4">IF(D3=0, 0, 100*(I3 - D3*4)/(D3*4))</f>
        <v>-0.65760869565217384</v>
      </c>
      <c r="P3" s="5">
        <f t="shared" ref="P3:P16" si="5">IF(D3=0, 0, 100*(J3 - D3*5)/(D3*5))</f>
        <v>-0.64347826086957149</v>
      </c>
      <c r="Q3" s="4" t="str">
        <f t="shared" ref="Q3:Q16" si="6"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>
        <v>46177</v>
      </c>
      <c r="B4" s="6"/>
      <c r="C4" s="6" t="s">
        <v>134</v>
      </c>
      <c r="D4" s="6">
        <v>0.92</v>
      </c>
      <c r="E4" s="6">
        <v>0.92190000000000005</v>
      </c>
      <c r="F4" s="6">
        <v>1.3761000000000001</v>
      </c>
      <c r="G4" s="17">
        <v>1.8241000000000001</v>
      </c>
      <c r="H4" s="6">
        <v>3.0257999999999998</v>
      </c>
      <c r="I4" s="6">
        <v>3.6558999999999999</v>
      </c>
      <c r="J4" s="6">
        <v>4.5701000000000001</v>
      </c>
      <c r="K4" s="15">
        <f t="shared" si="0"/>
        <v>0.20652173913043617</v>
      </c>
      <c r="L4" s="15">
        <f t="shared" si="1"/>
        <v>-0.28260869565217495</v>
      </c>
      <c r="M4" s="15">
        <f>IF(D4=0, 0, 100*(G4 - D4*2)/(D4*2))</f>
        <v>-0.86413043478260998</v>
      </c>
      <c r="N4" s="15">
        <f t="shared" si="3"/>
        <v>-0.3359683794466472</v>
      </c>
      <c r="O4" s="15">
        <f t="shared" si="4"/>
        <v>-0.65489130434783238</v>
      </c>
      <c r="P4" s="15">
        <f t="shared" si="5"/>
        <v>-0.65000000000001035</v>
      </c>
      <c r="Q4" s="6" t="str">
        <f t="shared" si="6"/>
        <v>Yes</v>
      </c>
    </row>
    <row r="5" spans="1:17" x14ac:dyDescent="0.3">
      <c r="A5" s="16"/>
      <c r="B5" s="6"/>
      <c r="C5" s="6"/>
      <c r="D5" s="6"/>
      <c r="E5" s="6"/>
      <c r="F5" s="6"/>
      <c r="G5" s="6"/>
      <c r="H5" s="6"/>
      <c r="I5" s="6"/>
      <c r="J5" s="6"/>
      <c r="K5" s="15">
        <f t="shared" si="0"/>
        <v>0</v>
      </c>
      <c r="L5" s="15">
        <f t="shared" si="1"/>
        <v>0</v>
      </c>
      <c r="M5" s="15">
        <f t="shared" si="2"/>
        <v>0</v>
      </c>
      <c r="N5" s="15">
        <f t="shared" si="3"/>
        <v>0</v>
      </c>
      <c r="O5" s="15">
        <f t="shared" si="4"/>
        <v>0</v>
      </c>
      <c r="P5" s="15">
        <f t="shared" si="5"/>
        <v>0</v>
      </c>
      <c r="Q5" s="6" t="str">
        <f>IF(AND(K5&gt;=0.11,K5&lt;=0.27,L5&gt;=-0.38,L5&lt;=-0.22,M5&gt;=-0.94,M5&lt;=-0.82,N5&gt;=-0.41,N5&lt;=-0.3,O5&gt;=-0.79,O5&lt;=-0.64,P5&gt;=-0.76,P5&lt;=-0.61), "Yes", IF(AND(K5=0,L5=0,M5=0,N5=0,O5=0,P5=0), "Ready to test", "No"))</f>
        <v>Ready to test</v>
      </c>
    </row>
    <row r="6" spans="1:17" x14ac:dyDescent="0.3">
      <c r="A6" s="16"/>
      <c r="B6" s="6"/>
      <c r="C6" s="6"/>
      <c r="D6" s="6"/>
      <c r="E6" s="6"/>
      <c r="F6" s="6"/>
      <c r="G6" s="17"/>
      <c r="H6" s="6"/>
      <c r="I6" s="6"/>
      <c r="J6" s="6"/>
      <c r="K6" s="15">
        <f t="shared" si="0"/>
        <v>0</v>
      </c>
      <c r="L6" s="15">
        <f t="shared" si="1"/>
        <v>0</v>
      </c>
      <c r="M6" s="15">
        <f t="shared" si="2"/>
        <v>0</v>
      </c>
      <c r="N6" s="15">
        <f t="shared" si="3"/>
        <v>0</v>
      </c>
      <c r="O6" s="15">
        <f t="shared" si="4"/>
        <v>0</v>
      </c>
      <c r="P6" s="15">
        <f t="shared" si="5"/>
        <v>0</v>
      </c>
      <c r="Q6" s="6" t="str">
        <f t="shared" si="6"/>
        <v>Ready to test</v>
      </c>
    </row>
    <row r="7" spans="1:17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15">
        <f t="shared" si="0"/>
        <v>0</v>
      </c>
      <c r="L7" s="15">
        <f t="shared" si="1"/>
        <v>0</v>
      </c>
      <c r="M7" s="15">
        <f t="shared" si="2"/>
        <v>0</v>
      </c>
      <c r="N7" s="15">
        <f t="shared" si="3"/>
        <v>0</v>
      </c>
      <c r="O7" s="15">
        <f t="shared" si="4"/>
        <v>0</v>
      </c>
      <c r="P7" s="15">
        <f t="shared" si="5"/>
        <v>0</v>
      </c>
      <c r="Q7" s="6" t="str">
        <f t="shared" si="6"/>
        <v>Ready to test</v>
      </c>
    </row>
    <row r="8" spans="1:17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15">
        <f t="shared" si="0"/>
        <v>0</v>
      </c>
      <c r="L8" s="15">
        <f t="shared" si="1"/>
        <v>0</v>
      </c>
      <c r="M8" s="15">
        <f t="shared" si="2"/>
        <v>0</v>
      </c>
      <c r="N8" s="15">
        <f t="shared" si="3"/>
        <v>0</v>
      </c>
      <c r="O8" s="15">
        <f t="shared" si="4"/>
        <v>0</v>
      </c>
      <c r="P8" s="15">
        <f t="shared" si="5"/>
        <v>0</v>
      </c>
      <c r="Q8" s="6" t="str">
        <f t="shared" si="6"/>
        <v>Ready to test</v>
      </c>
    </row>
    <row r="9" spans="1:17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15">
        <f t="shared" si="0"/>
        <v>0</v>
      </c>
      <c r="L9" s="15">
        <f t="shared" si="1"/>
        <v>0</v>
      </c>
      <c r="M9" s="15">
        <f t="shared" si="2"/>
        <v>0</v>
      </c>
      <c r="N9" s="15">
        <f t="shared" si="3"/>
        <v>0</v>
      </c>
      <c r="O9" s="15">
        <f t="shared" si="4"/>
        <v>0</v>
      </c>
      <c r="P9" s="15">
        <f t="shared" si="5"/>
        <v>0</v>
      </c>
      <c r="Q9" s="6" t="str">
        <f t="shared" si="6"/>
        <v>Ready to test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15">
        <f t="shared" si="0"/>
        <v>0</v>
      </c>
      <c r="L10" s="15">
        <f t="shared" si="1"/>
        <v>0</v>
      </c>
      <c r="M10" s="15">
        <f t="shared" si="2"/>
        <v>0</v>
      </c>
      <c r="N10" s="15">
        <f t="shared" si="3"/>
        <v>0</v>
      </c>
      <c r="O10" s="15">
        <f t="shared" si="4"/>
        <v>0</v>
      </c>
      <c r="P10" s="15">
        <f t="shared" si="5"/>
        <v>0</v>
      </c>
      <c r="Q10" s="6" t="str">
        <f t="shared" si="6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15">
        <f t="shared" si="0"/>
        <v>0</v>
      </c>
      <c r="L11" s="15">
        <f t="shared" si="1"/>
        <v>0</v>
      </c>
      <c r="M11" s="15">
        <f t="shared" si="2"/>
        <v>0</v>
      </c>
      <c r="N11" s="15">
        <f t="shared" si="3"/>
        <v>0</v>
      </c>
      <c r="O11" s="15">
        <f t="shared" si="4"/>
        <v>0</v>
      </c>
      <c r="P11" s="15">
        <f t="shared" si="5"/>
        <v>0</v>
      </c>
      <c r="Q11" s="6" t="str">
        <f t="shared" si="6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15">
        <f t="shared" si="0"/>
        <v>0</v>
      </c>
      <c r="L12" s="15">
        <f t="shared" si="1"/>
        <v>0</v>
      </c>
      <c r="M12" s="15">
        <f t="shared" si="2"/>
        <v>0</v>
      </c>
      <c r="N12" s="15">
        <f t="shared" si="3"/>
        <v>0</v>
      </c>
      <c r="O12" s="15">
        <f t="shared" si="4"/>
        <v>0</v>
      </c>
      <c r="P12" s="15">
        <f t="shared" si="5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15">
        <f t="shared" si="0"/>
        <v>0</v>
      </c>
      <c r="L13" s="15">
        <f t="shared" si="1"/>
        <v>0</v>
      </c>
      <c r="M13" s="15">
        <f t="shared" si="2"/>
        <v>0</v>
      </c>
      <c r="N13" s="15">
        <f t="shared" si="3"/>
        <v>0</v>
      </c>
      <c r="O13" s="15">
        <f t="shared" si="4"/>
        <v>0</v>
      </c>
      <c r="P13" s="15">
        <f t="shared" si="5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15">
        <f t="shared" si="0"/>
        <v>0</v>
      </c>
      <c r="L14" s="15">
        <f t="shared" si="1"/>
        <v>0</v>
      </c>
      <c r="M14" s="15">
        <f t="shared" si="2"/>
        <v>0</v>
      </c>
      <c r="N14" s="15">
        <f t="shared" si="3"/>
        <v>0</v>
      </c>
      <c r="O14" s="15">
        <f t="shared" si="4"/>
        <v>0</v>
      </c>
      <c r="P14" s="15">
        <f t="shared" si="5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15">
        <f t="shared" si="0"/>
        <v>0</v>
      </c>
      <c r="L15" s="15">
        <f t="shared" si="1"/>
        <v>0</v>
      </c>
      <c r="M15" s="15">
        <f t="shared" si="2"/>
        <v>0</v>
      </c>
      <c r="N15" s="15">
        <f t="shared" si="3"/>
        <v>0</v>
      </c>
      <c r="O15" s="15">
        <f t="shared" si="4"/>
        <v>0</v>
      </c>
      <c r="P15" s="15">
        <f t="shared" si="5"/>
        <v>0</v>
      </c>
      <c r="Q15" s="6" t="str">
        <f t="shared" si="6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15">
        <f t="shared" si="0"/>
        <v>0</v>
      </c>
      <c r="L16" s="15">
        <f t="shared" si="1"/>
        <v>0</v>
      </c>
      <c r="M16" s="15">
        <f t="shared" si="2"/>
        <v>0</v>
      </c>
      <c r="N16" s="15">
        <f t="shared" si="3"/>
        <v>0</v>
      </c>
      <c r="O16" s="15">
        <f t="shared" si="4"/>
        <v>0</v>
      </c>
      <c r="P16" s="15">
        <f t="shared" si="5"/>
        <v>0</v>
      </c>
      <c r="Q16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6">
    <cfRule type="expression" dxfId="95" priority="1">
      <formula>Q3="Alert"</formula>
    </cfRule>
    <cfRule type="expression" dxfId="94" priority="2">
      <formula>Q3="Yes"</formula>
    </cfRule>
    <cfRule type="expression" dxfId="93" priority="3">
      <formula>Q3="No"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AC7DD-CDDD-4308-A6CD-725EF679F80B}">
  <dimension ref="A1:Q16"/>
  <sheetViews>
    <sheetView topLeftCell="H1" zoomScale="68" workbookViewId="0">
      <selection activeCell="K4" sqref="K4:P4"/>
    </sheetView>
  </sheetViews>
  <sheetFormatPr defaultColWidth="8.6640625" defaultRowHeight="14.4" x14ac:dyDescent="0.3"/>
  <cols>
    <col min="1" max="1" width="15" style="1" customWidth="1"/>
    <col min="2" max="2" width="9" style="1" bestFit="1" customWidth="1"/>
    <col min="3" max="3" width="12" style="1" bestFit="1" customWidth="1"/>
    <col min="4" max="4" width="17.44140625" style="1" bestFit="1" customWidth="1"/>
    <col min="5" max="5" width="12" style="1" customWidth="1"/>
    <col min="6" max="6" width="11.5546875" style="1" customWidth="1"/>
    <col min="7" max="7" width="12.33203125" style="1" customWidth="1"/>
    <col min="8" max="8" width="12" style="1" customWidth="1"/>
    <col min="9" max="9" width="11.109375" style="1" customWidth="1"/>
    <col min="10" max="10" width="11.33203125" style="1" customWidth="1"/>
    <col min="11" max="11" width="11.44140625" style="1" customWidth="1"/>
    <col min="12" max="12" width="13.44140625" style="1" customWidth="1"/>
    <col min="13" max="13" width="11.44140625" style="1" customWidth="1"/>
    <col min="14" max="14" width="18.33203125" style="1" bestFit="1" customWidth="1"/>
    <col min="15" max="15" width="13.5546875" style="1" customWidth="1"/>
    <col min="16" max="16" width="14.5546875" style="1" customWidth="1"/>
    <col min="17" max="17" width="15" style="1" customWidth="1"/>
    <col min="18" max="16384" width="8.6640625" style="1"/>
  </cols>
  <sheetData>
    <row r="1" spans="1:17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5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</row>
    <row r="3" spans="1:17" x14ac:dyDescent="0.3">
      <c r="A3" s="7">
        <v>46103</v>
      </c>
      <c r="B3" s="4" t="s">
        <v>5</v>
      </c>
      <c r="C3" s="4" t="s">
        <v>180</v>
      </c>
      <c r="D3" s="4">
        <v>0.92</v>
      </c>
      <c r="E3" s="4">
        <v>0.92179999999999995</v>
      </c>
      <c r="F3" s="4">
        <v>1.3765000000000001</v>
      </c>
      <c r="G3" s="4">
        <v>1.8241000000000001</v>
      </c>
      <c r="H3" s="4">
        <v>3.0257000000000001</v>
      </c>
      <c r="I3" s="4">
        <v>3.6541999999999999</v>
      </c>
      <c r="J3" s="4">
        <v>4.5688000000000004</v>
      </c>
      <c r="K3" s="5">
        <f t="shared" ref="K3:K16" si="0">IF(D3=0, 0, 100*(E3 - D3*1)/(D3*1))</f>
        <v>0.19565217391303399</v>
      </c>
      <c r="L3" s="5">
        <f t="shared" ref="L3:L16" si="1">IF(D3=0, 0, 100*(F3 - D3*1.5)/(D3*1.5))</f>
        <v>-0.25362318840580134</v>
      </c>
      <c r="M3" s="5">
        <f t="shared" ref="M3:M16" si="2">IF(D3=0, 0, 100*(G3 - D3*2)/(D3*2))</f>
        <v>-0.86413043478260998</v>
      </c>
      <c r="N3" s="5">
        <f t="shared" ref="N3:N16" si="3">IF(D3=0, 0, 100*(H3 - D3*3.3)/(D3*3.3))</f>
        <v>-0.33926218708827327</v>
      </c>
      <c r="O3" s="5">
        <f t="shared" ref="O3:O16" si="4">IF(D3=0, 0, 100*(I3 - D3*4)/(D3*4))</f>
        <v>-0.70108695652174635</v>
      </c>
      <c r="P3" s="5">
        <f t="shared" ref="P3:P16" si="5">IF(D3=0, 0, 100*(J3 - D3*5)/(D3*5))</f>
        <v>-0.6782608695652198</v>
      </c>
      <c r="Q3" s="4" t="str">
        <f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>
        <v>46177</v>
      </c>
      <c r="B4" s="6"/>
      <c r="C4" s="6" t="s">
        <v>134</v>
      </c>
      <c r="D4" s="6">
        <v>0.92</v>
      </c>
      <c r="E4" s="6">
        <v>0.92169999999999996</v>
      </c>
      <c r="F4" s="17">
        <v>1.3765000000000001</v>
      </c>
      <c r="G4" s="17">
        <v>1.8239000000000001</v>
      </c>
      <c r="H4" s="6">
        <v>3.0251999999999999</v>
      </c>
      <c r="I4" s="6">
        <v>3.6549</v>
      </c>
      <c r="J4" s="6">
        <v>4.5698999999999996</v>
      </c>
      <c r="K4" s="15">
        <f t="shared" si="0"/>
        <v>0.18478260869564389</v>
      </c>
      <c r="L4" s="15">
        <f t="shared" si="1"/>
        <v>-0.25362318840580134</v>
      </c>
      <c r="M4" s="15">
        <f t="shared" si="2"/>
        <v>-0.87500000000000011</v>
      </c>
      <c r="N4" s="15">
        <f t="shared" si="3"/>
        <v>-0.35573122529644741</v>
      </c>
      <c r="O4" s="15">
        <f t="shared" si="4"/>
        <v>-0.68206521739130765</v>
      </c>
      <c r="P4" s="15">
        <f t="shared" si="5"/>
        <v>-0.65434782608697606</v>
      </c>
      <c r="Q4" s="6" t="str">
        <f>IF(AND(K4&gt;=0.11,K4&lt;=0.27,L4&gt;=-0.36,L4&lt;=-0.22,M4&gt;=-0.92,M4&lt;=-0.82,N4&gt;=-0.4,N4&lt;=-0.3,O4&gt;=-0.79,O4&lt;=-0.64,P4&gt;=-0.76,P4&lt;=-0.61), "Yes", IF(AND(K4=0,L4=0,M4=0,N4=0,O4=0,P4=0), "Ready to test", "No"))</f>
        <v>Yes</v>
      </c>
    </row>
    <row r="5" spans="1:17" x14ac:dyDescent="0.3">
      <c r="A5" s="16"/>
      <c r="B5" s="6"/>
      <c r="C5" s="6"/>
      <c r="D5" s="6"/>
      <c r="E5" s="6"/>
      <c r="F5" s="6"/>
      <c r="G5" s="6"/>
      <c r="H5" s="6"/>
      <c r="I5" s="6"/>
      <c r="J5" s="6"/>
      <c r="K5" s="15">
        <f t="shared" si="0"/>
        <v>0</v>
      </c>
      <c r="L5" s="15">
        <f t="shared" si="1"/>
        <v>0</v>
      </c>
      <c r="M5" s="15">
        <f t="shared" si="2"/>
        <v>0</v>
      </c>
      <c r="N5" s="15">
        <f t="shared" si="3"/>
        <v>0</v>
      </c>
      <c r="O5" s="15">
        <f t="shared" si="4"/>
        <v>0</v>
      </c>
      <c r="P5" s="15">
        <f t="shared" si="5"/>
        <v>0</v>
      </c>
      <c r="Q5" s="6" t="str">
        <f>IF(AND(K5&gt;=0.11,K5&lt;=0.27,L5&gt;=-0.38,L5&lt;=-0.22,M5&gt;=-0.94,M5&lt;=-0.82,N5&gt;=-0.41,N5&lt;=-0.3,O5&gt;=-0.79,O5&lt;=-0.64,P5&gt;=-0.76,P5&lt;=-0.61), "Yes", IF(AND(K5=0,L5=0,M5=0,N5=0,O5=0,P5=0), "Ready to test", "No"))</f>
        <v>Ready to test</v>
      </c>
    </row>
    <row r="6" spans="1:17" x14ac:dyDescent="0.3">
      <c r="A6" s="16"/>
      <c r="B6" s="6"/>
      <c r="C6" s="6"/>
      <c r="D6" s="6"/>
      <c r="E6" s="6"/>
      <c r="F6" s="6"/>
      <c r="G6" s="17"/>
      <c r="H6" s="6"/>
      <c r="I6" s="6"/>
      <c r="J6" s="6"/>
      <c r="K6" s="15">
        <f t="shared" si="0"/>
        <v>0</v>
      </c>
      <c r="L6" s="15">
        <f t="shared" si="1"/>
        <v>0</v>
      </c>
      <c r="M6" s="15">
        <f t="shared" si="2"/>
        <v>0</v>
      </c>
      <c r="N6" s="15">
        <f t="shared" si="3"/>
        <v>0</v>
      </c>
      <c r="O6" s="15">
        <f t="shared" si="4"/>
        <v>0</v>
      </c>
      <c r="P6" s="15">
        <f t="shared" si="5"/>
        <v>0</v>
      </c>
      <c r="Q6" s="6" t="str">
        <f t="shared" ref="Q6:Q16" si="6">IF(AND(K6&gt;=0.11,K6&lt;=0.27,L6&gt;=-0.36,L6&lt;=-0.22,M6&gt;=-0.92,M6&lt;=-0.82,N6&gt;=-0.4,N6&lt;=-0.3,O6&gt;=-0.79,O6&lt;=-0.64,P6&gt;=-0.76,P6&lt;=-0.61), "Yes", IF(AND(K6=0,L6=0,M6=0,N6=0,O6=0,P6=0), "Ready to test", "No"))</f>
        <v>Ready to test</v>
      </c>
    </row>
    <row r="7" spans="1:17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15">
        <f t="shared" si="0"/>
        <v>0</v>
      </c>
      <c r="L7" s="15">
        <f t="shared" si="1"/>
        <v>0</v>
      </c>
      <c r="M7" s="15">
        <f t="shared" si="2"/>
        <v>0</v>
      </c>
      <c r="N7" s="15">
        <f t="shared" si="3"/>
        <v>0</v>
      </c>
      <c r="O7" s="15">
        <f t="shared" si="4"/>
        <v>0</v>
      </c>
      <c r="P7" s="15">
        <f t="shared" si="5"/>
        <v>0</v>
      </c>
      <c r="Q7" s="6" t="str">
        <f t="shared" si="6"/>
        <v>Ready to test</v>
      </c>
    </row>
    <row r="8" spans="1:17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15">
        <f t="shared" si="0"/>
        <v>0</v>
      </c>
      <c r="L8" s="15">
        <f t="shared" si="1"/>
        <v>0</v>
      </c>
      <c r="M8" s="15">
        <f t="shared" si="2"/>
        <v>0</v>
      </c>
      <c r="N8" s="15">
        <f t="shared" si="3"/>
        <v>0</v>
      </c>
      <c r="O8" s="15">
        <f t="shared" si="4"/>
        <v>0</v>
      </c>
      <c r="P8" s="15">
        <f t="shared" si="5"/>
        <v>0</v>
      </c>
      <c r="Q8" s="6" t="str">
        <f t="shared" si="6"/>
        <v>Ready to test</v>
      </c>
    </row>
    <row r="9" spans="1:17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15">
        <f t="shared" si="0"/>
        <v>0</v>
      </c>
      <c r="L9" s="15">
        <f t="shared" si="1"/>
        <v>0</v>
      </c>
      <c r="M9" s="15">
        <f t="shared" si="2"/>
        <v>0</v>
      </c>
      <c r="N9" s="15">
        <f t="shared" si="3"/>
        <v>0</v>
      </c>
      <c r="O9" s="15">
        <f t="shared" si="4"/>
        <v>0</v>
      </c>
      <c r="P9" s="15">
        <f t="shared" si="5"/>
        <v>0</v>
      </c>
      <c r="Q9" s="6" t="str">
        <f t="shared" si="6"/>
        <v>Ready to test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15">
        <f t="shared" si="0"/>
        <v>0</v>
      </c>
      <c r="L10" s="15">
        <f t="shared" si="1"/>
        <v>0</v>
      </c>
      <c r="M10" s="15">
        <f t="shared" si="2"/>
        <v>0</v>
      </c>
      <c r="N10" s="15">
        <f t="shared" si="3"/>
        <v>0</v>
      </c>
      <c r="O10" s="15">
        <f t="shared" si="4"/>
        <v>0</v>
      </c>
      <c r="P10" s="15">
        <f t="shared" si="5"/>
        <v>0</v>
      </c>
      <c r="Q10" s="6" t="str">
        <f t="shared" si="6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15">
        <f t="shared" si="0"/>
        <v>0</v>
      </c>
      <c r="L11" s="15">
        <f t="shared" si="1"/>
        <v>0</v>
      </c>
      <c r="M11" s="15">
        <f t="shared" si="2"/>
        <v>0</v>
      </c>
      <c r="N11" s="15">
        <f t="shared" si="3"/>
        <v>0</v>
      </c>
      <c r="O11" s="15">
        <f t="shared" si="4"/>
        <v>0</v>
      </c>
      <c r="P11" s="15">
        <f t="shared" si="5"/>
        <v>0</v>
      </c>
      <c r="Q11" s="6" t="str">
        <f t="shared" si="6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15">
        <f t="shared" si="0"/>
        <v>0</v>
      </c>
      <c r="L12" s="15">
        <f t="shared" si="1"/>
        <v>0</v>
      </c>
      <c r="M12" s="15">
        <f t="shared" si="2"/>
        <v>0</v>
      </c>
      <c r="N12" s="15">
        <f t="shared" si="3"/>
        <v>0</v>
      </c>
      <c r="O12" s="15">
        <f t="shared" si="4"/>
        <v>0</v>
      </c>
      <c r="P12" s="15">
        <f t="shared" si="5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15">
        <f t="shared" si="0"/>
        <v>0</v>
      </c>
      <c r="L13" s="15">
        <f t="shared" si="1"/>
        <v>0</v>
      </c>
      <c r="M13" s="15">
        <f t="shared" si="2"/>
        <v>0</v>
      </c>
      <c r="N13" s="15">
        <f t="shared" si="3"/>
        <v>0</v>
      </c>
      <c r="O13" s="15">
        <f t="shared" si="4"/>
        <v>0</v>
      </c>
      <c r="P13" s="15">
        <f t="shared" si="5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15">
        <f t="shared" si="0"/>
        <v>0</v>
      </c>
      <c r="L14" s="15">
        <f t="shared" si="1"/>
        <v>0</v>
      </c>
      <c r="M14" s="15">
        <f t="shared" si="2"/>
        <v>0</v>
      </c>
      <c r="N14" s="15">
        <f t="shared" si="3"/>
        <v>0</v>
      </c>
      <c r="O14" s="15">
        <f t="shared" si="4"/>
        <v>0</v>
      </c>
      <c r="P14" s="15">
        <f t="shared" si="5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15">
        <f t="shared" si="0"/>
        <v>0</v>
      </c>
      <c r="L15" s="15">
        <f t="shared" si="1"/>
        <v>0</v>
      </c>
      <c r="M15" s="15">
        <f t="shared" si="2"/>
        <v>0</v>
      </c>
      <c r="N15" s="15">
        <f t="shared" si="3"/>
        <v>0</v>
      </c>
      <c r="O15" s="15">
        <f t="shared" si="4"/>
        <v>0</v>
      </c>
      <c r="P15" s="15">
        <f t="shared" si="5"/>
        <v>0</v>
      </c>
      <c r="Q15" s="6" t="str">
        <f t="shared" si="6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15">
        <f t="shared" si="0"/>
        <v>0</v>
      </c>
      <c r="L16" s="15">
        <f t="shared" si="1"/>
        <v>0</v>
      </c>
      <c r="M16" s="15">
        <f t="shared" si="2"/>
        <v>0</v>
      </c>
      <c r="N16" s="15">
        <f t="shared" si="3"/>
        <v>0</v>
      </c>
      <c r="O16" s="15">
        <f t="shared" si="4"/>
        <v>0</v>
      </c>
      <c r="P16" s="15">
        <f t="shared" si="5"/>
        <v>0</v>
      </c>
      <c r="Q16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6">
    <cfRule type="expression" dxfId="92" priority="1">
      <formula>Q3="Alert"</formula>
    </cfRule>
    <cfRule type="expression" dxfId="91" priority="2">
      <formula>Q3="Yes"</formula>
    </cfRule>
    <cfRule type="expression" dxfId="90" priority="3">
      <formula>Q3="No"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1F136-2026-4F2B-88AF-8CBB1EBD8FB5}">
  <dimension ref="A1:Q16"/>
  <sheetViews>
    <sheetView zoomScale="77" workbookViewId="0">
      <selection activeCell="D4" sqref="A4:D4"/>
    </sheetView>
  </sheetViews>
  <sheetFormatPr defaultColWidth="8.6640625" defaultRowHeight="14.4" x14ac:dyDescent="0.3"/>
  <cols>
    <col min="1" max="1" width="15" style="1" customWidth="1"/>
    <col min="2" max="2" width="9" style="1" bestFit="1" customWidth="1"/>
    <col min="3" max="3" width="12" style="1" bestFit="1" customWidth="1"/>
    <col min="4" max="4" width="17.44140625" style="1" bestFit="1" customWidth="1"/>
    <col min="5" max="5" width="12" style="1" customWidth="1"/>
    <col min="6" max="6" width="11.5546875" style="1" customWidth="1"/>
    <col min="7" max="7" width="12.33203125" style="1" customWidth="1"/>
    <col min="8" max="8" width="12" style="1" customWidth="1"/>
    <col min="9" max="9" width="11.109375" style="1" customWidth="1"/>
    <col min="10" max="10" width="11.33203125" style="1" customWidth="1"/>
    <col min="11" max="11" width="11.44140625" style="1" customWidth="1"/>
    <col min="12" max="12" width="13.44140625" style="1" customWidth="1"/>
    <col min="13" max="13" width="11.44140625" style="1" customWidth="1"/>
    <col min="14" max="14" width="18.33203125" style="1" bestFit="1" customWidth="1"/>
    <col min="15" max="15" width="13.5546875" style="1" customWidth="1"/>
    <col min="16" max="16" width="14.5546875" style="1" customWidth="1"/>
    <col min="17" max="17" width="12.88671875" style="1" customWidth="1"/>
    <col min="18" max="16384" width="8.6640625" style="1"/>
  </cols>
  <sheetData>
    <row r="1" spans="1:17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5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</row>
    <row r="3" spans="1:17" x14ac:dyDescent="0.3">
      <c r="A3" s="7">
        <v>46103</v>
      </c>
      <c r="B3" s="4" t="s">
        <v>5</v>
      </c>
      <c r="C3" s="4" t="s">
        <v>180</v>
      </c>
      <c r="D3" s="4">
        <v>0.92</v>
      </c>
      <c r="E3" s="4">
        <v>0.92200000000000004</v>
      </c>
      <c r="F3" s="4">
        <v>1.3765000000000001</v>
      </c>
      <c r="G3" s="4">
        <v>1.8245</v>
      </c>
      <c r="H3" s="4">
        <v>3.0263</v>
      </c>
      <c r="I3" s="4">
        <v>3.6556999999999999</v>
      </c>
      <c r="J3" s="4">
        <v>4.57</v>
      </c>
      <c r="K3" s="5">
        <f>IF(D3=0, 0, 100*(E3 - D3*1)/(D3*1))</f>
        <v>0.21739130434782628</v>
      </c>
      <c r="L3" s="5">
        <f>IF(D3=0, 0, 100*(F3 - D3*1.5)/(D3*1.5))</f>
        <v>-0.25362318840580134</v>
      </c>
      <c r="M3" s="5">
        <f>IF(D3=0, 0, 100*(G3 - D3*2)/(D3*2))</f>
        <v>-0.84239130434782983</v>
      </c>
      <c r="N3" s="5">
        <f>IF(D3=0, 0, 100*(H3 - D3*3.3)/(D3*3.3))</f>
        <v>-0.31949934123847307</v>
      </c>
      <c r="O3" s="5">
        <f>IF(D3=0, 0, 100*(I3 - D3*4)/(D3*4))</f>
        <v>-0.66032608695652739</v>
      </c>
      <c r="P3" s="5">
        <f>IF(D3=0, 0, 100*(J3 - D3*5)/(D3*5))</f>
        <v>-0.6521739130434836</v>
      </c>
      <c r="Q3" s="4" t="str">
        <f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E4" s="6"/>
      <c r="F4" s="6"/>
      <c r="G4" s="17"/>
      <c r="H4" s="6"/>
      <c r="I4" s="6"/>
      <c r="J4" s="6"/>
      <c r="K4" s="15">
        <f>IF('6-4'!D4=0, 0, 100*(E4 - '6-4'!D4*1)/('6-4'!D4*1))</f>
        <v>-100</v>
      </c>
      <c r="L4" s="15">
        <f>IF('6-4'!D4=0, 0, 100*(F4 - '6-4'!D4*1.5)/('6-4'!D4*1.5))</f>
        <v>-99.999999999999986</v>
      </c>
      <c r="M4" s="15">
        <f>IF('6-4'!D4=0, 0, 100*(G4 - '6-4'!D4*2)/('6-4'!D4*2))</f>
        <v>-100</v>
      </c>
      <c r="N4" s="15">
        <f>IF('6-4'!D4=0, 0, 100*(H4 - '6-4'!D4*3.3)/('6-4'!D4*3.3))</f>
        <v>-100</v>
      </c>
      <c r="O4" s="15">
        <f>IF('6-4'!D4=0, 0, 100*(I4 - '6-4'!D4*4)/('6-4'!D4*4))</f>
        <v>-100</v>
      </c>
      <c r="P4" s="15">
        <f>IF('6-4'!D4=0, 0, 100*(J4 - '6-4'!D4*5)/('6-4'!D4*5))</f>
        <v>-100</v>
      </c>
      <c r="Q4" s="6" t="str">
        <f>IF(AND(K4&gt;=0.11,K4&lt;=0.27,L4&gt;=-0.36,L4&lt;=-0.22,M4&gt;=-0.92,M4&lt;=-0.82,N4&gt;=-0.4,N4&lt;=-0.3,O4&gt;=-0.79,O4&lt;=-0.64,P4&gt;=-0.76,P4&lt;=-0.61), "Yes", IF(AND(K4=0,L4=0,M4=0,N4=0,O4=0,P4=0), "Ready to test", "No"))</f>
        <v>No</v>
      </c>
    </row>
    <row r="5" spans="1:17" x14ac:dyDescent="0.3">
      <c r="A5" s="16"/>
      <c r="B5" s="6"/>
      <c r="C5" s="6"/>
      <c r="D5" s="6"/>
      <c r="E5" s="6"/>
      <c r="F5" s="6"/>
      <c r="G5" s="6"/>
      <c r="H5" s="6"/>
      <c r="I5" s="6"/>
      <c r="J5" s="6"/>
      <c r="K5" s="15">
        <f t="shared" ref="K5:K16" si="0">IF(D5=0, 0, 100*(E5 - D5*1)/(D5*1))</f>
        <v>0</v>
      </c>
      <c r="L5" s="15">
        <f t="shared" ref="L5:L16" si="1">IF(D5=0, 0, 100*(F5 - D5*1.5)/(D5*1.5))</f>
        <v>0</v>
      </c>
      <c r="M5" s="15">
        <f t="shared" ref="M5:M16" si="2">IF(D5=0, 0, 100*(G5 - D5*2)/(D5*2))</f>
        <v>0</v>
      </c>
      <c r="N5" s="15">
        <f t="shared" ref="N5:N16" si="3">IF(D5=0, 0, 100*(H5 - D5*3.3)/(D5*3.3))</f>
        <v>0</v>
      </c>
      <c r="O5" s="15">
        <f t="shared" ref="O5:O16" si="4">IF(D5=0, 0, 100*(I5 - D5*4)/(D5*4))</f>
        <v>0</v>
      </c>
      <c r="P5" s="15">
        <f t="shared" ref="P5:P16" si="5">IF(D5=0, 0, 100*(J5 - D5*5)/(D5*5))</f>
        <v>0</v>
      </c>
      <c r="Q5" s="6" t="str">
        <f>IF(AND(K5&gt;=0.11,K5&lt;=0.27,L5&gt;=-0.38,L5&lt;=-0.22,M5&gt;=-0.94,M5&lt;=-0.82,N5&gt;=-0.41,N5&lt;=-0.3,O5&gt;=-0.79,O5&lt;=-0.64,P5&gt;=-0.76,P5&lt;=-0.61), "Yes", IF(AND(K5=0,L5=0,M5=0,N5=0,O5=0,P5=0), "Ready to test", "No"))</f>
        <v>Ready to test</v>
      </c>
    </row>
    <row r="6" spans="1:17" x14ac:dyDescent="0.3">
      <c r="A6" s="16"/>
      <c r="B6" s="6"/>
      <c r="C6" s="6"/>
      <c r="D6" s="6"/>
      <c r="E6" s="6"/>
      <c r="F6" s="6"/>
      <c r="G6" s="17"/>
      <c r="H6" s="6"/>
      <c r="I6" s="6"/>
      <c r="J6" s="6"/>
      <c r="K6" s="15">
        <f t="shared" si="0"/>
        <v>0</v>
      </c>
      <c r="L6" s="15">
        <f t="shared" si="1"/>
        <v>0</v>
      </c>
      <c r="M6" s="15">
        <f t="shared" si="2"/>
        <v>0</v>
      </c>
      <c r="N6" s="15">
        <f t="shared" si="3"/>
        <v>0</v>
      </c>
      <c r="O6" s="15">
        <f t="shared" si="4"/>
        <v>0</v>
      </c>
      <c r="P6" s="15">
        <f t="shared" si="5"/>
        <v>0</v>
      </c>
      <c r="Q6" s="6" t="str">
        <f t="shared" ref="Q6:Q16" si="6">IF(AND(K6&gt;=0.11,K6&lt;=0.27,L6&gt;=-0.36,L6&lt;=-0.22,M6&gt;=-0.92,M6&lt;=-0.82,N6&gt;=-0.4,N6&lt;=-0.3,O6&gt;=-0.79,O6&lt;=-0.64,P6&gt;=-0.76,P6&lt;=-0.61), "Yes", IF(AND(K6=0,L6=0,M6=0,N6=0,O6=0,P6=0), "Ready to test", "No"))</f>
        <v>Ready to test</v>
      </c>
    </row>
    <row r="7" spans="1:17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15">
        <f t="shared" si="0"/>
        <v>0</v>
      </c>
      <c r="L7" s="15">
        <f t="shared" si="1"/>
        <v>0</v>
      </c>
      <c r="M7" s="15">
        <f t="shared" si="2"/>
        <v>0</v>
      </c>
      <c r="N7" s="15">
        <f t="shared" si="3"/>
        <v>0</v>
      </c>
      <c r="O7" s="15">
        <f t="shared" si="4"/>
        <v>0</v>
      </c>
      <c r="P7" s="15">
        <f t="shared" si="5"/>
        <v>0</v>
      </c>
      <c r="Q7" s="6" t="str">
        <f t="shared" si="6"/>
        <v>Ready to test</v>
      </c>
    </row>
    <row r="8" spans="1:17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15">
        <f t="shared" si="0"/>
        <v>0</v>
      </c>
      <c r="L8" s="15">
        <f t="shared" si="1"/>
        <v>0</v>
      </c>
      <c r="M8" s="15">
        <f t="shared" si="2"/>
        <v>0</v>
      </c>
      <c r="N8" s="15">
        <f t="shared" si="3"/>
        <v>0</v>
      </c>
      <c r="O8" s="15">
        <f t="shared" si="4"/>
        <v>0</v>
      </c>
      <c r="P8" s="15">
        <f t="shared" si="5"/>
        <v>0</v>
      </c>
      <c r="Q8" s="6" t="str">
        <f t="shared" si="6"/>
        <v>Ready to test</v>
      </c>
    </row>
    <row r="9" spans="1:17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15">
        <f t="shared" si="0"/>
        <v>0</v>
      </c>
      <c r="L9" s="15">
        <f t="shared" si="1"/>
        <v>0</v>
      </c>
      <c r="M9" s="15">
        <f t="shared" si="2"/>
        <v>0</v>
      </c>
      <c r="N9" s="15">
        <f t="shared" si="3"/>
        <v>0</v>
      </c>
      <c r="O9" s="15">
        <f t="shared" si="4"/>
        <v>0</v>
      </c>
      <c r="P9" s="15">
        <f t="shared" si="5"/>
        <v>0</v>
      </c>
      <c r="Q9" s="6" t="str">
        <f t="shared" si="6"/>
        <v>Ready to test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15">
        <f t="shared" si="0"/>
        <v>0</v>
      </c>
      <c r="L10" s="15">
        <f t="shared" si="1"/>
        <v>0</v>
      </c>
      <c r="M10" s="15">
        <f t="shared" si="2"/>
        <v>0</v>
      </c>
      <c r="N10" s="15">
        <f t="shared" si="3"/>
        <v>0</v>
      </c>
      <c r="O10" s="15">
        <f t="shared" si="4"/>
        <v>0</v>
      </c>
      <c r="P10" s="15">
        <f t="shared" si="5"/>
        <v>0</v>
      </c>
      <c r="Q10" s="6" t="str">
        <f t="shared" si="6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15">
        <f t="shared" si="0"/>
        <v>0</v>
      </c>
      <c r="L11" s="15">
        <f t="shared" si="1"/>
        <v>0</v>
      </c>
      <c r="M11" s="15">
        <f t="shared" si="2"/>
        <v>0</v>
      </c>
      <c r="N11" s="15">
        <f t="shared" si="3"/>
        <v>0</v>
      </c>
      <c r="O11" s="15">
        <f t="shared" si="4"/>
        <v>0</v>
      </c>
      <c r="P11" s="15">
        <f t="shared" si="5"/>
        <v>0</v>
      </c>
      <c r="Q11" s="6" t="str">
        <f t="shared" si="6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15">
        <f t="shared" si="0"/>
        <v>0</v>
      </c>
      <c r="L12" s="15">
        <f t="shared" si="1"/>
        <v>0</v>
      </c>
      <c r="M12" s="15">
        <f t="shared" si="2"/>
        <v>0</v>
      </c>
      <c r="N12" s="15">
        <f t="shared" si="3"/>
        <v>0</v>
      </c>
      <c r="O12" s="15">
        <f t="shared" si="4"/>
        <v>0</v>
      </c>
      <c r="P12" s="15">
        <f t="shared" si="5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15">
        <f t="shared" si="0"/>
        <v>0</v>
      </c>
      <c r="L13" s="15">
        <f t="shared" si="1"/>
        <v>0</v>
      </c>
      <c r="M13" s="15">
        <f t="shared" si="2"/>
        <v>0</v>
      </c>
      <c r="N13" s="15">
        <f t="shared" si="3"/>
        <v>0</v>
      </c>
      <c r="O13" s="15">
        <f t="shared" si="4"/>
        <v>0</v>
      </c>
      <c r="P13" s="15">
        <f t="shared" si="5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15">
        <f t="shared" si="0"/>
        <v>0</v>
      </c>
      <c r="L14" s="15">
        <f t="shared" si="1"/>
        <v>0</v>
      </c>
      <c r="M14" s="15">
        <f t="shared" si="2"/>
        <v>0</v>
      </c>
      <c r="N14" s="15">
        <f t="shared" si="3"/>
        <v>0</v>
      </c>
      <c r="O14" s="15">
        <f t="shared" si="4"/>
        <v>0</v>
      </c>
      <c r="P14" s="15">
        <f t="shared" si="5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15">
        <f t="shared" si="0"/>
        <v>0</v>
      </c>
      <c r="L15" s="15">
        <f t="shared" si="1"/>
        <v>0</v>
      </c>
      <c r="M15" s="15">
        <f t="shared" si="2"/>
        <v>0</v>
      </c>
      <c r="N15" s="15">
        <f t="shared" si="3"/>
        <v>0</v>
      </c>
      <c r="O15" s="15">
        <f t="shared" si="4"/>
        <v>0</v>
      </c>
      <c r="P15" s="15">
        <f t="shared" si="5"/>
        <v>0</v>
      </c>
      <c r="Q15" s="6" t="str">
        <f t="shared" si="6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15">
        <f t="shared" si="0"/>
        <v>0</v>
      </c>
      <c r="L16" s="15">
        <f t="shared" si="1"/>
        <v>0</v>
      </c>
      <c r="M16" s="15">
        <f t="shared" si="2"/>
        <v>0</v>
      </c>
      <c r="N16" s="15">
        <f t="shared" si="3"/>
        <v>0</v>
      </c>
      <c r="O16" s="15">
        <f t="shared" si="4"/>
        <v>0</v>
      </c>
      <c r="P16" s="15">
        <f t="shared" si="5"/>
        <v>0</v>
      </c>
      <c r="Q16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6">
    <cfRule type="expression" dxfId="89" priority="1">
      <formula>Q3="Alert"</formula>
    </cfRule>
    <cfRule type="expression" dxfId="88" priority="2">
      <formula>Q3="Yes"</formula>
    </cfRule>
    <cfRule type="expression" dxfId="87" priority="3">
      <formula>Q3="No"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3D0B4-09F3-409D-B6DC-4F5AE0E18458}">
  <dimension ref="A1:Q16"/>
  <sheetViews>
    <sheetView workbookViewId="0">
      <selection activeCell="A4" sqref="A4:D4"/>
    </sheetView>
  </sheetViews>
  <sheetFormatPr defaultColWidth="8.6640625" defaultRowHeight="14.4" x14ac:dyDescent="0.3"/>
  <cols>
    <col min="1" max="1" width="15" style="1" customWidth="1"/>
    <col min="2" max="2" width="9" style="1" bestFit="1" customWidth="1"/>
    <col min="3" max="3" width="12" style="1" bestFit="1" customWidth="1"/>
    <col min="4" max="4" width="17.44140625" style="1" bestFit="1" customWidth="1"/>
    <col min="5" max="5" width="12" style="1" customWidth="1"/>
    <col min="6" max="6" width="11.5546875" style="1" customWidth="1"/>
    <col min="7" max="7" width="12.33203125" style="1" customWidth="1"/>
    <col min="8" max="8" width="12" style="1" customWidth="1"/>
    <col min="9" max="9" width="11.109375" style="1" customWidth="1"/>
    <col min="10" max="10" width="11.33203125" style="1" customWidth="1"/>
    <col min="11" max="11" width="11.44140625" style="1" customWidth="1"/>
    <col min="12" max="12" width="13.44140625" style="1" customWidth="1"/>
    <col min="13" max="13" width="11.44140625" style="1" customWidth="1"/>
    <col min="14" max="14" width="18.33203125" style="1" bestFit="1" customWidth="1"/>
    <col min="15" max="15" width="13.5546875" style="1" customWidth="1"/>
    <col min="16" max="16" width="14.5546875" style="1" customWidth="1"/>
    <col min="17" max="17" width="12.88671875" style="1" customWidth="1"/>
    <col min="18" max="16384" width="8.6640625" style="1"/>
  </cols>
  <sheetData>
    <row r="1" spans="1:17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5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</row>
    <row r="3" spans="1:17" x14ac:dyDescent="0.3">
      <c r="A3" s="7">
        <v>46103</v>
      </c>
      <c r="B3" s="4" t="s">
        <v>5</v>
      </c>
      <c r="C3" s="4" t="s">
        <v>180</v>
      </c>
      <c r="D3" s="4">
        <v>0.92</v>
      </c>
      <c r="E3" s="4">
        <v>0.92190000000000005</v>
      </c>
      <c r="F3" s="4">
        <v>1.3766</v>
      </c>
      <c r="G3" s="4">
        <v>1.8244</v>
      </c>
      <c r="H3" s="4">
        <v>3.0261999999999998</v>
      </c>
      <c r="I3" s="4">
        <v>3.6556999999999999</v>
      </c>
      <c r="J3" s="4">
        <v>4.5697999999999999</v>
      </c>
      <c r="K3" s="5">
        <f t="shared" ref="K3:K16" si="0">IF(D3=0, 0, 100*(E3 - D3*1)/(D3*1))</f>
        <v>0.20652173913043617</v>
      </c>
      <c r="L3" s="5">
        <f t="shared" ref="L3:L16" si="1">IF(D3=0, 0, 100*(F3 - D3*1.5)/(D3*1.5))</f>
        <v>-0.24637681159420793</v>
      </c>
      <c r="M3" s="5">
        <f t="shared" ref="M3:M16" si="2">IF(D3=0, 0, 100*(G3 - D3*2)/(D3*2))</f>
        <v>-0.84782608695652484</v>
      </c>
      <c r="N3" s="5">
        <f t="shared" ref="N3:N16" si="3">IF(D3=0, 0, 100*(H3 - D3*3.3)/(D3*3.3))</f>
        <v>-0.32279314888011373</v>
      </c>
      <c r="O3" s="5">
        <f t="shared" ref="O3:O16" si="4">IF(D3=0, 0, 100*(I3 - D3*4)/(D3*4))</f>
        <v>-0.66032608695652739</v>
      </c>
      <c r="P3" s="5">
        <f t="shared" ref="P3:P16" si="5">IF(D3=0, 0, 100*(J3 - D3*5)/(D3*5))</f>
        <v>-0.65652173913044931</v>
      </c>
      <c r="Q3" s="4" t="str">
        <f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>
        <v>46178</v>
      </c>
      <c r="B4" s="6" t="s">
        <v>119</v>
      </c>
      <c r="C4" s="4" t="s">
        <v>120</v>
      </c>
      <c r="D4" s="4">
        <v>0.92</v>
      </c>
      <c r="E4" s="6">
        <v>0.92190000000000005</v>
      </c>
      <c r="F4" s="6">
        <v>1.3761000000000001</v>
      </c>
      <c r="G4" s="17">
        <v>1.8242</v>
      </c>
      <c r="H4" s="6">
        <v>3.0257999999999998</v>
      </c>
      <c r="I4" s="6">
        <v>3.6551</v>
      </c>
      <c r="J4" s="6">
        <v>4.5697000000000001</v>
      </c>
      <c r="K4" s="5">
        <f t="shared" ref="K4:K5" si="6">IF(D4=0, 0, 100*(E4 - D4*1)/(D4*1))</f>
        <v>0.20652173913043617</v>
      </c>
      <c r="L4" s="5">
        <f t="shared" ref="L4:L5" si="7">IF(D4=0, 0, 100*(F4 - D4*1.5)/(D4*1.5))</f>
        <v>-0.28260869565217495</v>
      </c>
      <c r="M4" s="5">
        <f t="shared" ref="M4:M5" si="8">IF(D4=0, 0, 100*(G4 - D4*2)/(D4*2))</f>
        <v>-0.85869565217391497</v>
      </c>
      <c r="N4" s="5">
        <f t="shared" ref="N4:N5" si="9">IF(D4=0, 0, 100*(H4 - D4*3.3)/(D4*3.3))</f>
        <v>-0.3359683794466472</v>
      </c>
      <c r="O4" s="5">
        <f t="shared" ref="O4:O5" si="10">IF(D4=0, 0, 100*(I4 - D4*4)/(D4*4))</f>
        <v>-0.67663043478261253</v>
      </c>
      <c r="P4" s="5">
        <f t="shared" ref="P4:P5" si="11">IF(D4=0, 0, 100*(J4 - D4*5)/(D4*5))</f>
        <v>-0.65869565217392245</v>
      </c>
      <c r="Q4" s="6" t="str">
        <f>IF(AND(K4&gt;=0.11,K4&lt;=0.27,L4&gt;=-0.36,L4&lt;=-0.22,M4&gt;=-0.92,M4&lt;=-0.82,N4&gt;=-0.4,N4&lt;=-0.3,O4&gt;=-0.79,O4&lt;=-0.64,P4&gt;=-0.76,P4&lt;=-0.61), "Yes", IF(AND(K4=0,L4=0,M4=0,N4=0,O4=0,P4=0), "Ready to test", "No"))</f>
        <v>Yes</v>
      </c>
    </row>
    <row r="5" spans="1:17" x14ac:dyDescent="0.3">
      <c r="A5" s="16"/>
      <c r="B5" s="6"/>
      <c r="C5" s="6"/>
      <c r="D5" s="6"/>
      <c r="E5" s="6"/>
      <c r="F5" s="6"/>
      <c r="G5" s="6"/>
      <c r="H5" s="6"/>
      <c r="I5" s="6"/>
      <c r="J5" s="6"/>
      <c r="K5" s="5">
        <f t="shared" si="6"/>
        <v>0</v>
      </c>
      <c r="L5" s="5">
        <f t="shared" si="7"/>
        <v>0</v>
      </c>
      <c r="M5" s="5">
        <f t="shared" si="8"/>
        <v>0</v>
      </c>
      <c r="N5" s="5">
        <f t="shared" si="9"/>
        <v>0</v>
      </c>
      <c r="O5" s="5">
        <f t="shared" si="10"/>
        <v>0</v>
      </c>
      <c r="P5" s="5">
        <f t="shared" si="11"/>
        <v>0</v>
      </c>
      <c r="Q5" s="6" t="str">
        <f>IF(AND(K5&gt;=0.11,K5&lt;=0.27,L5&gt;=-0.38,L5&lt;=-0.22,M5&gt;=-0.94,M5&lt;=-0.82,N5&gt;=-0.41,N5&lt;=-0.3,O5&gt;=-0.79,O5&lt;=-0.64,P5&gt;=-0.76,P5&lt;=-0.61), "Yes", IF(AND(K5=0,L5=0,M5=0,N5=0,O5=0,P5=0), "Ready to test", "No"))</f>
        <v>Ready to test</v>
      </c>
    </row>
    <row r="6" spans="1:17" x14ac:dyDescent="0.3">
      <c r="A6" s="16"/>
      <c r="B6" s="6"/>
      <c r="C6" s="6"/>
      <c r="D6" s="6"/>
      <c r="E6" s="6"/>
      <c r="F6" s="6"/>
      <c r="G6" s="17"/>
      <c r="H6" s="6"/>
      <c r="I6" s="6"/>
      <c r="J6" s="6"/>
      <c r="K6" s="15">
        <f t="shared" si="0"/>
        <v>0</v>
      </c>
      <c r="L6" s="15">
        <f t="shared" si="1"/>
        <v>0</v>
      </c>
      <c r="M6" s="15">
        <f t="shared" si="2"/>
        <v>0</v>
      </c>
      <c r="N6" s="15">
        <f t="shared" si="3"/>
        <v>0</v>
      </c>
      <c r="O6" s="15">
        <f t="shared" si="4"/>
        <v>0</v>
      </c>
      <c r="P6" s="15">
        <f t="shared" si="5"/>
        <v>0</v>
      </c>
      <c r="Q6" s="6" t="str">
        <f t="shared" ref="Q6:Q16" si="12">IF(AND(K6&gt;=0.11,K6&lt;=0.27,L6&gt;=-0.36,L6&lt;=-0.22,M6&gt;=-0.92,M6&lt;=-0.82,N6&gt;=-0.4,N6&lt;=-0.3,O6&gt;=-0.79,O6&lt;=-0.64,P6&gt;=-0.76,P6&lt;=-0.61), "Yes", IF(AND(K6=0,L6=0,M6=0,N6=0,O6=0,P6=0), "Ready to test", "No"))</f>
        <v>Ready to test</v>
      </c>
    </row>
    <row r="7" spans="1:17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15">
        <f t="shared" si="0"/>
        <v>0</v>
      </c>
      <c r="L7" s="15">
        <f t="shared" si="1"/>
        <v>0</v>
      </c>
      <c r="M7" s="15">
        <f t="shared" si="2"/>
        <v>0</v>
      </c>
      <c r="N7" s="15">
        <f t="shared" si="3"/>
        <v>0</v>
      </c>
      <c r="O7" s="15">
        <f t="shared" si="4"/>
        <v>0</v>
      </c>
      <c r="P7" s="15">
        <f t="shared" si="5"/>
        <v>0</v>
      </c>
      <c r="Q7" s="6" t="str">
        <f t="shared" si="12"/>
        <v>Ready to test</v>
      </c>
    </row>
    <row r="8" spans="1:17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15">
        <f t="shared" si="0"/>
        <v>0</v>
      </c>
      <c r="L8" s="15">
        <f t="shared" si="1"/>
        <v>0</v>
      </c>
      <c r="M8" s="15">
        <f t="shared" si="2"/>
        <v>0</v>
      </c>
      <c r="N8" s="15">
        <f t="shared" si="3"/>
        <v>0</v>
      </c>
      <c r="O8" s="15">
        <f t="shared" si="4"/>
        <v>0</v>
      </c>
      <c r="P8" s="15">
        <f t="shared" si="5"/>
        <v>0</v>
      </c>
      <c r="Q8" s="6" t="str">
        <f t="shared" si="12"/>
        <v>Ready to test</v>
      </c>
    </row>
    <row r="9" spans="1:17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15">
        <f t="shared" si="0"/>
        <v>0</v>
      </c>
      <c r="L9" s="15">
        <f t="shared" si="1"/>
        <v>0</v>
      </c>
      <c r="M9" s="15">
        <f t="shared" si="2"/>
        <v>0</v>
      </c>
      <c r="N9" s="15">
        <f t="shared" si="3"/>
        <v>0</v>
      </c>
      <c r="O9" s="15">
        <f t="shared" si="4"/>
        <v>0</v>
      </c>
      <c r="P9" s="15">
        <f t="shared" si="5"/>
        <v>0</v>
      </c>
      <c r="Q9" s="6" t="str">
        <f t="shared" si="12"/>
        <v>Ready to test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15">
        <f t="shared" si="0"/>
        <v>0</v>
      </c>
      <c r="L10" s="15">
        <f t="shared" si="1"/>
        <v>0</v>
      </c>
      <c r="M10" s="15">
        <f t="shared" si="2"/>
        <v>0</v>
      </c>
      <c r="N10" s="15">
        <f t="shared" si="3"/>
        <v>0</v>
      </c>
      <c r="O10" s="15">
        <f t="shared" si="4"/>
        <v>0</v>
      </c>
      <c r="P10" s="15">
        <f t="shared" si="5"/>
        <v>0</v>
      </c>
      <c r="Q10" s="6" t="str">
        <f t="shared" si="12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15">
        <f t="shared" si="0"/>
        <v>0</v>
      </c>
      <c r="L11" s="15">
        <f t="shared" si="1"/>
        <v>0</v>
      </c>
      <c r="M11" s="15">
        <f t="shared" si="2"/>
        <v>0</v>
      </c>
      <c r="N11" s="15">
        <f t="shared" si="3"/>
        <v>0</v>
      </c>
      <c r="O11" s="15">
        <f t="shared" si="4"/>
        <v>0</v>
      </c>
      <c r="P11" s="15">
        <f t="shared" si="5"/>
        <v>0</v>
      </c>
      <c r="Q11" s="6" t="str">
        <f t="shared" si="12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15">
        <f t="shared" si="0"/>
        <v>0</v>
      </c>
      <c r="L12" s="15">
        <f t="shared" si="1"/>
        <v>0</v>
      </c>
      <c r="M12" s="15">
        <f t="shared" si="2"/>
        <v>0</v>
      </c>
      <c r="N12" s="15">
        <f t="shared" si="3"/>
        <v>0</v>
      </c>
      <c r="O12" s="15">
        <f t="shared" si="4"/>
        <v>0</v>
      </c>
      <c r="P12" s="15">
        <f t="shared" si="5"/>
        <v>0</v>
      </c>
      <c r="Q12" s="6" t="str">
        <f t="shared" si="12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15">
        <f t="shared" si="0"/>
        <v>0</v>
      </c>
      <c r="L13" s="15">
        <f t="shared" si="1"/>
        <v>0</v>
      </c>
      <c r="M13" s="15">
        <f t="shared" si="2"/>
        <v>0</v>
      </c>
      <c r="N13" s="15">
        <f t="shared" si="3"/>
        <v>0</v>
      </c>
      <c r="O13" s="15">
        <f t="shared" si="4"/>
        <v>0</v>
      </c>
      <c r="P13" s="15">
        <f t="shared" si="5"/>
        <v>0</v>
      </c>
      <c r="Q13" s="6" t="str">
        <f t="shared" si="12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15">
        <f t="shared" si="0"/>
        <v>0</v>
      </c>
      <c r="L14" s="15">
        <f t="shared" si="1"/>
        <v>0</v>
      </c>
      <c r="M14" s="15">
        <f t="shared" si="2"/>
        <v>0</v>
      </c>
      <c r="N14" s="15">
        <f t="shared" si="3"/>
        <v>0</v>
      </c>
      <c r="O14" s="15">
        <f t="shared" si="4"/>
        <v>0</v>
      </c>
      <c r="P14" s="15">
        <f t="shared" si="5"/>
        <v>0</v>
      </c>
      <c r="Q14" s="6" t="str">
        <f t="shared" si="12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15">
        <f t="shared" si="0"/>
        <v>0</v>
      </c>
      <c r="L15" s="15">
        <f t="shared" si="1"/>
        <v>0</v>
      </c>
      <c r="M15" s="15">
        <f t="shared" si="2"/>
        <v>0</v>
      </c>
      <c r="N15" s="15">
        <f t="shared" si="3"/>
        <v>0</v>
      </c>
      <c r="O15" s="15">
        <f t="shared" si="4"/>
        <v>0</v>
      </c>
      <c r="P15" s="15">
        <f t="shared" si="5"/>
        <v>0</v>
      </c>
      <c r="Q15" s="6" t="str">
        <f t="shared" si="12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15">
        <f t="shared" si="0"/>
        <v>0</v>
      </c>
      <c r="L16" s="15">
        <f t="shared" si="1"/>
        <v>0</v>
      </c>
      <c r="M16" s="15">
        <f t="shared" si="2"/>
        <v>0</v>
      </c>
      <c r="N16" s="15">
        <f t="shared" si="3"/>
        <v>0</v>
      </c>
      <c r="O16" s="15">
        <f t="shared" si="4"/>
        <v>0</v>
      </c>
      <c r="P16" s="15">
        <f t="shared" si="5"/>
        <v>0</v>
      </c>
      <c r="Q16" s="6" t="str">
        <f t="shared" si="12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6">
    <cfRule type="expression" dxfId="86" priority="1">
      <formula>Q3="Alert"</formula>
    </cfRule>
    <cfRule type="expression" dxfId="85" priority="2">
      <formula>Q3="Yes"</formula>
    </cfRule>
    <cfRule type="expression" dxfId="84" priority="3">
      <formula>Q3="No"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F26ED-26CB-4289-B6C3-7EF89D8D8264}">
  <dimension ref="A1:Q16"/>
  <sheetViews>
    <sheetView workbookViewId="0">
      <selection activeCell="K4" sqref="K4:P4"/>
    </sheetView>
  </sheetViews>
  <sheetFormatPr defaultColWidth="8.6640625" defaultRowHeight="14.4" x14ac:dyDescent="0.3"/>
  <cols>
    <col min="1" max="1" width="15" style="1" customWidth="1"/>
    <col min="2" max="2" width="9" style="1" bestFit="1" customWidth="1"/>
    <col min="3" max="3" width="12" style="1" bestFit="1" customWidth="1"/>
    <col min="4" max="4" width="17.44140625" style="1" bestFit="1" customWidth="1"/>
    <col min="5" max="5" width="12" style="1" customWidth="1"/>
    <col min="6" max="6" width="11.5546875" style="1" customWidth="1"/>
    <col min="7" max="7" width="12.33203125" style="1" customWidth="1"/>
    <col min="8" max="8" width="12" style="1" customWidth="1"/>
    <col min="9" max="9" width="11.109375" style="1" customWidth="1"/>
    <col min="10" max="10" width="11.33203125" style="1" customWidth="1"/>
    <col min="11" max="11" width="11.44140625" style="1" customWidth="1"/>
    <col min="12" max="12" width="13.44140625" style="1" customWidth="1"/>
    <col min="13" max="13" width="11.44140625" style="1" customWidth="1"/>
    <col min="14" max="14" width="18.33203125" style="1" bestFit="1" customWidth="1"/>
    <col min="15" max="15" width="13.5546875" style="1" customWidth="1"/>
    <col min="16" max="16" width="14.5546875" style="1" customWidth="1"/>
    <col min="17" max="17" width="12.88671875" style="1" customWidth="1"/>
    <col min="18" max="16384" width="8.6640625" style="1"/>
  </cols>
  <sheetData>
    <row r="1" spans="1:17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5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</row>
    <row r="3" spans="1:17" x14ac:dyDescent="0.3">
      <c r="A3" s="7">
        <v>46103</v>
      </c>
      <c r="B3" s="4" t="s">
        <v>5</v>
      </c>
      <c r="C3" s="4" t="s">
        <v>180</v>
      </c>
      <c r="D3" s="4">
        <v>0.92</v>
      </c>
      <c r="E3" s="4">
        <v>0.92179999999999995</v>
      </c>
      <c r="F3" s="4">
        <v>1.3764000000000001</v>
      </c>
      <c r="G3" s="4">
        <v>1.8242</v>
      </c>
      <c r="H3" s="4">
        <v>3.0261999999999998</v>
      </c>
      <c r="I3" s="4">
        <v>3.6556999999999999</v>
      </c>
      <c r="J3" s="4">
        <v>4.5704000000000002</v>
      </c>
      <c r="K3" s="5">
        <f t="shared" ref="K3:K16" si="0">IF(D3=0, 0, 100*(E3 - D3*1)/(D3*1))</f>
        <v>0.19565217391303399</v>
      </c>
      <c r="L3" s="5">
        <f t="shared" ref="L3:L16" si="1">IF(D3=0, 0, 100*(F3 - D3*1.5)/(D3*1.5))</f>
        <v>-0.26086956521739474</v>
      </c>
      <c r="M3" s="5">
        <f t="shared" ref="M3:M16" si="2">IF(D3=0, 0, 100*(G3 - D3*2)/(D3*2))</f>
        <v>-0.85869565217391497</v>
      </c>
      <c r="N3" s="5">
        <f t="shared" ref="N3:N16" si="3">IF(D3=0, 0, 100*(H3 - D3*3.3)/(D3*3.3))</f>
        <v>-0.32279314888011373</v>
      </c>
      <c r="O3" s="5">
        <f t="shared" ref="O3:O16" si="4">IF(D3=0, 0, 100*(I3 - D3*4)/(D3*4))</f>
        <v>-0.66032608695652739</v>
      </c>
      <c r="P3" s="5">
        <f t="shared" ref="P3:P16" si="5">IF(D3=0, 0, 100*(J3 - D3*5)/(D3*5))</f>
        <v>-0.64347826086957149</v>
      </c>
      <c r="Q3" s="4" t="str">
        <f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>
        <v>46178</v>
      </c>
      <c r="B4" s="6" t="s">
        <v>119</v>
      </c>
      <c r="C4" s="4" t="s">
        <v>120</v>
      </c>
      <c r="D4" s="4">
        <v>0.92</v>
      </c>
      <c r="E4" s="6">
        <v>0.92179999999999995</v>
      </c>
      <c r="F4" s="6">
        <v>1.3763000000000001</v>
      </c>
      <c r="G4" s="17">
        <v>1.8241000000000001</v>
      </c>
      <c r="H4" s="6">
        <v>3.0257999999999998</v>
      </c>
      <c r="I4" s="6">
        <v>3.6545000000000001</v>
      </c>
      <c r="J4" s="6">
        <v>4.5701000000000001</v>
      </c>
      <c r="K4" s="15">
        <f t="shared" si="0"/>
        <v>0.19565217391303399</v>
      </c>
      <c r="L4" s="15">
        <f t="shared" si="1"/>
        <v>-0.26811594202898814</v>
      </c>
      <c r="M4" s="15">
        <f t="shared" si="2"/>
        <v>-0.86413043478260998</v>
      </c>
      <c r="N4" s="15">
        <f t="shared" si="3"/>
        <v>-0.3359683794466472</v>
      </c>
      <c r="O4" s="15">
        <f t="shared" si="4"/>
        <v>-0.69293478260869779</v>
      </c>
      <c r="P4" s="15">
        <f t="shared" si="5"/>
        <v>-0.65000000000001035</v>
      </c>
      <c r="Q4" s="6" t="str">
        <f>IF(AND(K4&gt;=0.11,K4&lt;=0.27,L4&gt;=-0.36,L4&lt;=-0.22,M4&gt;=-0.92,M4&lt;=-0.82,N4&gt;=-0.4,N4&lt;=-0.3,O4&gt;=-0.79,O4&lt;=-0.64,P4&gt;=-0.76,P4&lt;=-0.61), "Yes", IF(AND(K4=0,L4=0,M4=0,N4=0,O4=0,P4=0), "Ready to test", "No"))</f>
        <v>Yes</v>
      </c>
    </row>
    <row r="5" spans="1:17" x14ac:dyDescent="0.3">
      <c r="A5" s="16"/>
      <c r="B5" s="6"/>
      <c r="C5" s="6"/>
      <c r="D5" s="6"/>
      <c r="E5" s="6"/>
      <c r="F5" s="6"/>
      <c r="G5" s="6"/>
      <c r="H5" s="6"/>
      <c r="I5" s="6"/>
      <c r="J5" s="6"/>
      <c r="K5" s="15">
        <f t="shared" si="0"/>
        <v>0</v>
      </c>
      <c r="L5" s="15">
        <f t="shared" si="1"/>
        <v>0</v>
      </c>
      <c r="M5" s="15">
        <f t="shared" si="2"/>
        <v>0</v>
      </c>
      <c r="N5" s="15">
        <f t="shared" si="3"/>
        <v>0</v>
      </c>
      <c r="O5" s="15">
        <f t="shared" si="4"/>
        <v>0</v>
      </c>
      <c r="P5" s="15">
        <f t="shared" si="5"/>
        <v>0</v>
      </c>
      <c r="Q5" s="6" t="str">
        <f>IF(AND(K5&gt;=0.11,K5&lt;=0.27,L5&gt;=-0.38,L5&lt;=-0.22,M5&gt;=-0.94,M5&lt;=-0.82,N5&gt;=-0.41,N5&lt;=-0.3,O5&gt;=-0.79,O5&lt;=-0.64,P5&gt;=-0.76,P5&lt;=-0.61), "Yes", IF(AND(K5=0,L5=0,M5=0,N5=0,O5=0,P5=0), "Ready to test", "No"))</f>
        <v>Ready to test</v>
      </c>
    </row>
    <row r="6" spans="1:17" x14ac:dyDescent="0.3">
      <c r="A6" s="16"/>
      <c r="B6" s="6"/>
      <c r="C6" s="6"/>
      <c r="D6" s="6"/>
      <c r="E6" s="6"/>
      <c r="F6" s="6"/>
      <c r="G6" s="17"/>
      <c r="H6" s="6"/>
      <c r="I6" s="6"/>
      <c r="J6" s="6"/>
      <c r="K6" s="15">
        <f t="shared" si="0"/>
        <v>0</v>
      </c>
      <c r="L6" s="15">
        <f t="shared" si="1"/>
        <v>0</v>
      </c>
      <c r="M6" s="15">
        <f t="shared" si="2"/>
        <v>0</v>
      </c>
      <c r="N6" s="15">
        <f t="shared" si="3"/>
        <v>0</v>
      </c>
      <c r="O6" s="15">
        <f t="shared" si="4"/>
        <v>0</v>
      </c>
      <c r="P6" s="15">
        <f t="shared" si="5"/>
        <v>0</v>
      </c>
      <c r="Q6" s="6" t="str">
        <f t="shared" ref="Q6:Q16" si="6">IF(AND(K6&gt;=0.11,K6&lt;=0.27,L6&gt;=-0.36,L6&lt;=-0.22,M6&gt;=-0.92,M6&lt;=-0.82,N6&gt;=-0.4,N6&lt;=-0.3,O6&gt;=-0.79,O6&lt;=-0.64,P6&gt;=-0.76,P6&lt;=-0.61), "Yes", IF(AND(K6=0,L6=0,M6=0,N6=0,O6=0,P6=0), "Ready to test", "No"))</f>
        <v>Ready to test</v>
      </c>
    </row>
    <row r="7" spans="1:17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15">
        <f t="shared" si="0"/>
        <v>0</v>
      </c>
      <c r="L7" s="15">
        <f t="shared" si="1"/>
        <v>0</v>
      </c>
      <c r="M7" s="15">
        <f t="shared" si="2"/>
        <v>0</v>
      </c>
      <c r="N7" s="15">
        <f t="shared" si="3"/>
        <v>0</v>
      </c>
      <c r="O7" s="15">
        <f t="shared" si="4"/>
        <v>0</v>
      </c>
      <c r="P7" s="15">
        <f t="shared" si="5"/>
        <v>0</v>
      </c>
      <c r="Q7" s="6" t="str">
        <f t="shared" si="6"/>
        <v>Ready to test</v>
      </c>
    </row>
    <row r="8" spans="1:17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15">
        <f t="shared" si="0"/>
        <v>0</v>
      </c>
      <c r="L8" s="15">
        <f t="shared" si="1"/>
        <v>0</v>
      </c>
      <c r="M8" s="15">
        <f t="shared" si="2"/>
        <v>0</v>
      </c>
      <c r="N8" s="15">
        <f t="shared" si="3"/>
        <v>0</v>
      </c>
      <c r="O8" s="15">
        <f t="shared" si="4"/>
        <v>0</v>
      </c>
      <c r="P8" s="15">
        <f t="shared" si="5"/>
        <v>0</v>
      </c>
      <c r="Q8" s="6" t="str">
        <f t="shared" si="6"/>
        <v>Ready to test</v>
      </c>
    </row>
    <row r="9" spans="1:17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15">
        <f t="shared" si="0"/>
        <v>0</v>
      </c>
      <c r="L9" s="15">
        <f t="shared" si="1"/>
        <v>0</v>
      </c>
      <c r="M9" s="15">
        <f t="shared" si="2"/>
        <v>0</v>
      </c>
      <c r="N9" s="15">
        <f t="shared" si="3"/>
        <v>0</v>
      </c>
      <c r="O9" s="15">
        <f t="shared" si="4"/>
        <v>0</v>
      </c>
      <c r="P9" s="15">
        <f t="shared" si="5"/>
        <v>0</v>
      </c>
      <c r="Q9" s="6" t="str">
        <f t="shared" si="6"/>
        <v>Ready to test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15">
        <f t="shared" si="0"/>
        <v>0</v>
      </c>
      <c r="L10" s="15">
        <f t="shared" si="1"/>
        <v>0</v>
      </c>
      <c r="M10" s="15">
        <f t="shared" si="2"/>
        <v>0</v>
      </c>
      <c r="N10" s="15">
        <f t="shared" si="3"/>
        <v>0</v>
      </c>
      <c r="O10" s="15">
        <f t="shared" si="4"/>
        <v>0</v>
      </c>
      <c r="P10" s="15">
        <f t="shared" si="5"/>
        <v>0</v>
      </c>
      <c r="Q10" s="6" t="str">
        <f t="shared" si="6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15">
        <f t="shared" si="0"/>
        <v>0</v>
      </c>
      <c r="L11" s="15">
        <f t="shared" si="1"/>
        <v>0</v>
      </c>
      <c r="M11" s="15">
        <f t="shared" si="2"/>
        <v>0</v>
      </c>
      <c r="N11" s="15">
        <f t="shared" si="3"/>
        <v>0</v>
      </c>
      <c r="O11" s="15">
        <f t="shared" si="4"/>
        <v>0</v>
      </c>
      <c r="P11" s="15">
        <f t="shared" si="5"/>
        <v>0</v>
      </c>
      <c r="Q11" s="6" t="str">
        <f t="shared" si="6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15">
        <f t="shared" si="0"/>
        <v>0</v>
      </c>
      <c r="L12" s="15">
        <f t="shared" si="1"/>
        <v>0</v>
      </c>
      <c r="M12" s="15">
        <f t="shared" si="2"/>
        <v>0</v>
      </c>
      <c r="N12" s="15">
        <f t="shared" si="3"/>
        <v>0</v>
      </c>
      <c r="O12" s="15">
        <f t="shared" si="4"/>
        <v>0</v>
      </c>
      <c r="P12" s="15">
        <f t="shared" si="5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15">
        <f t="shared" si="0"/>
        <v>0</v>
      </c>
      <c r="L13" s="15">
        <f t="shared" si="1"/>
        <v>0</v>
      </c>
      <c r="M13" s="15">
        <f t="shared" si="2"/>
        <v>0</v>
      </c>
      <c r="N13" s="15">
        <f t="shared" si="3"/>
        <v>0</v>
      </c>
      <c r="O13" s="15">
        <f t="shared" si="4"/>
        <v>0</v>
      </c>
      <c r="P13" s="15">
        <f t="shared" si="5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15">
        <f t="shared" si="0"/>
        <v>0</v>
      </c>
      <c r="L14" s="15">
        <f t="shared" si="1"/>
        <v>0</v>
      </c>
      <c r="M14" s="15">
        <f t="shared" si="2"/>
        <v>0</v>
      </c>
      <c r="N14" s="15">
        <f t="shared" si="3"/>
        <v>0</v>
      </c>
      <c r="O14" s="15">
        <f t="shared" si="4"/>
        <v>0</v>
      </c>
      <c r="P14" s="15">
        <f t="shared" si="5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15">
        <f t="shared" si="0"/>
        <v>0</v>
      </c>
      <c r="L15" s="15">
        <f t="shared" si="1"/>
        <v>0</v>
      </c>
      <c r="M15" s="15">
        <f t="shared" si="2"/>
        <v>0</v>
      </c>
      <c r="N15" s="15">
        <f t="shared" si="3"/>
        <v>0</v>
      </c>
      <c r="O15" s="15">
        <f t="shared" si="4"/>
        <v>0</v>
      </c>
      <c r="P15" s="15">
        <f t="shared" si="5"/>
        <v>0</v>
      </c>
      <c r="Q15" s="6" t="str">
        <f t="shared" si="6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15">
        <f t="shared" si="0"/>
        <v>0</v>
      </c>
      <c r="L16" s="15">
        <f t="shared" si="1"/>
        <v>0</v>
      </c>
      <c r="M16" s="15">
        <f t="shared" si="2"/>
        <v>0</v>
      </c>
      <c r="N16" s="15">
        <f t="shared" si="3"/>
        <v>0</v>
      </c>
      <c r="O16" s="15">
        <f t="shared" si="4"/>
        <v>0</v>
      </c>
      <c r="P16" s="15">
        <f t="shared" si="5"/>
        <v>0</v>
      </c>
      <c r="Q16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6">
    <cfRule type="expression" dxfId="83" priority="1">
      <formula>Q3="Alert"</formula>
    </cfRule>
    <cfRule type="expression" dxfId="82" priority="2">
      <formula>Q3="Yes"</formula>
    </cfRule>
    <cfRule type="expression" dxfId="81" priority="3">
      <formula>Q3="No"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B9D6A-FF87-4DB6-BDC8-8E59313D208E}">
  <dimension ref="A1:Q16"/>
  <sheetViews>
    <sheetView topLeftCell="D1" workbookViewId="0">
      <selection activeCell="K4" sqref="K4:P4"/>
    </sheetView>
  </sheetViews>
  <sheetFormatPr defaultColWidth="8.6640625" defaultRowHeight="14.4" x14ac:dyDescent="0.3"/>
  <cols>
    <col min="1" max="1" width="15" style="1" customWidth="1"/>
    <col min="2" max="2" width="9" style="1" bestFit="1" customWidth="1"/>
    <col min="3" max="3" width="12" style="1" bestFit="1" customWidth="1"/>
    <col min="4" max="4" width="17.44140625" style="1" bestFit="1" customWidth="1"/>
    <col min="5" max="5" width="12" style="1" customWidth="1"/>
    <col min="6" max="6" width="11.5546875" style="1" customWidth="1"/>
    <col min="7" max="7" width="12.33203125" style="1" customWidth="1"/>
    <col min="8" max="8" width="12" style="1" customWidth="1"/>
    <col min="9" max="9" width="11.109375" style="1" customWidth="1"/>
    <col min="10" max="10" width="11.33203125" style="1" customWidth="1"/>
    <col min="11" max="11" width="11.44140625" style="1" customWidth="1"/>
    <col min="12" max="12" width="13.44140625" style="1" customWidth="1"/>
    <col min="13" max="13" width="11.44140625" style="1" customWidth="1"/>
    <col min="14" max="14" width="18.33203125" style="1" bestFit="1" customWidth="1"/>
    <col min="15" max="15" width="13.5546875" style="1" customWidth="1"/>
    <col min="16" max="16" width="14.5546875" style="1" customWidth="1"/>
    <col min="17" max="17" width="12.88671875" style="1" customWidth="1"/>
    <col min="18" max="16384" width="8.6640625" style="1"/>
  </cols>
  <sheetData>
    <row r="1" spans="1:17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5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</row>
    <row r="3" spans="1:17" x14ac:dyDescent="0.3">
      <c r="A3" s="7">
        <v>46103</v>
      </c>
      <c r="B3" s="4" t="s">
        <v>5</v>
      </c>
      <c r="C3" s="4" t="s">
        <v>180</v>
      </c>
      <c r="D3" s="4">
        <v>0.92</v>
      </c>
      <c r="E3" s="4">
        <v>0.92200000000000004</v>
      </c>
      <c r="F3" s="4">
        <v>1.3767</v>
      </c>
      <c r="G3" s="4">
        <v>1.8245</v>
      </c>
      <c r="H3" s="4">
        <v>3.0263</v>
      </c>
      <c r="I3" s="4">
        <v>3.6558000000000002</v>
      </c>
      <c r="J3" s="4">
        <v>4.5698999999999996</v>
      </c>
      <c r="K3" s="5">
        <f t="shared" ref="K3:K16" si="0">IF(D3=0, 0, 100*(E3 - D3*1)/(D3*1))</f>
        <v>0.21739130434782628</v>
      </c>
      <c r="L3" s="5">
        <f t="shared" ref="L3:L16" si="1">IF(D3=0, 0, 100*(F3 - D3*1.5)/(D3*1.5))</f>
        <v>-0.23913043478261453</v>
      </c>
      <c r="M3" s="5">
        <f t="shared" ref="M3:M16" si="2">IF(D3=0, 0, 100*(G3 - D3*2)/(D3*2))</f>
        <v>-0.84239130434782983</v>
      </c>
      <c r="N3" s="5">
        <f t="shared" ref="N3:N16" si="3">IF(D3=0, 0, 100*(H3 - D3*3.3)/(D3*3.3))</f>
        <v>-0.31949934123847307</v>
      </c>
      <c r="O3" s="5">
        <f t="shared" ref="O3:O16" si="4">IF(D3=0, 0, 100*(I3 - D3*4)/(D3*4))</f>
        <v>-0.65760869565217384</v>
      </c>
      <c r="P3" s="5">
        <f t="shared" ref="P3:P16" si="5">IF(D3=0, 0, 100*(J3 - D3*5)/(D3*5))</f>
        <v>-0.65434782608697606</v>
      </c>
      <c r="Q3" s="4" t="str">
        <f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>
        <v>46168</v>
      </c>
      <c r="B4" s="6" t="s">
        <v>5</v>
      </c>
      <c r="C4" s="6" t="s">
        <v>140</v>
      </c>
      <c r="D4" s="6">
        <v>0.92</v>
      </c>
      <c r="E4" s="6">
        <v>0.92110000000000003</v>
      </c>
      <c r="F4" s="6">
        <v>1.3757999999999999</v>
      </c>
      <c r="G4" s="17">
        <v>1.8241000000000001</v>
      </c>
      <c r="H4" s="6">
        <v>3.0257000000000001</v>
      </c>
      <c r="I4" s="6">
        <v>3.6533000000000002</v>
      </c>
      <c r="J4" s="6">
        <v>4.5693000000000001</v>
      </c>
      <c r="K4" s="15">
        <f t="shared" si="0"/>
        <v>0.11956521739130324</v>
      </c>
      <c r="L4" s="15">
        <f t="shared" si="1"/>
        <v>-0.30434782608697125</v>
      </c>
      <c r="M4" s="15">
        <f t="shared" si="2"/>
        <v>-0.86413043478260998</v>
      </c>
      <c r="N4" s="15">
        <f t="shared" si="3"/>
        <v>-0.33926218708827327</v>
      </c>
      <c r="O4" s="15">
        <f t="shared" si="4"/>
        <v>-0.72554347826086807</v>
      </c>
      <c r="P4" s="15">
        <f t="shared" si="5"/>
        <v>-0.66739130434783456</v>
      </c>
      <c r="Q4" s="6" t="str">
        <f>IF(AND(K4&gt;=0.11,K4&lt;=0.27,L4&gt;=-0.36,L4&lt;=-0.22,M4&gt;=-0.92,M4&lt;=-0.82,N4&gt;=-0.4,N4&lt;=-0.3,O4&gt;=-0.79,O4&lt;=-0.64,P4&gt;=-0.76,P4&lt;=-0.61), "Yes", IF(AND(K4=0,L4=0,M4=0,N4=0,O4=0,P4=0), "Ready to test", "No"))</f>
        <v>Yes</v>
      </c>
    </row>
    <row r="5" spans="1:17" x14ac:dyDescent="0.3">
      <c r="A5" s="16"/>
      <c r="B5" s="6"/>
      <c r="C5" s="6"/>
      <c r="D5" s="6"/>
      <c r="E5" s="6"/>
      <c r="F5" s="6"/>
      <c r="G5" s="6"/>
      <c r="H5" s="6"/>
      <c r="I5" s="6"/>
      <c r="J5" s="6"/>
      <c r="K5" s="15">
        <f t="shared" si="0"/>
        <v>0</v>
      </c>
      <c r="L5" s="15">
        <f t="shared" si="1"/>
        <v>0</v>
      </c>
      <c r="M5" s="15">
        <f t="shared" si="2"/>
        <v>0</v>
      </c>
      <c r="N5" s="15">
        <f t="shared" si="3"/>
        <v>0</v>
      </c>
      <c r="O5" s="15">
        <f t="shared" si="4"/>
        <v>0</v>
      </c>
      <c r="P5" s="15">
        <f t="shared" si="5"/>
        <v>0</v>
      </c>
      <c r="Q5" s="6" t="str">
        <f>IF(AND(K5&gt;=0.11,K5&lt;=0.27,L5&gt;=-0.38,L5&lt;=-0.22,M5&gt;=-0.94,M5&lt;=-0.82,N5&gt;=-0.41,N5&lt;=-0.3,O5&gt;=-0.79,O5&lt;=-0.64,P5&gt;=-0.76,P5&lt;=-0.61), "Yes", IF(AND(K5=0,L5=0,M5=0,N5=0,O5=0,P5=0), "Ready to test", "No"))</f>
        <v>Ready to test</v>
      </c>
    </row>
    <row r="6" spans="1:17" x14ac:dyDescent="0.3">
      <c r="A6" s="16"/>
      <c r="B6" s="6"/>
      <c r="C6" s="6"/>
      <c r="D6" s="6"/>
      <c r="E6" s="6"/>
      <c r="F6" s="6"/>
      <c r="G6" s="17"/>
      <c r="H6" s="6"/>
      <c r="I6" s="6"/>
      <c r="J6" s="6"/>
      <c r="K6" s="15">
        <f t="shared" si="0"/>
        <v>0</v>
      </c>
      <c r="L6" s="15">
        <f t="shared" si="1"/>
        <v>0</v>
      </c>
      <c r="M6" s="15">
        <f t="shared" si="2"/>
        <v>0</v>
      </c>
      <c r="N6" s="15">
        <f t="shared" si="3"/>
        <v>0</v>
      </c>
      <c r="O6" s="15">
        <f t="shared" si="4"/>
        <v>0</v>
      </c>
      <c r="P6" s="15">
        <f t="shared" si="5"/>
        <v>0</v>
      </c>
      <c r="Q6" s="6" t="str">
        <f t="shared" ref="Q6:Q16" si="6">IF(AND(K6&gt;=0.11,K6&lt;=0.27,L6&gt;=-0.36,L6&lt;=-0.22,M6&gt;=-0.92,M6&lt;=-0.82,N6&gt;=-0.4,N6&lt;=-0.3,O6&gt;=-0.79,O6&lt;=-0.64,P6&gt;=-0.76,P6&lt;=-0.61), "Yes", IF(AND(K6=0,L6=0,M6=0,N6=0,O6=0,P6=0), "Ready to test", "No"))</f>
        <v>Ready to test</v>
      </c>
    </row>
    <row r="7" spans="1:17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15">
        <f t="shared" si="0"/>
        <v>0</v>
      </c>
      <c r="L7" s="15">
        <f t="shared" si="1"/>
        <v>0</v>
      </c>
      <c r="M7" s="15">
        <f t="shared" si="2"/>
        <v>0</v>
      </c>
      <c r="N7" s="15">
        <f t="shared" si="3"/>
        <v>0</v>
      </c>
      <c r="O7" s="15">
        <f t="shared" si="4"/>
        <v>0</v>
      </c>
      <c r="P7" s="15">
        <f t="shared" si="5"/>
        <v>0</v>
      </c>
      <c r="Q7" s="6" t="str">
        <f t="shared" si="6"/>
        <v>Ready to test</v>
      </c>
    </row>
    <row r="8" spans="1:17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15">
        <f t="shared" si="0"/>
        <v>0</v>
      </c>
      <c r="L8" s="15">
        <f t="shared" si="1"/>
        <v>0</v>
      </c>
      <c r="M8" s="15">
        <f t="shared" si="2"/>
        <v>0</v>
      </c>
      <c r="N8" s="15">
        <f t="shared" si="3"/>
        <v>0</v>
      </c>
      <c r="O8" s="15">
        <f t="shared" si="4"/>
        <v>0</v>
      </c>
      <c r="P8" s="15">
        <f t="shared" si="5"/>
        <v>0</v>
      </c>
      <c r="Q8" s="6" t="str">
        <f t="shared" si="6"/>
        <v>Ready to test</v>
      </c>
    </row>
    <row r="9" spans="1:17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15">
        <f t="shared" si="0"/>
        <v>0</v>
      </c>
      <c r="L9" s="15">
        <f t="shared" si="1"/>
        <v>0</v>
      </c>
      <c r="M9" s="15">
        <f t="shared" si="2"/>
        <v>0</v>
      </c>
      <c r="N9" s="15">
        <f t="shared" si="3"/>
        <v>0</v>
      </c>
      <c r="O9" s="15">
        <f t="shared" si="4"/>
        <v>0</v>
      </c>
      <c r="P9" s="15">
        <f t="shared" si="5"/>
        <v>0</v>
      </c>
      <c r="Q9" s="6" t="str">
        <f t="shared" si="6"/>
        <v>Ready to test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15">
        <f t="shared" si="0"/>
        <v>0</v>
      </c>
      <c r="L10" s="15">
        <f t="shared" si="1"/>
        <v>0</v>
      </c>
      <c r="M10" s="15">
        <f t="shared" si="2"/>
        <v>0</v>
      </c>
      <c r="N10" s="15">
        <f t="shared" si="3"/>
        <v>0</v>
      </c>
      <c r="O10" s="15">
        <f t="shared" si="4"/>
        <v>0</v>
      </c>
      <c r="P10" s="15">
        <f t="shared" si="5"/>
        <v>0</v>
      </c>
      <c r="Q10" s="6" t="str">
        <f t="shared" si="6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15">
        <f t="shared" si="0"/>
        <v>0</v>
      </c>
      <c r="L11" s="15">
        <f t="shared" si="1"/>
        <v>0</v>
      </c>
      <c r="M11" s="15">
        <f t="shared" si="2"/>
        <v>0</v>
      </c>
      <c r="N11" s="15">
        <f t="shared" si="3"/>
        <v>0</v>
      </c>
      <c r="O11" s="15">
        <f t="shared" si="4"/>
        <v>0</v>
      </c>
      <c r="P11" s="15">
        <f t="shared" si="5"/>
        <v>0</v>
      </c>
      <c r="Q11" s="6" t="str">
        <f t="shared" si="6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15">
        <f t="shared" si="0"/>
        <v>0</v>
      </c>
      <c r="L12" s="15">
        <f t="shared" si="1"/>
        <v>0</v>
      </c>
      <c r="M12" s="15">
        <f t="shared" si="2"/>
        <v>0</v>
      </c>
      <c r="N12" s="15">
        <f t="shared" si="3"/>
        <v>0</v>
      </c>
      <c r="O12" s="15">
        <f t="shared" si="4"/>
        <v>0</v>
      </c>
      <c r="P12" s="15">
        <f t="shared" si="5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15">
        <f t="shared" si="0"/>
        <v>0</v>
      </c>
      <c r="L13" s="15">
        <f t="shared" si="1"/>
        <v>0</v>
      </c>
      <c r="M13" s="15">
        <f t="shared" si="2"/>
        <v>0</v>
      </c>
      <c r="N13" s="15">
        <f t="shared" si="3"/>
        <v>0</v>
      </c>
      <c r="O13" s="15">
        <f t="shared" si="4"/>
        <v>0</v>
      </c>
      <c r="P13" s="15">
        <f t="shared" si="5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15">
        <f t="shared" si="0"/>
        <v>0</v>
      </c>
      <c r="L14" s="15">
        <f t="shared" si="1"/>
        <v>0</v>
      </c>
      <c r="M14" s="15">
        <f t="shared" si="2"/>
        <v>0</v>
      </c>
      <c r="N14" s="15">
        <f t="shared" si="3"/>
        <v>0</v>
      </c>
      <c r="O14" s="15">
        <f t="shared" si="4"/>
        <v>0</v>
      </c>
      <c r="P14" s="15">
        <f t="shared" si="5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15">
        <f t="shared" si="0"/>
        <v>0</v>
      </c>
      <c r="L15" s="15">
        <f t="shared" si="1"/>
        <v>0</v>
      </c>
      <c r="M15" s="15">
        <f t="shared" si="2"/>
        <v>0</v>
      </c>
      <c r="N15" s="15">
        <f t="shared" si="3"/>
        <v>0</v>
      </c>
      <c r="O15" s="15">
        <f t="shared" si="4"/>
        <v>0</v>
      </c>
      <c r="P15" s="15">
        <f t="shared" si="5"/>
        <v>0</v>
      </c>
      <c r="Q15" s="6" t="str">
        <f t="shared" si="6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15">
        <f t="shared" si="0"/>
        <v>0</v>
      </c>
      <c r="L16" s="15">
        <f t="shared" si="1"/>
        <v>0</v>
      </c>
      <c r="M16" s="15">
        <f t="shared" si="2"/>
        <v>0</v>
      </c>
      <c r="N16" s="15">
        <f t="shared" si="3"/>
        <v>0</v>
      </c>
      <c r="O16" s="15">
        <f t="shared" si="4"/>
        <v>0</v>
      </c>
      <c r="P16" s="15">
        <f t="shared" si="5"/>
        <v>0</v>
      </c>
      <c r="Q16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6">
    <cfRule type="expression" dxfId="80" priority="1">
      <formula>Q3="Alert"</formula>
    </cfRule>
    <cfRule type="expression" dxfId="79" priority="2">
      <formula>Q3="Yes"</formula>
    </cfRule>
    <cfRule type="expression" dxfId="78" priority="3">
      <formula>Q3="No"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30906-A219-4784-B2B7-E5AEE1A74138}">
  <dimension ref="A1:Q16"/>
  <sheetViews>
    <sheetView workbookViewId="0">
      <selection activeCell="K4" sqref="K4:P4"/>
    </sheetView>
  </sheetViews>
  <sheetFormatPr defaultColWidth="8.6640625" defaultRowHeight="14.4" x14ac:dyDescent="0.3"/>
  <cols>
    <col min="1" max="1" width="15" style="1" customWidth="1"/>
    <col min="2" max="2" width="9" style="1" bestFit="1" customWidth="1"/>
    <col min="3" max="3" width="12" style="1" bestFit="1" customWidth="1"/>
    <col min="4" max="4" width="17.44140625" style="1" bestFit="1" customWidth="1"/>
    <col min="5" max="5" width="12" style="1" customWidth="1"/>
    <col min="6" max="6" width="11.5546875" style="1" customWidth="1"/>
    <col min="7" max="7" width="12.33203125" style="1" customWidth="1"/>
    <col min="8" max="8" width="12" style="1" customWidth="1"/>
    <col min="9" max="9" width="11.109375" style="1" customWidth="1"/>
    <col min="10" max="10" width="11.33203125" style="1" customWidth="1"/>
    <col min="11" max="11" width="11.44140625" style="1" customWidth="1"/>
    <col min="12" max="12" width="13.44140625" style="1" customWidth="1"/>
    <col min="13" max="13" width="11.44140625" style="1" customWidth="1"/>
    <col min="14" max="14" width="18.33203125" style="1" bestFit="1" customWidth="1"/>
    <col min="15" max="15" width="13.5546875" style="1" customWidth="1"/>
    <col min="16" max="16" width="14.5546875" style="1" customWidth="1"/>
    <col min="17" max="17" width="12.88671875" style="1" customWidth="1"/>
    <col min="18" max="16384" width="8.6640625" style="1"/>
  </cols>
  <sheetData>
    <row r="1" spans="1:17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5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</row>
    <row r="3" spans="1:17" x14ac:dyDescent="0.3">
      <c r="A3" s="7">
        <v>46103</v>
      </c>
      <c r="B3" s="4" t="s">
        <v>5</v>
      </c>
      <c r="C3" s="4" t="s">
        <v>180</v>
      </c>
      <c r="D3" s="4">
        <v>0.92</v>
      </c>
      <c r="E3" s="4">
        <v>0.92190000000000005</v>
      </c>
      <c r="F3" s="4">
        <v>1.3763000000000001</v>
      </c>
      <c r="G3" s="4">
        <v>1.8243</v>
      </c>
      <c r="H3" s="4">
        <v>3.0263</v>
      </c>
      <c r="I3" s="4">
        <v>3.6556000000000002</v>
      </c>
      <c r="J3" s="4">
        <v>4.5701999999999998</v>
      </c>
      <c r="K3" s="5">
        <f t="shared" ref="K3:K16" si="0">IF(D3=0, 0, 100*(E3 - D3*1)/(D3*1))</f>
        <v>0.20652173913043617</v>
      </c>
      <c r="L3" s="5">
        <f t="shared" ref="L3:L16" si="1">IF(D3=0, 0, 100*(F3 - D3*1.5)/(D3*1.5))</f>
        <v>-0.26811594202898814</v>
      </c>
      <c r="M3" s="5">
        <f t="shared" ref="M3:M16" si="2">IF(D3=0, 0, 100*(G3 - D3*2)/(D3*2))</f>
        <v>-0.85326086956521996</v>
      </c>
      <c r="N3" s="5">
        <f t="shared" ref="N3:N16" si="3">IF(D3=0, 0, 100*(H3 - D3*3.3)/(D3*3.3))</f>
        <v>-0.31949934123847307</v>
      </c>
      <c r="O3" s="5">
        <f t="shared" ref="O3:O16" si="4">IF(D3=0, 0, 100*(I3 - D3*4)/(D3*4))</f>
        <v>-0.66304347826086896</v>
      </c>
      <c r="P3" s="5">
        <f t="shared" ref="P3:P16" si="5">IF(D3=0, 0, 100*(J3 - D3*5)/(D3*5))</f>
        <v>-0.64782608695653721</v>
      </c>
      <c r="Q3" s="4" t="str">
        <f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>
        <v>46178</v>
      </c>
      <c r="B4" s="6" t="s">
        <v>119</v>
      </c>
      <c r="C4" s="4" t="s">
        <v>120</v>
      </c>
      <c r="D4" s="4">
        <v>0.92</v>
      </c>
      <c r="E4" s="6">
        <v>0.92169999999999996</v>
      </c>
      <c r="F4" s="18">
        <v>1.3759999999999999</v>
      </c>
      <c r="G4" s="17">
        <v>1.8241000000000001</v>
      </c>
      <c r="H4" s="6">
        <v>3.0255999999999998</v>
      </c>
      <c r="I4" s="6">
        <v>3.6528999999999998</v>
      </c>
      <c r="J4" s="6">
        <v>4.5692000000000004</v>
      </c>
      <c r="K4" s="15">
        <f t="shared" si="0"/>
        <v>0.18478260869564389</v>
      </c>
      <c r="L4" s="15">
        <f t="shared" si="1"/>
        <v>-0.28985507246378445</v>
      </c>
      <c r="M4" s="15">
        <f t="shared" si="2"/>
        <v>-0.86413043478260998</v>
      </c>
      <c r="N4" s="15">
        <f t="shared" si="3"/>
        <v>-0.34255599472991394</v>
      </c>
      <c r="O4" s="15">
        <f t="shared" si="4"/>
        <v>-0.73641304347827019</v>
      </c>
      <c r="P4" s="15">
        <f t="shared" si="5"/>
        <v>-0.66956521739130781</v>
      </c>
      <c r="Q4" s="6" t="str">
        <f>IF(AND(K4&gt;=0.11,K4&lt;=0.27,L4&gt;=-0.36,L4&lt;=-0.22,M4&gt;=-0.92,M4&lt;=-0.82,N4&gt;=-0.4,N4&lt;=-0.3,O4&gt;=-0.79,O4&lt;=-0.64,P4&gt;=-0.76,P4&lt;=-0.61), "Yes", IF(AND(K4=0,L4=0,M4=0,N4=0,O4=0,P4=0), "Ready to test", "No"))</f>
        <v>Yes</v>
      </c>
    </row>
    <row r="5" spans="1:17" x14ac:dyDescent="0.3">
      <c r="A5" s="16"/>
      <c r="B5" s="6"/>
      <c r="C5" s="6"/>
      <c r="D5" s="6"/>
      <c r="E5" s="6"/>
      <c r="F5" s="6"/>
      <c r="G5" s="6"/>
      <c r="H5" s="6"/>
      <c r="I5" s="6"/>
      <c r="J5" s="6"/>
      <c r="K5" s="15">
        <f t="shared" si="0"/>
        <v>0</v>
      </c>
      <c r="L5" s="15">
        <f t="shared" si="1"/>
        <v>0</v>
      </c>
      <c r="M5" s="15">
        <f t="shared" si="2"/>
        <v>0</v>
      </c>
      <c r="N5" s="15">
        <f t="shared" si="3"/>
        <v>0</v>
      </c>
      <c r="O5" s="15">
        <f t="shared" si="4"/>
        <v>0</v>
      </c>
      <c r="P5" s="15">
        <f t="shared" si="5"/>
        <v>0</v>
      </c>
      <c r="Q5" s="6" t="str">
        <f>IF(AND(K5&gt;=0.11,K5&lt;=0.27,L5&gt;=-0.38,L5&lt;=-0.22,M5&gt;=-0.94,M5&lt;=-0.82,N5&gt;=-0.41,N5&lt;=-0.3,O5&gt;=-0.79,O5&lt;=-0.64,P5&gt;=-0.76,P5&lt;=-0.61), "Yes", IF(AND(K5=0,L5=0,M5=0,N5=0,O5=0,P5=0), "Ready to test", "No"))</f>
        <v>Ready to test</v>
      </c>
    </row>
    <row r="6" spans="1:17" x14ac:dyDescent="0.3">
      <c r="A6" s="16"/>
      <c r="B6" s="6"/>
      <c r="C6" s="6"/>
      <c r="D6" s="6"/>
      <c r="E6" s="6"/>
      <c r="F6" s="6"/>
      <c r="G6" s="17"/>
      <c r="H6" s="6"/>
      <c r="I6" s="6"/>
      <c r="J6" s="6"/>
      <c r="K6" s="15">
        <f t="shared" si="0"/>
        <v>0</v>
      </c>
      <c r="L6" s="15">
        <f t="shared" si="1"/>
        <v>0</v>
      </c>
      <c r="M6" s="15">
        <f t="shared" si="2"/>
        <v>0</v>
      </c>
      <c r="N6" s="15">
        <f t="shared" si="3"/>
        <v>0</v>
      </c>
      <c r="O6" s="15">
        <f t="shared" si="4"/>
        <v>0</v>
      </c>
      <c r="P6" s="15">
        <f t="shared" si="5"/>
        <v>0</v>
      </c>
      <c r="Q6" s="6" t="str">
        <f t="shared" ref="Q6:Q16" si="6">IF(AND(K6&gt;=0.11,K6&lt;=0.27,L6&gt;=-0.36,L6&lt;=-0.22,M6&gt;=-0.92,M6&lt;=-0.82,N6&gt;=-0.4,N6&lt;=-0.3,O6&gt;=-0.79,O6&lt;=-0.64,P6&gt;=-0.76,P6&lt;=-0.61), "Yes", IF(AND(K6=0,L6=0,M6=0,N6=0,O6=0,P6=0), "Ready to test", "No"))</f>
        <v>Ready to test</v>
      </c>
    </row>
    <row r="7" spans="1:17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15">
        <f t="shared" si="0"/>
        <v>0</v>
      </c>
      <c r="L7" s="15">
        <f t="shared" si="1"/>
        <v>0</v>
      </c>
      <c r="M7" s="15">
        <f t="shared" si="2"/>
        <v>0</v>
      </c>
      <c r="N7" s="15">
        <f t="shared" si="3"/>
        <v>0</v>
      </c>
      <c r="O7" s="15">
        <f t="shared" si="4"/>
        <v>0</v>
      </c>
      <c r="P7" s="15">
        <f t="shared" si="5"/>
        <v>0</v>
      </c>
      <c r="Q7" s="6" t="str">
        <f t="shared" si="6"/>
        <v>Ready to test</v>
      </c>
    </row>
    <row r="8" spans="1:17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15">
        <f t="shared" si="0"/>
        <v>0</v>
      </c>
      <c r="L8" s="15">
        <f t="shared" si="1"/>
        <v>0</v>
      </c>
      <c r="M8" s="15">
        <f t="shared" si="2"/>
        <v>0</v>
      </c>
      <c r="N8" s="15">
        <f t="shared" si="3"/>
        <v>0</v>
      </c>
      <c r="O8" s="15">
        <f t="shared" si="4"/>
        <v>0</v>
      </c>
      <c r="P8" s="15">
        <f t="shared" si="5"/>
        <v>0</v>
      </c>
      <c r="Q8" s="6" t="str">
        <f t="shared" si="6"/>
        <v>Ready to test</v>
      </c>
    </row>
    <row r="9" spans="1:17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15">
        <f t="shared" si="0"/>
        <v>0</v>
      </c>
      <c r="L9" s="15">
        <f t="shared" si="1"/>
        <v>0</v>
      </c>
      <c r="M9" s="15">
        <f t="shared" si="2"/>
        <v>0</v>
      </c>
      <c r="N9" s="15">
        <f t="shared" si="3"/>
        <v>0</v>
      </c>
      <c r="O9" s="15">
        <f t="shared" si="4"/>
        <v>0</v>
      </c>
      <c r="P9" s="15">
        <f t="shared" si="5"/>
        <v>0</v>
      </c>
      <c r="Q9" s="6" t="str">
        <f t="shared" si="6"/>
        <v>Ready to test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15">
        <f t="shared" si="0"/>
        <v>0</v>
      </c>
      <c r="L10" s="15">
        <f t="shared" si="1"/>
        <v>0</v>
      </c>
      <c r="M10" s="15">
        <f t="shared" si="2"/>
        <v>0</v>
      </c>
      <c r="N10" s="15">
        <f t="shared" si="3"/>
        <v>0</v>
      </c>
      <c r="O10" s="15">
        <f t="shared" si="4"/>
        <v>0</v>
      </c>
      <c r="P10" s="15">
        <f t="shared" si="5"/>
        <v>0</v>
      </c>
      <c r="Q10" s="6" t="str">
        <f t="shared" si="6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15">
        <f t="shared" si="0"/>
        <v>0</v>
      </c>
      <c r="L11" s="15">
        <f t="shared" si="1"/>
        <v>0</v>
      </c>
      <c r="M11" s="15">
        <f t="shared" si="2"/>
        <v>0</v>
      </c>
      <c r="N11" s="15">
        <f t="shared" si="3"/>
        <v>0</v>
      </c>
      <c r="O11" s="15">
        <f t="shared" si="4"/>
        <v>0</v>
      </c>
      <c r="P11" s="15">
        <f t="shared" si="5"/>
        <v>0</v>
      </c>
      <c r="Q11" s="6" t="str">
        <f t="shared" si="6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15">
        <f t="shared" si="0"/>
        <v>0</v>
      </c>
      <c r="L12" s="15">
        <f t="shared" si="1"/>
        <v>0</v>
      </c>
      <c r="M12" s="15">
        <f t="shared" si="2"/>
        <v>0</v>
      </c>
      <c r="N12" s="15">
        <f t="shared" si="3"/>
        <v>0</v>
      </c>
      <c r="O12" s="15">
        <f t="shared" si="4"/>
        <v>0</v>
      </c>
      <c r="P12" s="15">
        <f t="shared" si="5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15">
        <f t="shared" si="0"/>
        <v>0</v>
      </c>
      <c r="L13" s="15">
        <f t="shared" si="1"/>
        <v>0</v>
      </c>
      <c r="M13" s="15">
        <f t="shared" si="2"/>
        <v>0</v>
      </c>
      <c r="N13" s="15">
        <f t="shared" si="3"/>
        <v>0</v>
      </c>
      <c r="O13" s="15">
        <f t="shared" si="4"/>
        <v>0</v>
      </c>
      <c r="P13" s="15">
        <f t="shared" si="5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15">
        <f t="shared" si="0"/>
        <v>0</v>
      </c>
      <c r="L14" s="15">
        <f t="shared" si="1"/>
        <v>0</v>
      </c>
      <c r="M14" s="15">
        <f t="shared" si="2"/>
        <v>0</v>
      </c>
      <c r="N14" s="15">
        <f t="shared" si="3"/>
        <v>0</v>
      </c>
      <c r="O14" s="15">
        <f t="shared" si="4"/>
        <v>0</v>
      </c>
      <c r="P14" s="15">
        <f t="shared" si="5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15">
        <f t="shared" si="0"/>
        <v>0</v>
      </c>
      <c r="L15" s="15">
        <f t="shared" si="1"/>
        <v>0</v>
      </c>
      <c r="M15" s="15">
        <f t="shared" si="2"/>
        <v>0</v>
      </c>
      <c r="N15" s="15">
        <f t="shared" si="3"/>
        <v>0</v>
      </c>
      <c r="O15" s="15">
        <f t="shared" si="4"/>
        <v>0</v>
      </c>
      <c r="P15" s="15">
        <f t="shared" si="5"/>
        <v>0</v>
      </c>
      <c r="Q15" s="6" t="str">
        <f t="shared" si="6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15">
        <f t="shared" si="0"/>
        <v>0</v>
      </c>
      <c r="L16" s="15">
        <f t="shared" si="1"/>
        <v>0</v>
      </c>
      <c r="M16" s="15">
        <f t="shared" si="2"/>
        <v>0</v>
      </c>
      <c r="N16" s="15">
        <f t="shared" si="3"/>
        <v>0</v>
      </c>
      <c r="O16" s="15">
        <f t="shared" si="4"/>
        <v>0</v>
      </c>
      <c r="P16" s="15">
        <f t="shared" si="5"/>
        <v>0</v>
      </c>
      <c r="Q16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6">
    <cfRule type="expression" dxfId="77" priority="1">
      <formula>Q3="Alert"</formula>
    </cfRule>
    <cfRule type="expression" dxfId="76" priority="2">
      <formula>Q3="Yes"</formula>
    </cfRule>
    <cfRule type="expression" dxfId="75" priority="3">
      <formula>Q3="No"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0445F-0CAE-415C-AA2D-6173E19EA223}">
  <dimension ref="A1:Q16"/>
  <sheetViews>
    <sheetView workbookViewId="0">
      <selection activeCell="B1" sqref="B1:B2"/>
    </sheetView>
  </sheetViews>
  <sheetFormatPr defaultColWidth="8.6640625" defaultRowHeight="14.4" x14ac:dyDescent="0.3"/>
  <cols>
    <col min="1" max="1" width="15" style="1" customWidth="1"/>
    <col min="2" max="2" width="9" style="1" bestFit="1" customWidth="1"/>
    <col min="3" max="3" width="12" style="1" bestFit="1" customWidth="1"/>
    <col min="4" max="4" width="17.44140625" style="1" bestFit="1" customWidth="1"/>
    <col min="5" max="5" width="12" style="1" customWidth="1"/>
    <col min="6" max="6" width="11.5546875" style="1" customWidth="1"/>
    <col min="7" max="7" width="12.33203125" style="1" customWidth="1"/>
    <col min="8" max="8" width="12" style="1" customWidth="1"/>
    <col min="9" max="9" width="11.109375" style="1" customWidth="1"/>
    <col min="10" max="10" width="11.33203125" style="1" customWidth="1"/>
    <col min="11" max="11" width="11.44140625" style="1" customWidth="1"/>
    <col min="12" max="12" width="13.44140625" style="1" customWidth="1"/>
    <col min="13" max="13" width="11.44140625" style="1" customWidth="1"/>
    <col min="14" max="14" width="18.33203125" style="1" bestFit="1" customWidth="1"/>
    <col min="15" max="15" width="13.5546875" style="1" customWidth="1"/>
    <col min="16" max="16" width="14.5546875" style="1" customWidth="1"/>
    <col min="17" max="17" width="12.88671875" style="1" customWidth="1"/>
    <col min="18" max="16384" width="8.6640625" style="1"/>
  </cols>
  <sheetData>
    <row r="1" spans="1:17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5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</row>
    <row r="3" spans="1:17" x14ac:dyDescent="0.3">
      <c r="A3" s="7">
        <v>46103</v>
      </c>
      <c r="B3" s="4" t="s">
        <v>5</v>
      </c>
      <c r="C3" s="4" t="s">
        <v>180</v>
      </c>
      <c r="D3" s="4">
        <v>0.92</v>
      </c>
      <c r="E3" s="4">
        <v>0.92200000000000004</v>
      </c>
      <c r="F3" s="4">
        <v>1.3766</v>
      </c>
      <c r="G3" s="4">
        <v>1.8247</v>
      </c>
      <c r="H3" s="4">
        <v>3.0261</v>
      </c>
      <c r="I3" s="4">
        <v>3.6551</v>
      </c>
      <c r="J3" s="4">
        <v>4.5693000000000001</v>
      </c>
      <c r="K3" s="5">
        <f t="shared" ref="K3:K16" si="0">IF(D3=0, 0, 100*(E3 - D3*1)/(D3*1))</f>
        <v>0.21739130434782628</v>
      </c>
      <c r="L3" s="5">
        <f t="shared" ref="L3:L16" si="1">IF(D3=0, 0, 100*(F3 - D3*1.5)/(D3*1.5))</f>
        <v>-0.24637681159420793</v>
      </c>
      <c r="M3" s="5">
        <f t="shared" ref="M3:M16" si="2">IF(D3=0, 0, 100*(G3 - D3*2)/(D3*2))</f>
        <v>-0.8315217391304397</v>
      </c>
      <c r="N3" s="5">
        <f t="shared" ref="N3:N16" si="3">IF(D3=0, 0, 100*(H3 - D3*3.3)/(D3*3.3))</f>
        <v>-0.3260869565217398</v>
      </c>
      <c r="O3" s="5">
        <f t="shared" ref="O3:O16" si="4">IF(D3=0, 0, 100*(I3 - D3*4)/(D3*4))</f>
        <v>-0.67663043478261253</v>
      </c>
      <c r="P3" s="5">
        <f t="shared" ref="P3:P16" si="5">IF(D3=0, 0, 100*(J3 - D3*5)/(D3*5))</f>
        <v>-0.66739130434783456</v>
      </c>
      <c r="Q3" s="4" t="str">
        <f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>
        <v>46205</v>
      </c>
      <c r="B4" s="6" t="s">
        <v>5</v>
      </c>
      <c r="C4" s="6" t="s">
        <v>181</v>
      </c>
      <c r="D4" s="6">
        <v>0.92</v>
      </c>
      <c r="E4" s="6">
        <v>0.92190000000000005</v>
      </c>
      <c r="F4" s="6">
        <v>1.3756999999999999</v>
      </c>
      <c r="G4" s="17">
        <v>1.8240000000000001</v>
      </c>
      <c r="H4" s="6">
        <v>3.0255999999999998</v>
      </c>
      <c r="I4" s="6">
        <v>3.6541999999999999</v>
      </c>
      <c r="J4" s="6">
        <v>4.57</v>
      </c>
      <c r="K4" s="15">
        <f>IF(D4=0, 0, 100*(E4 - D4*1)/(D4*1))</f>
        <v>0.20652173913043617</v>
      </c>
      <c r="L4" s="15">
        <f>IF(D4=0, 0, 100*(F4 - D4*1.5)/(D4*1.5))</f>
        <v>-0.31159420289856465</v>
      </c>
      <c r="M4" s="15">
        <f t="shared" si="2"/>
        <v>-0.8695652173913051</v>
      </c>
      <c r="N4" s="15">
        <f t="shared" si="3"/>
        <v>-0.34255599472991394</v>
      </c>
      <c r="O4" s="15">
        <f t="shared" si="4"/>
        <v>-0.70108695652174635</v>
      </c>
      <c r="P4" s="15">
        <f t="shared" si="5"/>
        <v>-0.6521739130434836</v>
      </c>
      <c r="Q4" s="6" t="str">
        <f>IF(AND(K4&gt;=0.11,K4&lt;=0.27,L4&gt;=-0.36,L4&lt;=-0.22,M4&gt;=-0.92,M4&lt;=-0.82,N4&gt;=-0.4,N4&lt;=-0.3,O4&gt;=-0.79,O4&lt;=-0.64,P4&gt;=-0.76,P4&lt;=-0.61), "Yes", IF(AND(K4=0,L4=0,M4=0,N4=0,O4=0,P4=0), "Ready to test", "No"))</f>
        <v>Yes</v>
      </c>
    </row>
    <row r="5" spans="1:17" x14ac:dyDescent="0.3">
      <c r="A5" s="16"/>
      <c r="B5" s="6"/>
      <c r="C5" s="6"/>
      <c r="D5" s="6"/>
      <c r="E5" s="6"/>
      <c r="F5" s="6"/>
      <c r="G5" s="6"/>
      <c r="H5" s="6"/>
      <c r="I5" s="6"/>
      <c r="J5" s="6"/>
      <c r="K5" s="15">
        <f t="shared" si="0"/>
        <v>0</v>
      </c>
      <c r="L5" s="15">
        <f t="shared" si="1"/>
        <v>0</v>
      </c>
      <c r="M5" s="15">
        <f t="shared" si="2"/>
        <v>0</v>
      </c>
      <c r="N5" s="15">
        <f t="shared" si="3"/>
        <v>0</v>
      </c>
      <c r="O5" s="15">
        <f t="shared" si="4"/>
        <v>0</v>
      </c>
      <c r="P5" s="15">
        <f t="shared" si="5"/>
        <v>0</v>
      </c>
      <c r="Q5" s="6" t="str">
        <f>IF(AND(K5&gt;=0.11,K5&lt;=0.27,L5&gt;=-0.38,L5&lt;=-0.22,M5&gt;=-0.94,M5&lt;=-0.82,N5&gt;=-0.41,N5&lt;=-0.3,O5&gt;=-0.79,O5&lt;=-0.64,P5&gt;=-0.76,P5&lt;=-0.61), "Yes", IF(AND(K5=0,L5=0,M5=0,N5=0,O5=0,P5=0), "Ready to test", "No"))</f>
        <v>Ready to test</v>
      </c>
    </row>
    <row r="6" spans="1:17" x14ac:dyDescent="0.3">
      <c r="A6" s="16"/>
      <c r="B6" s="6"/>
      <c r="C6" s="6"/>
      <c r="D6" s="6"/>
      <c r="E6" s="6"/>
      <c r="F6" s="6"/>
      <c r="G6" s="17"/>
      <c r="H6" s="6"/>
      <c r="I6" s="6"/>
      <c r="J6" s="6"/>
      <c r="K6" s="15">
        <f t="shared" si="0"/>
        <v>0</v>
      </c>
      <c r="L6" s="15">
        <f t="shared" si="1"/>
        <v>0</v>
      </c>
      <c r="M6" s="15">
        <f t="shared" si="2"/>
        <v>0</v>
      </c>
      <c r="N6" s="15">
        <f t="shared" si="3"/>
        <v>0</v>
      </c>
      <c r="O6" s="15">
        <f t="shared" si="4"/>
        <v>0</v>
      </c>
      <c r="P6" s="15">
        <f t="shared" si="5"/>
        <v>0</v>
      </c>
      <c r="Q6" s="6" t="str">
        <f t="shared" ref="Q6:Q16" si="6">IF(AND(K6&gt;=0.11,K6&lt;=0.27,L6&gt;=-0.36,L6&lt;=-0.22,M6&gt;=-0.92,M6&lt;=-0.82,N6&gt;=-0.4,N6&lt;=-0.3,O6&gt;=-0.79,O6&lt;=-0.64,P6&gt;=-0.76,P6&lt;=-0.61), "Yes", IF(AND(K6=0,L6=0,M6=0,N6=0,O6=0,P6=0), "Ready to test", "No"))</f>
        <v>Ready to test</v>
      </c>
    </row>
    <row r="7" spans="1:17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15">
        <f t="shared" si="0"/>
        <v>0</v>
      </c>
      <c r="L7" s="15">
        <f t="shared" si="1"/>
        <v>0</v>
      </c>
      <c r="M7" s="15">
        <f t="shared" si="2"/>
        <v>0</v>
      </c>
      <c r="N7" s="15">
        <f t="shared" si="3"/>
        <v>0</v>
      </c>
      <c r="O7" s="15">
        <f t="shared" si="4"/>
        <v>0</v>
      </c>
      <c r="P7" s="15">
        <f t="shared" si="5"/>
        <v>0</v>
      </c>
      <c r="Q7" s="6" t="str">
        <f t="shared" si="6"/>
        <v>Ready to test</v>
      </c>
    </row>
    <row r="8" spans="1:17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15">
        <f t="shared" si="0"/>
        <v>0</v>
      </c>
      <c r="L8" s="15">
        <f t="shared" si="1"/>
        <v>0</v>
      </c>
      <c r="M8" s="15">
        <f t="shared" si="2"/>
        <v>0</v>
      </c>
      <c r="N8" s="15">
        <f t="shared" si="3"/>
        <v>0</v>
      </c>
      <c r="O8" s="15">
        <f t="shared" si="4"/>
        <v>0</v>
      </c>
      <c r="P8" s="15">
        <f t="shared" si="5"/>
        <v>0</v>
      </c>
      <c r="Q8" s="6" t="str">
        <f t="shared" si="6"/>
        <v>Ready to test</v>
      </c>
    </row>
    <row r="9" spans="1:17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15">
        <f t="shared" si="0"/>
        <v>0</v>
      </c>
      <c r="L9" s="15">
        <f t="shared" si="1"/>
        <v>0</v>
      </c>
      <c r="M9" s="15">
        <f t="shared" si="2"/>
        <v>0</v>
      </c>
      <c r="N9" s="15">
        <f t="shared" si="3"/>
        <v>0</v>
      </c>
      <c r="O9" s="15">
        <f t="shared" si="4"/>
        <v>0</v>
      </c>
      <c r="P9" s="15">
        <f t="shared" si="5"/>
        <v>0</v>
      </c>
      <c r="Q9" s="6" t="str">
        <f t="shared" si="6"/>
        <v>Ready to test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15">
        <f t="shared" si="0"/>
        <v>0</v>
      </c>
      <c r="L10" s="15">
        <f t="shared" si="1"/>
        <v>0</v>
      </c>
      <c r="M10" s="15">
        <f t="shared" si="2"/>
        <v>0</v>
      </c>
      <c r="N10" s="15">
        <f t="shared" si="3"/>
        <v>0</v>
      </c>
      <c r="O10" s="15">
        <f t="shared" si="4"/>
        <v>0</v>
      </c>
      <c r="P10" s="15">
        <f t="shared" si="5"/>
        <v>0</v>
      </c>
      <c r="Q10" s="6" t="str">
        <f t="shared" si="6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15">
        <f t="shared" si="0"/>
        <v>0</v>
      </c>
      <c r="L11" s="15">
        <f t="shared" si="1"/>
        <v>0</v>
      </c>
      <c r="M11" s="15">
        <f t="shared" si="2"/>
        <v>0</v>
      </c>
      <c r="N11" s="15">
        <f t="shared" si="3"/>
        <v>0</v>
      </c>
      <c r="O11" s="15">
        <f t="shared" si="4"/>
        <v>0</v>
      </c>
      <c r="P11" s="15">
        <f t="shared" si="5"/>
        <v>0</v>
      </c>
      <c r="Q11" s="6" t="str">
        <f t="shared" si="6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15">
        <f t="shared" si="0"/>
        <v>0</v>
      </c>
      <c r="L12" s="15">
        <f t="shared" si="1"/>
        <v>0</v>
      </c>
      <c r="M12" s="15">
        <f t="shared" si="2"/>
        <v>0</v>
      </c>
      <c r="N12" s="15">
        <f t="shared" si="3"/>
        <v>0</v>
      </c>
      <c r="O12" s="15">
        <f t="shared" si="4"/>
        <v>0</v>
      </c>
      <c r="P12" s="15">
        <f t="shared" si="5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15">
        <f t="shared" si="0"/>
        <v>0</v>
      </c>
      <c r="L13" s="15">
        <f t="shared" si="1"/>
        <v>0</v>
      </c>
      <c r="M13" s="15">
        <f t="shared" si="2"/>
        <v>0</v>
      </c>
      <c r="N13" s="15">
        <f t="shared" si="3"/>
        <v>0</v>
      </c>
      <c r="O13" s="15">
        <f t="shared" si="4"/>
        <v>0</v>
      </c>
      <c r="P13" s="15">
        <f t="shared" si="5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15">
        <f t="shared" si="0"/>
        <v>0</v>
      </c>
      <c r="L14" s="15">
        <f t="shared" si="1"/>
        <v>0</v>
      </c>
      <c r="M14" s="15">
        <f t="shared" si="2"/>
        <v>0</v>
      </c>
      <c r="N14" s="15">
        <f t="shared" si="3"/>
        <v>0</v>
      </c>
      <c r="O14" s="15">
        <f t="shared" si="4"/>
        <v>0</v>
      </c>
      <c r="P14" s="15">
        <f t="shared" si="5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15">
        <f t="shared" si="0"/>
        <v>0</v>
      </c>
      <c r="L15" s="15">
        <f t="shared" si="1"/>
        <v>0</v>
      </c>
      <c r="M15" s="15">
        <f t="shared" si="2"/>
        <v>0</v>
      </c>
      <c r="N15" s="15">
        <f t="shared" si="3"/>
        <v>0</v>
      </c>
      <c r="O15" s="15">
        <f t="shared" si="4"/>
        <v>0</v>
      </c>
      <c r="P15" s="15">
        <f t="shared" si="5"/>
        <v>0</v>
      </c>
      <c r="Q15" s="6" t="str">
        <f t="shared" si="6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15">
        <f t="shared" si="0"/>
        <v>0</v>
      </c>
      <c r="L16" s="15">
        <f t="shared" si="1"/>
        <v>0</v>
      </c>
      <c r="M16" s="15">
        <f t="shared" si="2"/>
        <v>0</v>
      </c>
      <c r="N16" s="15">
        <f t="shared" si="3"/>
        <v>0</v>
      </c>
      <c r="O16" s="15">
        <f t="shared" si="4"/>
        <v>0</v>
      </c>
      <c r="P16" s="15">
        <f t="shared" si="5"/>
        <v>0</v>
      </c>
      <c r="Q16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6">
    <cfRule type="expression" dxfId="74" priority="1">
      <formula>Q3="Alert"</formula>
    </cfRule>
    <cfRule type="expression" dxfId="73" priority="2">
      <formula>Q3="Yes"</formula>
    </cfRule>
    <cfRule type="expression" dxfId="72" priority="3">
      <formula>Q3="No"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A6071-E0D4-4A06-A6B2-A3DEB3E75BC6}">
  <dimension ref="A1:Q16"/>
  <sheetViews>
    <sheetView topLeftCell="F1" workbookViewId="0">
      <selection activeCell="K4" sqref="K4:P4"/>
    </sheetView>
  </sheetViews>
  <sheetFormatPr defaultColWidth="8.6640625" defaultRowHeight="14.4" x14ac:dyDescent="0.3"/>
  <cols>
    <col min="1" max="1" width="15" style="1" customWidth="1"/>
    <col min="2" max="2" width="9" style="1" bestFit="1" customWidth="1"/>
    <col min="3" max="3" width="12" style="1" bestFit="1" customWidth="1"/>
    <col min="4" max="4" width="17.44140625" style="1" bestFit="1" customWidth="1"/>
    <col min="5" max="5" width="12" style="1" customWidth="1"/>
    <col min="6" max="6" width="11.5546875" style="1" customWidth="1"/>
    <col min="7" max="7" width="12.33203125" style="1" customWidth="1"/>
    <col min="8" max="8" width="12" style="1" customWidth="1"/>
    <col min="9" max="9" width="11.109375" style="1" customWidth="1"/>
    <col min="10" max="10" width="11.33203125" style="1" customWidth="1"/>
    <col min="11" max="11" width="11.44140625" style="1" customWidth="1"/>
    <col min="12" max="12" width="13.44140625" style="1" customWidth="1"/>
    <col min="13" max="13" width="11.44140625" style="1" customWidth="1"/>
    <col min="14" max="14" width="18.33203125" style="1" bestFit="1" customWidth="1"/>
    <col min="15" max="15" width="13.5546875" style="1" customWidth="1"/>
    <col min="16" max="16" width="14.5546875" style="1" customWidth="1"/>
    <col min="17" max="17" width="12.88671875" style="1" customWidth="1"/>
    <col min="18" max="16384" width="8.6640625" style="1"/>
  </cols>
  <sheetData>
    <row r="1" spans="1:17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5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</row>
    <row r="3" spans="1:17" x14ac:dyDescent="0.3">
      <c r="A3" s="7">
        <v>46103</v>
      </c>
      <c r="B3" s="4" t="s">
        <v>5</v>
      </c>
      <c r="C3" s="4" t="s">
        <v>180</v>
      </c>
      <c r="D3" s="4">
        <v>0.92</v>
      </c>
      <c r="E3" s="4">
        <v>0.92179999999999995</v>
      </c>
      <c r="F3" s="4">
        <v>1.3764000000000001</v>
      </c>
      <c r="G3" s="4">
        <v>1.8244</v>
      </c>
      <c r="H3" s="4">
        <v>3.0264000000000002</v>
      </c>
      <c r="I3" s="4">
        <v>3.6549</v>
      </c>
      <c r="J3" s="4">
        <v>4.5704000000000002</v>
      </c>
      <c r="K3" s="5">
        <f t="shared" ref="K3:K16" si="0">IF(D3=0, 0, 100*(E3 - D3*1)/(D3*1))</f>
        <v>0.19565217391303399</v>
      </c>
      <c r="L3" s="5">
        <f t="shared" ref="L3:L16" si="1">IF(D3=0, 0, 100*(F3 - D3*1.5)/(D3*1.5))</f>
        <v>-0.26086956521739474</v>
      </c>
      <c r="M3" s="5">
        <f t="shared" ref="M3:M16" si="2">IF(D3=0, 0, 100*(G3 - D3*2)/(D3*2))</f>
        <v>-0.84782608695652484</v>
      </c>
      <c r="N3" s="5">
        <f t="shared" ref="N3:N16" si="3">IF(D3=0, 0, 100*(H3 - D3*3.3)/(D3*3.3))</f>
        <v>-0.31620553359683234</v>
      </c>
      <c r="O3" s="5">
        <f t="shared" ref="O3:O16" si="4">IF(D3=0, 0, 100*(I3 - D3*4)/(D3*4))</f>
        <v>-0.68206521739130765</v>
      </c>
      <c r="P3" s="5">
        <f t="shared" ref="P3:P16" si="5">IF(D3=0, 0, 100*(J3 - D3*5)/(D3*5))</f>
        <v>-0.64347826086957149</v>
      </c>
      <c r="Q3" s="4" t="str">
        <f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>
        <v>46162</v>
      </c>
      <c r="B4" s="6" t="s">
        <v>5</v>
      </c>
      <c r="C4" s="6" t="s">
        <v>98</v>
      </c>
      <c r="D4" s="6">
        <v>0.92</v>
      </c>
      <c r="E4" s="6">
        <v>0.92190000000000005</v>
      </c>
      <c r="F4" s="6">
        <v>1.3755999999999999</v>
      </c>
      <c r="G4" s="17">
        <v>1.8241000000000001</v>
      </c>
      <c r="H4" s="6">
        <v>3.0255999999999998</v>
      </c>
      <c r="I4" s="6">
        <v>3.6543000000000001</v>
      </c>
      <c r="J4" s="6">
        <v>4.5697999999999999</v>
      </c>
      <c r="K4" s="15">
        <f t="shared" si="0"/>
        <v>0.20652173913043617</v>
      </c>
      <c r="L4" s="15">
        <f t="shared" si="1"/>
        <v>-0.31884057971015806</v>
      </c>
      <c r="M4" s="15">
        <f t="shared" si="2"/>
        <v>-0.86413043478260998</v>
      </c>
      <c r="N4" s="15">
        <f t="shared" si="3"/>
        <v>-0.34255599472991394</v>
      </c>
      <c r="O4" s="15">
        <f t="shared" si="4"/>
        <v>-0.6983695652173928</v>
      </c>
      <c r="P4" s="15">
        <f t="shared" si="5"/>
        <v>-0.65652173913044931</v>
      </c>
      <c r="Q4" s="6" t="str">
        <f>IF(AND(K4&gt;=0.11,K4&lt;=0.27,L4&gt;=-0.36,L4&lt;=-0.22,M4&gt;=-0.92,M4&lt;=-0.82,N4&gt;=-0.4,N4&lt;=-0.3,O4&gt;=-0.79,O4&lt;=-0.64,P4&gt;=-0.76,P4&lt;=-0.61), "Yes", IF(AND(K4=0,L4=0,M4=0,N4=0,O4=0,P4=0), "Ready to test", "No"))</f>
        <v>Yes</v>
      </c>
    </row>
    <row r="5" spans="1:17" x14ac:dyDescent="0.3">
      <c r="A5" s="16"/>
      <c r="B5" s="6"/>
      <c r="C5" s="6"/>
      <c r="D5" s="6"/>
      <c r="E5" s="6"/>
      <c r="F5" s="6"/>
      <c r="G5" s="6"/>
      <c r="H5" s="6"/>
      <c r="I5" s="6"/>
      <c r="J5" s="6"/>
      <c r="K5" s="15">
        <f t="shared" si="0"/>
        <v>0</v>
      </c>
      <c r="L5" s="15">
        <f t="shared" si="1"/>
        <v>0</v>
      </c>
      <c r="M5" s="15">
        <f t="shared" si="2"/>
        <v>0</v>
      </c>
      <c r="N5" s="15">
        <f t="shared" si="3"/>
        <v>0</v>
      </c>
      <c r="O5" s="15">
        <f t="shared" si="4"/>
        <v>0</v>
      </c>
      <c r="P5" s="15">
        <f t="shared" si="5"/>
        <v>0</v>
      </c>
      <c r="Q5" s="6" t="str">
        <f>IF(AND(K5&gt;=0.11,K5&lt;=0.27,L5&gt;=-0.38,L5&lt;=-0.22,M5&gt;=-0.94,M5&lt;=-0.82,N5&gt;=-0.41,N5&lt;=-0.3,O5&gt;=-0.79,O5&lt;=-0.64,P5&gt;=-0.76,P5&lt;=-0.61), "Yes", IF(AND(K5=0,L5=0,M5=0,N5=0,O5=0,P5=0), "Ready to test", "No"))</f>
        <v>Ready to test</v>
      </c>
    </row>
    <row r="6" spans="1:17" x14ac:dyDescent="0.3">
      <c r="A6" s="16"/>
      <c r="B6" s="6"/>
      <c r="C6" s="6"/>
      <c r="D6" s="6"/>
      <c r="E6" s="6"/>
      <c r="F6" s="6"/>
      <c r="G6" s="17"/>
      <c r="H6" s="6"/>
      <c r="I6" s="6"/>
      <c r="J6" s="6"/>
      <c r="K6" s="15">
        <f t="shared" si="0"/>
        <v>0</v>
      </c>
      <c r="L6" s="15">
        <f t="shared" si="1"/>
        <v>0</v>
      </c>
      <c r="M6" s="15">
        <f t="shared" si="2"/>
        <v>0</v>
      </c>
      <c r="N6" s="15">
        <f t="shared" si="3"/>
        <v>0</v>
      </c>
      <c r="O6" s="15">
        <f t="shared" si="4"/>
        <v>0</v>
      </c>
      <c r="P6" s="15">
        <f t="shared" si="5"/>
        <v>0</v>
      </c>
      <c r="Q6" s="6" t="str">
        <f t="shared" ref="Q6:Q16" si="6">IF(AND(K6&gt;=0.11,K6&lt;=0.27,L6&gt;=-0.36,L6&lt;=-0.22,M6&gt;=-0.92,M6&lt;=-0.82,N6&gt;=-0.4,N6&lt;=-0.3,O6&gt;=-0.79,O6&lt;=-0.64,P6&gt;=-0.76,P6&lt;=-0.61), "Yes", IF(AND(K6=0,L6=0,M6=0,N6=0,O6=0,P6=0), "Ready to test", "No"))</f>
        <v>Ready to test</v>
      </c>
    </row>
    <row r="7" spans="1:17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15">
        <f t="shared" si="0"/>
        <v>0</v>
      </c>
      <c r="L7" s="15">
        <f t="shared" si="1"/>
        <v>0</v>
      </c>
      <c r="M7" s="15">
        <f t="shared" si="2"/>
        <v>0</v>
      </c>
      <c r="N7" s="15">
        <f t="shared" si="3"/>
        <v>0</v>
      </c>
      <c r="O7" s="15">
        <f t="shared" si="4"/>
        <v>0</v>
      </c>
      <c r="P7" s="15">
        <f t="shared" si="5"/>
        <v>0</v>
      </c>
      <c r="Q7" s="6" t="str">
        <f t="shared" si="6"/>
        <v>Ready to test</v>
      </c>
    </row>
    <row r="8" spans="1:17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15">
        <f t="shared" si="0"/>
        <v>0</v>
      </c>
      <c r="L8" s="15">
        <f t="shared" si="1"/>
        <v>0</v>
      </c>
      <c r="M8" s="15">
        <f t="shared" si="2"/>
        <v>0</v>
      </c>
      <c r="N8" s="15">
        <f t="shared" si="3"/>
        <v>0</v>
      </c>
      <c r="O8" s="15">
        <f t="shared" si="4"/>
        <v>0</v>
      </c>
      <c r="P8" s="15">
        <f t="shared" si="5"/>
        <v>0</v>
      </c>
      <c r="Q8" s="6" t="str">
        <f t="shared" si="6"/>
        <v>Ready to test</v>
      </c>
    </row>
    <row r="9" spans="1:17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15">
        <f t="shared" si="0"/>
        <v>0</v>
      </c>
      <c r="L9" s="15">
        <f t="shared" si="1"/>
        <v>0</v>
      </c>
      <c r="M9" s="15">
        <f t="shared" si="2"/>
        <v>0</v>
      </c>
      <c r="N9" s="15">
        <f t="shared" si="3"/>
        <v>0</v>
      </c>
      <c r="O9" s="15">
        <f t="shared" si="4"/>
        <v>0</v>
      </c>
      <c r="P9" s="15">
        <f t="shared" si="5"/>
        <v>0</v>
      </c>
      <c r="Q9" s="6" t="str">
        <f t="shared" si="6"/>
        <v>Ready to test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15">
        <f t="shared" si="0"/>
        <v>0</v>
      </c>
      <c r="L10" s="15">
        <f t="shared" si="1"/>
        <v>0</v>
      </c>
      <c r="M10" s="15">
        <f t="shared" si="2"/>
        <v>0</v>
      </c>
      <c r="N10" s="15">
        <f t="shared" si="3"/>
        <v>0</v>
      </c>
      <c r="O10" s="15">
        <f t="shared" si="4"/>
        <v>0</v>
      </c>
      <c r="P10" s="15">
        <f t="shared" si="5"/>
        <v>0</v>
      </c>
      <c r="Q10" s="6" t="str">
        <f t="shared" si="6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15">
        <f t="shared" si="0"/>
        <v>0</v>
      </c>
      <c r="L11" s="15">
        <f t="shared" si="1"/>
        <v>0</v>
      </c>
      <c r="M11" s="15">
        <f t="shared" si="2"/>
        <v>0</v>
      </c>
      <c r="N11" s="15">
        <f t="shared" si="3"/>
        <v>0</v>
      </c>
      <c r="O11" s="15">
        <f t="shared" si="4"/>
        <v>0</v>
      </c>
      <c r="P11" s="15">
        <f t="shared" si="5"/>
        <v>0</v>
      </c>
      <c r="Q11" s="6" t="str">
        <f t="shared" si="6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15">
        <f t="shared" si="0"/>
        <v>0</v>
      </c>
      <c r="L12" s="15">
        <f t="shared" si="1"/>
        <v>0</v>
      </c>
      <c r="M12" s="15">
        <f t="shared" si="2"/>
        <v>0</v>
      </c>
      <c r="N12" s="15">
        <f t="shared" si="3"/>
        <v>0</v>
      </c>
      <c r="O12" s="15">
        <f t="shared" si="4"/>
        <v>0</v>
      </c>
      <c r="P12" s="15">
        <f t="shared" si="5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15">
        <f t="shared" si="0"/>
        <v>0</v>
      </c>
      <c r="L13" s="15">
        <f t="shared" si="1"/>
        <v>0</v>
      </c>
      <c r="M13" s="15">
        <f t="shared" si="2"/>
        <v>0</v>
      </c>
      <c r="N13" s="15">
        <f t="shared" si="3"/>
        <v>0</v>
      </c>
      <c r="O13" s="15">
        <f t="shared" si="4"/>
        <v>0</v>
      </c>
      <c r="P13" s="15">
        <f t="shared" si="5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15">
        <f t="shared" si="0"/>
        <v>0</v>
      </c>
      <c r="L14" s="15">
        <f t="shared" si="1"/>
        <v>0</v>
      </c>
      <c r="M14" s="15">
        <f t="shared" si="2"/>
        <v>0</v>
      </c>
      <c r="N14" s="15">
        <f t="shared" si="3"/>
        <v>0</v>
      </c>
      <c r="O14" s="15">
        <f t="shared" si="4"/>
        <v>0</v>
      </c>
      <c r="P14" s="15">
        <f t="shared" si="5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15">
        <f t="shared" si="0"/>
        <v>0</v>
      </c>
      <c r="L15" s="15">
        <f t="shared" si="1"/>
        <v>0</v>
      </c>
      <c r="M15" s="15">
        <f t="shared" si="2"/>
        <v>0</v>
      </c>
      <c r="N15" s="15">
        <f t="shared" si="3"/>
        <v>0</v>
      </c>
      <c r="O15" s="15">
        <f t="shared" si="4"/>
        <v>0</v>
      </c>
      <c r="P15" s="15">
        <f t="shared" si="5"/>
        <v>0</v>
      </c>
      <c r="Q15" s="6" t="str">
        <f t="shared" si="6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15">
        <f t="shared" si="0"/>
        <v>0</v>
      </c>
      <c r="L16" s="15">
        <f t="shared" si="1"/>
        <v>0</v>
      </c>
      <c r="M16" s="15">
        <f t="shared" si="2"/>
        <v>0</v>
      </c>
      <c r="N16" s="15">
        <f t="shared" si="3"/>
        <v>0</v>
      </c>
      <c r="O16" s="15">
        <f t="shared" si="4"/>
        <v>0</v>
      </c>
      <c r="P16" s="15">
        <f t="shared" si="5"/>
        <v>0</v>
      </c>
      <c r="Q16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6">
    <cfRule type="expression" dxfId="71" priority="1">
      <formula>Q3="Alert"</formula>
    </cfRule>
    <cfRule type="expression" dxfId="70" priority="2">
      <formula>Q3="Yes"</formula>
    </cfRule>
    <cfRule type="expression" dxfId="69" priority="3">
      <formula>Q3="No"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59DBF-4750-4D6F-9CDF-E71DE45D79C6}">
  <dimension ref="A1:Q16"/>
  <sheetViews>
    <sheetView topLeftCell="E1" workbookViewId="0">
      <selection activeCell="L18" sqref="L18"/>
    </sheetView>
  </sheetViews>
  <sheetFormatPr defaultColWidth="8.6640625" defaultRowHeight="14.4" x14ac:dyDescent="0.3"/>
  <cols>
    <col min="1" max="1" width="15" style="1" customWidth="1"/>
    <col min="2" max="2" width="9" style="1" bestFit="1" customWidth="1"/>
    <col min="3" max="3" width="12" style="1" bestFit="1" customWidth="1"/>
    <col min="4" max="4" width="17.44140625" style="1" bestFit="1" customWidth="1"/>
    <col min="5" max="5" width="12" style="1" customWidth="1"/>
    <col min="6" max="6" width="11.5546875" style="1" customWidth="1"/>
    <col min="7" max="7" width="12.33203125" style="1" customWidth="1"/>
    <col min="8" max="8" width="12" style="1" customWidth="1"/>
    <col min="9" max="9" width="11.109375" style="1" customWidth="1"/>
    <col min="10" max="10" width="11.33203125" style="1" customWidth="1"/>
    <col min="11" max="11" width="11.44140625" style="1" customWidth="1"/>
    <col min="12" max="12" width="13.44140625" style="1" customWidth="1"/>
    <col min="13" max="13" width="11.44140625" style="1" customWidth="1"/>
    <col min="14" max="14" width="18.33203125" style="1" bestFit="1" customWidth="1"/>
    <col min="15" max="15" width="13.5546875" style="1" customWidth="1"/>
    <col min="16" max="16" width="14.5546875" style="1" customWidth="1"/>
    <col min="17" max="17" width="12.88671875" style="1" customWidth="1"/>
    <col min="18" max="16384" width="8.6640625" style="1"/>
  </cols>
  <sheetData>
    <row r="1" spans="1:17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5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</row>
    <row r="3" spans="1:17" x14ac:dyDescent="0.3">
      <c r="A3" s="7">
        <v>46103</v>
      </c>
      <c r="B3" s="4" t="s">
        <v>5</v>
      </c>
      <c r="C3" s="4" t="s">
        <v>180</v>
      </c>
      <c r="D3" s="4">
        <v>0.92</v>
      </c>
      <c r="E3" s="4">
        <v>0.92179999999999995</v>
      </c>
      <c r="F3" s="4">
        <v>1.3767</v>
      </c>
      <c r="G3" s="4">
        <v>1.8244</v>
      </c>
      <c r="H3" s="4">
        <v>3.0265</v>
      </c>
      <c r="I3" s="4">
        <v>3.6553</v>
      </c>
      <c r="J3" s="4">
        <v>4.5704000000000002</v>
      </c>
      <c r="K3" s="5">
        <f t="shared" ref="K3:K16" si="0">IF(D3=0, 0, 100*(E3 - D3*1)/(D3*1))</f>
        <v>0.19565217391303399</v>
      </c>
      <c r="L3" s="5">
        <f t="shared" ref="L3:L16" si="1">IF(D3=0, 0, 100*(F3 - D3*1.5)/(D3*1.5))</f>
        <v>-0.23913043478261453</v>
      </c>
      <c r="M3" s="5">
        <f t="shared" ref="M3:M16" si="2">IF(D3=0, 0, 100*(G3 - D3*2)/(D3*2))</f>
        <v>-0.84782608695652484</v>
      </c>
      <c r="N3" s="5">
        <f t="shared" ref="N3:N16" si="3">IF(D3=0, 0, 100*(H3 - D3*3.3)/(D3*3.3))</f>
        <v>-0.31291172595520633</v>
      </c>
      <c r="O3" s="5">
        <f t="shared" ref="O3:O16" si="4">IF(D3=0, 0, 100*(I3 - D3*4)/(D3*4))</f>
        <v>-0.67119565217391752</v>
      </c>
      <c r="P3" s="5">
        <f t="shared" ref="P3:P16" si="5">IF(D3=0, 0, 100*(J3 - D3*5)/(D3*5))</f>
        <v>-0.64347826086957149</v>
      </c>
      <c r="Q3" s="4" t="str">
        <f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>
        <v>46162</v>
      </c>
      <c r="B4" s="6" t="s">
        <v>5</v>
      </c>
      <c r="C4" s="6" t="s">
        <v>98</v>
      </c>
      <c r="D4" s="6">
        <v>0.92</v>
      </c>
      <c r="E4" s="6">
        <v>0.9214</v>
      </c>
      <c r="F4" s="6">
        <v>1.3759999999999999</v>
      </c>
      <c r="G4" s="17">
        <v>1.8240000000000001</v>
      </c>
      <c r="H4" s="6">
        <v>3.0257000000000001</v>
      </c>
      <c r="I4" s="6">
        <v>3.6545999999999998</v>
      </c>
      <c r="J4" s="6">
        <v>4.5697999999999999</v>
      </c>
      <c r="K4" s="15">
        <f t="shared" si="0"/>
        <v>0.15217391304347355</v>
      </c>
      <c r="L4" s="15">
        <f t="shared" si="1"/>
        <v>-0.28985507246378445</v>
      </c>
      <c r="M4" s="15">
        <f t="shared" si="2"/>
        <v>-0.8695652173913051</v>
      </c>
      <c r="N4" s="15">
        <f t="shared" si="3"/>
        <v>-0.33926218708827327</v>
      </c>
      <c r="O4" s="15">
        <f>IF(D4=0, 0, 100*(I4 - D4*4)/(D4*4))</f>
        <v>-0.69021739130435622</v>
      </c>
      <c r="P4" s="15">
        <f t="shared" si="5"/>
        <v>-0.65652173913044931</v>
      </c>
      <c r="Q4" s="6" t="str">
        <f>IF(AND(K4&gt;=0.11,K4&lt;=0.27,L4&gt;=-0.36,L4&lt;=-0.22,M4&gt;=-0.92,M4&lt;=-0.82,N4&gt;=-0.4,N4&lt;=-0.3,O4&gt;=-0.79,O4&lt;=-0.64,P4&gt;=-0.76,P4&lt;=-0.61), "Yes", IF(AND(K4=0,L4=0,M4=0,N4=0,O4=0,P4=0), "Ready to test", "No"))</f>
        <v>Yes</v>
      </c>
    </row>
    <row r="5" spans="1:17" x14ac:dyDescent="0.3">
      <c r="A5" s="16"/>
      <c r="B5" s="6"/>
      <c r="C5" s="6"/>
      <c r="D5" s="6"/>
      <c r="E5" s="6"/>
      <c r="F5" s="6"/>
      <c r="G5" s="6"/>
      <c r="H5" s="6"/>
      <c r="I5" s="6"/>
      <c r="J5" s="6"/>
      <c r="K5" s="15">
        <f t="shared" si="0"/>
        <v>0</v>
      </c>
      <c r="L5" s="15">
        <f t="shared" si="1"/>
        <v>0</v>
      </c>
      <c r="M5" s="15">
        <f t="shared" si="2"/>
        <v>0</v>
      </c>
      <c r="N5" s="15">
        <f t="shared" si="3"/>
        <v>0</v>
      </c>
      <c r="O5" s="15">
        <f t="shared" si="4"/>
        <v>0</v>
      </c>
      <c r="P5" s="15">
        <f t="shared" si="5"/>
        <v>0</v>
      </c>
      <c r="Q5" s="6" t="str">
        <f>IF(AND(K5&gt;=0.11,K5&lt;=0.27,L5&gt;=-0.38,L5&lt;=-0.22,M5&gt;=-0.94,M5&lt;=-0.82,N5&gt;=-0.41,N5&lt;=-0.3,O5&gt;=-0.79,O5&lt;=-0.64,P5&gt;=-0.76,P5&lt;=-0.61), "Yes", IF(AND(K5=0,L5=0,M5=0,N5=0,O5=0,P5=0), "Ready to test", "No"))</f>
        <v>Ready to test</v>
      </c>
    </row>
    <row r="6" spans="1:17" x14ac:dyDescent="0.3">
      <c r="A6" s="16"/>
      <c r="B6" s="6"/>
      <c r="C6" s="6"/>
      <c r="D6" s="6"/>
      <c r="E6" s="6"/>
      <c r="F6" s="6"/>
      <c r="G6" s="17"/>
      <c r="H6" s="6"/>
      <c r="I6" s="6"/>
      <c r="J6" s="6"/>
      <c r="K6" s="15">
        <f t="shared" si="0"/>
        <v>0</v>
      </c>
      <c r="L6" s="15">
        <f t="shared" si="1"/>
        <v>0</v>
      </c>
      <c r="M6" s="15">
        <f t="shared" si="2"/>
        <v>0</v>
      </c>
      <c r="N6" s="15">
        <f t="shared" si="3"/>
        <v>0</v>
      </c>
      <c r="O6" s="15">
        <f t="shared" si="4"/>
        <v>0</v>
      </c>
      <c r="P6" s="15">
        <f t="shared" si="5"/>
        <v>0</v>
      </c>
      <c r="Q6" s="6" t="str">
        <f t="shared" ref="Q6:Q16" si="6">IF(AND(K6&gt;=0.11,K6&lt;=0.27,L6&gt;=-0.36,L6&lt;=-0.22,M6&gt;=-0.92,M6&lt;=-0.82,N6&gt;=-0.4,N6&lt;=-0.3,O6&gt;=-0.79,O6&lt;=-0.64,P6&gt;=-0.76,P6&lt;=-0.61), "Yes", IF(AND(K6=0,L6=0,M6=0,N6=0,O6=0,P6=0), "Ready to test", "No"))</f>
        <v>Ready to test</v>
      </c>
    </row>
    <row r="7" spans="1:17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15">
        <f t="shared" si="0"/>
        <v>0</v>
      </c>
      <c r="L7" s="15">
        <f t="shared" si="1"/>
        <v>0</v>
      </c>
      <c r="M7" s="15">
        <f t="shared" si="2"/>
        <v>0</v>
      </c>
      <c r="N7" s="15">
        <f t="shared" si="3"/>
        <v>0</v>
      </c>
      <c r="O7" s="15">
        <f t="shared" si="4"/>
        <v>0</v>
      </c>
      <c r="P7" s="15">
        <f t="shared" si="5"/>
        <v>0</v>
      </c>
      <c r="Q7" s="6" t="str">
        <f t="shared" si="6"/>
        <v>Ready to test</v>
      </c>
    </row>
    <row r="8" spans="1:17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15">
        <f t="shared" si="0"/>
        <v>0</v>
      </c>
      <c r="L8" s="15">
        <f t="shared" si="1"/>
        <v>0</v>
      </c>
      <c r="M8" s="15">
        <f t="shared" si="2"/>
        <v>0</v>
      </c>
      <c r="N8" s="15">
        <f t="shared" si="3"/>
        <v>0</v>
      </c>
      <c r="O8" s="15">
        <f t="shared" si="4"/>
        <v>0</v>
      </c>
      <c r="P8" s="15">
        <f t="shared" si="5"/>
        <v>0</v>
      </c>
      <c r="Q8" s="6" t="str">
        <f t="shared" si="6"/>
        <v>Ready to test</v>
      </c>
    </row>
    <row r="9" spans="1:17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15">
        <f t="shared" si="0"/>
        <v>0</v>
      </c>
      <c r="L9" s="15">
        <f t="shared" si="1"/>
        <v>0</v>
      </c>
      <c r="M9" s="15">
        <f t="shared" si="2"/>
        <v>0</v>
      </c>
      <c r="N9" s="15">
        <f t="shared" si="3"/>
        <v>0</v>
      </c>
      <c r="O9" s="15">
        <f t="shared" si="4"/>
        <v>0</v>
      </c>
      <c r="P9" s="15">
        <f t="shared" si="5"/>
        <v>0</v>
      </c>
      <c r="Q9" s="6" t="str">
        <f t="shared" si="6"/>
        <v>Ready to test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15">
        <f t="shared" si="0"/>
        <v>0</v>
      </c>
      <c r="L10" s="15">
        <f t="shared" si="1"/>
        <v>0</v>
      </c>
      <c r="M10" s="15">
        <f t="shared" si="2"/>
        <v>0</v>
      </c>
      <c r="N10" s="15">
        <f t="shared" si="3"/>
        <v>0</v>
      </c>
      <c r="O10" s="15">
        <f t="shared" si="4"/>
        <v>0</v>
      </c>
      <c r="P10" s="15">
        <f t="shared" si="5"/>
        <v>0</v>
      </c>
      <c r="Q10" s="6" t="str">
        <f t="shared" si="6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15">
        <f t="shared" si="0"/>
        <v>0</v>
      </c>
      <c r="L11" s="15">
        <f t="shared" si="1"/>
        <v>0</v>
      </c>
      <c r="M11" s="15">
        <f t="shared" si="2"/>
        <v>0</v>
      </c>
      <c r="N11" s="15">
        <f t="shared" si="3"/>
        <v>0</v>
      </c>
      <c r="O11" s="15">
        <f t="shared" si="4"/>
        <v>0</v>
      </c>
      <c r="P11" s="15">
        <f t="shared" si="5"/>
        <v>0</v>
      </c>
      <c r="Q11" s="6" t="str">
        <f t="shared" si="6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15">
        <f t="shared" si="0"/>
        <v>0</v>
      </c>
      <c r="L12" s="15">
        <f t="shared" si="1"/>
        <v>0</v>
      </c>
      <c r="M12" s="15">
        <f t="shared" si="2"/>
        <v>0</v>
      </c>
      <c r="N12" s="15">
        <f t="shared" si="3"/>
        <v>0</v>
      </c>
      <c r="O12" s="15">
        <f t="shared" si="4"/>
        <v>0</v>
      </c>
      <c r="P12" s="15">
        <f t="shared" si="5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15">
        <f t="shared" si="0"/>
        <v>0</v>
      </c>
      <c r="L13" s="15">
        <f t="shared" si="1"/>
        <v>0</v>
      </c>
      <c r="M13" s="15">
        <f t="shared" si="2"/>
        <v>0</v>
      </c>
      <c r="N13" s="15">
        <f t="shared" si="3"/>
        <v>0</v>
      </c>
      <c r="O13" s="15">
        <f t="shared" si="4"/>
        <v>0</v>
      </c>
      <c r="P13" s="15">
        <f t="shared" si="5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15">
        <f t="shared" si="0"/>
        <v>0</v>
      </c>
      <c r="L14" s="15">
        <f t="shared" si="1"/>
        <v>0</v>
      </c>
      <c r="M14" s="15">
        <f t="shared" si="2"/>
        <v>0</v>
      </c>
      <c r="N14" s="15">
        <f t="shared" si="3"/>
        <v>0</v>
      </c>
      <c r="O14" s="15">
        <f t="shared" si="4"/>
        <v>0</v>
      </c>
      <c r="P14" s="15">
        <f t="shared" si="5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15">
        <f t="shared" si="0"/>
        <v>0</v>
      </c>
      <c r="L15" s="15">
        <f t="shared" si="1"/>
        <v>0</v>
      </c>
      <c r="M15" s="15">
        <f t="shared" si="2"/>
        <v>0</v>
      </c>
      <c r="N15" s="15">
        <f t="shared" si="3"/>
        <v>0</v>
      </c>
      <c r="O15" s="15">
        <f t="shared" si="4"/>
        <v>0</v>
      </c>
      <c r="P15" s="15">
        <f t="shared" si="5"/>
        <v>0</v>
      </c>
      <c r="Q15" s="6" t="str">
        <f t="shared" si="6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15">
        <f t="shared" si="0"/>
        <v>0</v>
      </c>
      <c r="L16" s="15">
        <f t="shared" si="1"/>
        <v>0</v>
      </c>
      <c r="M16" s="15">
        <f t="shared" si="2"/>
        <v>0</v>
      </c>
      <c r="N16" s="15">
        <f t="shared" si="3"/>
        <v>0</v>
      </c>
      <c r="O16" s="15">
        <f t="shared" si="4"/>
        <v>0</v>
      </c>
      <c r="P16" s="15">
        <f t="shared" si="5"/>
        <v>0</v>
      </c>
      <c r="Q16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6">
    <cfRule type="expression" dxfId="68" priority="1">
      <formula>Q3="Alert"</formula>
    </cfRule>
    <cfRule type="expression" dxfId="67" priority="2">
      <formula>Q3="Yes"</formula>
    </cfRule>
    <cfRule type="expression" dxfId="66" priority="3">
      <formula>Q3="No"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AB25D-67C7-484B-A09D-3178A56FF5D8}">
  <dimension ref="A1:Q16"/>
  <sheetViews>
    <sheetView workbookViewId="0">
      <selection activeCell="K4" sqref="K4:P4"/>
    </sheetView>
  </sheetViews>
  <sheetFormatPr defaultColWidth="8.6640625" defaultRowHeight="14.4" x14ac:dyDescent="0.3"/>
  <cols>
    <col min="1" max="1" width="15" style="1" customWidth="1"/>
    <col min="2" max="2" width="9" style="1" bestFit="1" customWidth="1"/>
    <col min="3" max="3" width="12" style="1" bestFit="1" customWidth="1"/>
    <col min="4" max="4" width="17.44140625" style="1" bestFit="1" customWidth="1"/>
    <col min="5" max="5" width="12" style="1" customWidth="1"/>
    <col min="6" max="6" width="11.5546875" style="1" customWidth="1"/>
    <col min="7" max="7" width="12.33203125" style="1" customWidth="1"/>
    <col min="8" max="8" width="12" style="1" customWidth="1"/>
    <col min="9" max="9" width="11.109375" style="1" customWidth="1"/>
    <col min="10" max="10" width="11.33203125" style="1" customWidth="1"/>
    <col min="11" max="11" width="11.44140625" style="1" customWidth="1"/>
    <col min="12" max="12" width="13.44140625" style="1" customWidth="1"/>
    <col min="13" max="13" width="11.44140625" style="1" customWidth="1"/>
    <col min="14" max="14" width="18.33203125" style="1" bestFit="1" customWidth="1"/>
    <col min="15" max="15" width="13.5546875" style="1" customWidth="1"/>
    <col min="16" max="16" width="14.5546875" style="1" customWidth="1"/>
    <col min="17" max="17" width="12.88671875" style="1" customWidth="1"/>
    <col min="18" max="16384" width="8.6640625" style="1"/>
  </cols>
  <sheetData>
    <row r="1" spans="1:17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5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</row>
    <row r="3" spans="1:17" x14ac:dyDescent="0.3">
      <c r="A3" s="7">
        <v>46103</v>
      </c>
      <c r="B3" s="4" t="s">
        <v>5</v>
      </c>
      <c r="C3" s="4" t="s">
        <v>180</v>
      </c>
      <c r="D3" s="4">
        <v>0.92</v>
      </c>
      <c r="E3" s="4">
        <v>0.92190000000000005</v>
      </c>
      <c r="F3" s="4">
        <v>1.3766</v>
      </c>
      <c r="G3" s="4">
        <v>1.8246</v>
      </c>
      <c r="H3" s="4">
        <v>3.0266000000000002</v>
      </c>
      <c r="I3" s="4">
        <v>3.6560999999999999</v>
      </c>
      <c r="J3" s="4">
        <v>4.5705999999999998</v>
      </c>
      <c r="K3" s="5">
        <f t="shared" ref="K3:K16" si="0">IF(D3=0, 0, 100*(E3 - D3*1)/(D3*1))</f>
        <v>0.20652173913043617</v>
      </c>
      <c r="L3" s="5">
        <f t="shared" ref="L3:L16" si="1">IF(D3=0, 0, 100*(F3 - D3*1.5)/(D3*1.5))</f>
        <v>-0.24637681159420793</v>
      </c>
      <c r="M3" s="5">
        <f t="shared" ref="M3:M16" si="2">IF(D3=0, 0, 100*(G3 - D3*2)/(D3*2))</f>
        <v>-0.83695652173913471</v>
      </c>
      <c r="N3" s="5">
        <f t="shared" ref="N3:N16" si="3">IF(D3=0, 0, 100*(H3 - D3*3.3)/(D3*3.3))</f>
        <v>-0.30961791831356567</v>
      </c>
      <c r="O3" s="5">
        <f t="shared" ref="O3:O16" si="4">IF(D3=0, 0, 100*(I3 - D3*4)/(D3*4))</f>
        <v>-0.64945652173913737</v>
      </c>
      <c r="P3" s="5">
        <f t="shared" ref="P3:P16" si="5">IF(D3=0, 0, 100*(J3 - D3*5)/(D3*5))</f>
        <v>-0.6391304347826251</v>
      </c>
      <c r="Q3" s="4" t="str">
        <f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>
        <v>46178</v>
      </c>
      <c r="B4" s="6" t="s">
        <v>119</v>
      </c>
      <c r="C4" s="4" t="s">
        <v>120</v>
      </c>
      <c r="D4" s="4">
        <v>0.92</v>
      </c>
      <c r="E4" s="6">
        <v>0.92190000000000005</v>
      </c>
      <c r="F4" s="6">
        <v>1.3761000000000001</v>
      </c>
      <c r="G4" s="17">
        <v>1.8244</v>
      </c>
      <c r="H4" s="6">
        <v>3.0261</v>
      </c>
      <c r="I4" s="6">
        <v>3.6537000000000002</v>
      </c>
      <c r="J4" s="6">
        <v>4.5697000000000001</v>
      </c>
      <c r="K4" s="15">
        <f t="shared" si="0"/>
        <v>0.20652173913043617</v>
      </c>
      <c r="L4" s="15">
        <f t="shared" si="1"/>
        <v>-0.28260869565217495</v>
      </c>
      <c r="M4" s="15">
        <f t="shared" si="2"/>
        <v>-0.84782608695652484</v>
      </c>
      <c r="N4" s="15">
        <f t="shared" si="3"/>
        <v>-0.3260869565217398</v>
      </c>
      <c r="O4" s="15">
        <f t="shared" si="4"/>
        <v>-0.71467391304347794</v>
      </c>
      <c r="P4" s="15">
        <f t="shared" si="5"/>
        <v>-0.65869565217392245</v>
      </c>
      <c r="Q4" s="6" t="str">
        <f>IF(AND(K4&gt;=0.11,K4&lt;=0.27,L4&gt;=-0.36,L4&lt;=-0.22,M4&gt;=-0.92,M4&lt;=-0.82,N4&gt;=-0.4,N4&lt;=-0.3,O4&gt;=-0.79,O4&lt;=-0.64,P4&gt;=-0.76,P4&lt;=-0.61), "Yes", IF(AND(K4=0,L4=0,M4=0,N4=0,O4=0,P4=0), "Ready to test", "No"))</f>
        <v>Yes</v>
      </c>
    </row>
    <row r="5" spans="1:17" x14ac:dyDescent="0.3">
      <c r="A5" s="16"/>
      <c r="B5" s="6"/>
      <c r="C5" s="6"/>
      <c r="D5" s="6"/>
      <c r="E5" s="6"/>
      <c r="F5" s="6"/>
      <c r="G5" s="6"/>
      <c r="H5" s="6"/>
      <c r="I5" s="6"/>
      <c r="J5" s="6"/>
      <c r="K5" s="15">
        <f t="shared" si="0"/>
        <v>0</v>
      </c>
      <c r="L5" s="15">
        <f t="shared" si="1"/>
        <v>0</v>
      </c>
      <c r="M5" s="15">
        <f t="shared" si="2"/>
        <v>0</v>
      </c>
      <c r="N5" s="15">
        <f t="shared" si="3"/>
        <v>0</v>
      </c>
      <c r="O5" s="15">
        <f t="shared" si="4"/>
        <v>0</v>
      </c>
      <c r="P5" s="15">
        <f t="shared" si="5"/>
        <v>0</v>
      </c>
      <c r="Q5" s="6" t="str">
        <f>IF(AND(K5&gt;=0.11,K5&lt;=0.27,L5&gt;=-0.38,L5&lt;=-0.22,M5&gt;=-0.94,M5&lt;=-0.82,N5&gt;=-0.41,N5&lt;=-0.3,O5&gt;=-0.79,O5&lt;=-0.64,P5&gt;=-0.76,P5&lt;=-0.61), "Yes", IF(AND(K5=0,L5=0,M5=0,N5=0,O5=0,P5=0), "Ready to test", "No"))</f>
        <v>Ready to test</v>
      </c>
    </row>
    <row r="6" spans="1:17" x14ac:dyDescent="0.3">
      <c r="A6" s="16"/>
      <c r="B6" s="6"/>
      <c r="C6" s="6"/>
      <c r="D6" s="6"/>
      <c r="E6" s="6"/>
      <c r="F6" s="6"/>
      <c r="G6" s="17"/>
      <c r="H6" s="6"/>
      <c r="I6" s="6"/>
      <c r="J6" s="6"/>
      <c r="K6" s="15">
        <f t="shared" si="0"/>
        <v>0</v>
      </c>
      <c r="L6" s="15">
        <f t="shared" si="1"/>
        <v>0</v>
      </c>
      <c r="M6" s="15">
        <f t="shared" si="2"/>
        <v>0</v>
      </c>
      <c r="N6" s="15">
        <f t="shared" si="3"/>
        <v>0</v>
      </c>
      <c r="O6" s="15">
        <f t="shared" si="4"/>
        <v>0</v>
      </c>
      <c r="P6" s="15">
        <f t="shared" si="5"/>
        <v>0</v>
      </c>
      <c r="Q6" s="6" t="str">
        <f t="shared" ref="Q6:Q16" si="6">IF(AND(K6&gt;=0.11,K6&lt;=0.27,L6&gt;=-0.36,L6&lt;=-0.22,M6&gt;=-0.92,M6&lt;=-0.82,N6&gt;=-0.4,N6&lt;=-0.3,O6&gt;=-0.79,O6&lt;=-0.64,P6&gt;=-0.76,P6&lt;=-0.61), "Yes", IF(AND(K6=0,L6=0,M6=0,N6=0,O6=0,P6=0), "Ready to test", "No"))</f>
        <v>Ready to test</v>
      </c>
    </row>
    <row r="7" spans="1:17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15">
        <f t="shared" si="0"/>
        <v>0</v>
      </c>
      <c r="L7" s="15">
        <f t="shared" si="1"/>
        <v>0</v>
      </c>
      <c r="M7" s="15">
        <f t="shared" si="2"/>
        <v>0</v>
      </c>
      <c r="N7" s="15">
        <f t="shared" si="3"/>
        <v>0</v>
      </c>
      <c r="O7" s="15">
        <f t="shared" si="4"/>
        <v>0</v>
      </c>
      <c r="P7" s="15">
        <f t="shared" si="5"/>
        <v>0</v>
      </c>
      <c r="Q7" s="6" t="str">
        <f t="shared" si="6"/>
        <v>Ready to test</v>
      </c>
    </row>
    <row r="8" spans="1:17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15">
        <f t="shared" si="0"/>
        <v>0</v>
      </c>
      <c r="L8" s="15">
        <f t="shared" si="1"/>
        <v>0</v>
      </c>
      <c r="M8" s="15">
        <f t="shared" si="2"/>
        <v>0</v>
      </c>
      <c r="N8" s="15">
        <f t="shared" si="3"/>
        <v>0</v>
      </c>
      <c r="O8" s="15">
        <f t="shared" si="4"/>
        <v>0</v>
      </c>
      <c r="P8" s="15">
        <f t="shared" si="5"/>
        <v>0</v>
      </c>
      <c r="Q8" s="6" t="str">
        <f t="shared" si="6"/>
        <v>Ready to test</v>
      </c>
    </row>
    <row r="9" spans="1:17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15">
        <f t="shared" si="0"/>
        <v>0</v>
      </c>
      <c r="L9" s="15">
        <f t="shared" si="1"/>
        <v>0</v>
      </c>
      <c r="M9" s="15">
        <f t="shared" si="2"/>
        <v>0</v>
      </c>
      <c r="N9" s="15">
        <f t="shared" si="3"/>
        <v>0</v>
      </c>
      <c r="O9" s="15">
        <f t="shared" si="4"/>
        <v>0</v>
      </c>
      <c r="P9" s="15">
        <f t="shared" si="5"/>
        <v>0</v>
      </c>
      <c r="Q9" s="6" t="str">
        <f t="shared" si="6"/>
        <v>Ready to test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15">
        <f t="shared" si="0"/>
        <v>0</v>
      </c>
      <c r="L10" s="15">
        <f t="shared" si="1"/>
        <v>0</v>
      </c>
      <c r="M10" s="15">
        <f t="shared" si="2"/>
        <v>0</v>
      </c>
      <c r="N10" s="15">
        <f t="shared" si="3"/>
        <v>0</v>
      </c>
      <c r="O10" s="15">
        <f t="shared" si="4"/>
        <v>0</v>
      </c>
      <c r="P10" s="15">
        <f t="shared" si="5"/>
        <v>0</v>
      </c>
      <c r="Q10" s="6" t="str">
        <f t="shared" si="6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15">
        <f t="shared" si="0"/>
        <v>0</v>
      </c>
      <c r="L11" s="15">
        <f t="shared" si="1"/>
        <v>0</v>
      </c>
      <c r="M11" s="15">
        <f t="shared" si="2"/>
        <v>0</v>
      </c>
      <c r="N11" s="15">
        <f t="shared" si="3"/>
        <v>0</v>
      </c>
      <c r="O11" s="15">
        <f t="shared" si="4"/>
        <v>0</v>
      </c>
      <c r="P11" s="15">
        <f t="shared" si="5"/>
        <v>0</v>
      </c>
      <c r="Q11" s="6" t="str">
        <f t="shared" si="6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15">
        <f t="shared" si="0"/>
        <v>0</v>
      </c>
      <c r="L12" s="15">
        <f t="shared" si="1"/>
        <v>0</v>
      </c>
      <c r="M12" s="15">
        <f t="shared" si="2"/>
        <v>0</v>
      </c>
      <c r="N12" s="15">
        <f t="shared" si="3"/>
        <v>0</v>
      </c>
      <c r="O12" s="15">
        <f t="shared" si="4"/>
        <v>0</v>
      </c>
      <c r="P12" s="15">
        <f t="shared" si="5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15">
        <f t="shared" si="0"/>
        <v>0</v>
      </c>
      <c r="L13" s="15">
        <f t="shared" si="1"/>
        <v>0</v>
      </c>
      <c r="M13" s="15">
        <f t="shared" si="2"/>
        <v>0</v>
      </c>
      <c r="N13" s="15">
        <f t="shared" si="3"/>
        <v>0</v>
      </c>
      <c r="O13" s="15">
        <f t="shared" si="4"/>
        <v>0</v>
      </c>
      <c r="P13" s="15">
        <f t="shared" si="5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15">
        <f t="shared" si="0"/>
        <v>0</v>
      </c>
      <c r="L14" s="15">
        <f t="shared" si="1"/>
        <v>0</v>
      </c>
      <c r="M14" s="15">
        <f t="shared" si="2"/>
        <v>0</v>
      </c>
      <c r="N14" s="15">
        <f t="shared" si="3"/>
        <v>0</v>
      </c>
      <c r="O14" s="15">
        <f t="shared" si="4"/>
        <v>0</v>
      </c>
      <c r="P14" s="15">
        <f t="shared" si="5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15">
        <f t="shared" si="0"/>
        <v>0</v>
      </c>
      <c r="L15" s="15">
        <f t="shared" si="1"/>
        <v>0</v>
      </c>
      <c r="M15" s="15">
        <f t="shared" si="2"/>
        <v>0</v>
      </c>
      <c r="N15" s="15">
        <f t="shared" si="3"/>
        <v>0</v>
      </c>
      <c r="O15" s="15">
        <f t="shared" si="4"/>
        <v>0</v>
      </c>
      <c r="P15" s="15">
        <f t="shared" si="5"/>
        <v>0</v>
      </c>
      <c r="Q15" s="6" t="str">
        <f t="shared" si="6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15">
        <f t="shared" si="0"/>
        <v>0</v>
      </c>
      <c r="L16" s="15">
        <f t="shared" si="1"/>
        <v>0</v>
      </c>
      <c r="M16" s="15">
        <f t="shared" si="2"/>
        <v>0</v>
      </c>
      <c r="N16" s="15">
        <f t="shared" si="3"/>
        <v>0</v>
      </c>
      <c r="O16" s="15">
        <f t="shared" si="4"/>
        <v>0</v>
      </c>
      <c r="P16" s="15">
        <f t="shared" si="5"/>
        <v>0</v>
      </c>
      <c r="Q16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6">
    <cfRule type="expression" dxfId="65" priority="1">
      <formula>Q3="Alert"</formula>
    </cfRule>
    <cfRule type="expression" dxfId="64" priority="2">
      <formula>Q3="Yes"</formula>
    </cfRule>
    <cfRule type="expression" dxfId="63" priority="3">
      <formula>Q3="No"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95E51-5C8D-4943-9DD2-13DD34C451DB}">
  <dimension ref="A1:Q16"/>
  <sheetViews>
    <sheetView workbookViewId="0">
      <selection sqref="A1:XFD1048576"/>
    </sheetView>
  </sheetViews>
  <sheetFormatPr defaultColWidth="8.6640625" defaultRowHeight="14.4" x14ac:dyDescent="0.3"/>
  <cols>
    <col min="1" max="1" width="15" style="1" customWidth="1"/>
    <col min="2" max="2" width="9" style="1" bestFit="1" customWidth="1"/>
    <col min="3" max="3" width="12" style="1" bestFit="1" customWidth="1"/>
    <col min="4" max="4" width="17.44140625" style="1" bestFit="1" customWidth="1"/>
    <col min="5" max="5" width="12" style="1" customWidth="1"/>
    <col min="6" max="6" width="11.5546875" style="1" customWidth="1"/>
    <col min="7" max="7" width="12.33203125" style="1" customWidth="1"/>
    <col min="8" max="8" width="12" style="1" customWidth="1"/>
    <col min="9" max="9" width="11.109375" style="1" customWidth="1"/>
    <col min="10" max="10" width="11.33203125" style="1" customWidth="1"/>
    <col min="11" max="11" width="11.44140625" style="1" customWidth="1"/>
    <col min="12" max="12" width="13.44140625" style="1" customWidth="1"/>
    <col min="13" max="13" width="11.44140625" style="1" customWidth="1"/>
    <col min="14" max="14" width="18.33203125" style="1" bestFit="1" customWidth="1"/>
    <col min="15" max="15" width="13.5546875" style="1" customWidth="1"/>
    <col min="16" max="16" width="14.5546875" style="1" customWidth="1"/>
    <col min="17" max="17" width="12.88671875" style="1" customWidth="1"/>
    <col min="18" max="16384" width="8.6640625" style="1"/>
  </cols>
  <sheetData>
    <row r="1" spans="1:17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5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</row>
    <row r="3" spans="1:17" x14ac:dyDescent="0.3">
      <c r="A3" s="7">
        <v>46103</v>
      </c>
      <c r="B3" s="4" t="s">
        <v>5</v>
      </c>
      <c r="C3" s="4" t="s">
        <v>180</v>
      </c>
      <c r="D3" s="4">
        <v>0.92</v>
      </c>
      <c r="E3" s="4">
        <v>0.92210000000000003</v>
      </c>
      <c r="F3" s="4">
        <v>1.3767</v>
      </c>
      <c r="G3" s="4">
        <v>1.8246</v>
      </c>
      <c r="H3" s="4">
        <v>3.0264000000000002</v>
      </c>
      <c r="I3" s="4">
        <v>3.6555</v>
      </c>
      <c r="J3" s="4">
        <v>4.5702999999999996</v>
      </c>
      <c r="K3" s="5">
        <f t="shared" ref="K3:K16" si="0">IF(D3=0, 0, 100*(E3 - D3*1)/(D3*1))</f>
        <v>0.22826086956521638</v>
      </c>
      <c r="L3" s="5">
        <f t="shared" ref="L3:L16" si="1">IF(D3=0, 0, 100*(F3 - D3*1.5)/(D3*1.5))</f>
        <v>-0.23913043478261453</v>
      </c>
      <c r="M3" s="5">
        <f t="shared" ref="M3:M16" si="2">IF(D3=0, 0, 100*(G3 - D3*2)/(D3*2))</f>
        <v>-0.83695652173913471</v>
      </c>
      <c r="N3" s="5">
        <f t="shared" ref="N3:N16" si="3">IF(D3=0, 0, 100*(H3 - D3*3.3)/(D3*3.3))</f>
        <v>-0.31620553359683234</v>
      </c>
      <c r="O3" s="5">
        <f t="shared" ref="O3:O16" si="4">IF(D3=0, 0, 100*(I3 - D3*4)/(D3*4))</f>
        <v>-0.66576086956522251</v>
      </c>
      <c r="P3" s="5">
        <f t="shared" ref="P3:P16" si="5">IF(D3=0, 0, 100*(J3 - D3*5)/(D3*5))</f>
        <v>-0.64565217391306406</v>
      </c>
      <c r="Q3" s="4" t="str">
        <f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>
        <v>46205</v>
      </c>
      <c r="B4" s="6" t="s">
        <v>5</v>
      </c>
      <c r="C4" s="6" t="s">
        <v>181</v>
      </c>
      <c r="D4" s="6">
        <v>0.92</v>
      </c>
      <c r="E4" s="6">
        <v>0.92190000000000005</v>
      </c>
      <c r="F4" s="6">
        <v>1.3762000000000001</v>
      </c>
      <c r="G4" s="17">
        <v>1.8241000000000001</v>
      </c>
      <c r="H4" s="6">
        <v>3.0255000000000001</v>
      </c>
      <c r="I4" s="6">
        <v>3.6541999999999999</v>
      </c>
      <c r="J4" s="6">
        <v>4.5701000000000001</v>
      </c>
      <c r="K4" s="15">
        <f t="shared" si="0"/>
        <v>0.20652173913043617</v>
      </c>
      <c r="L4" s="15">
        <f t="shared" si="1"/>
        <v>-0.27536231884058154</v>
      </c>
      <c r="M4" s="15">
        <f t="shared" si="2"/>
        <v>-0.86413043478260998</v>
      </c>
      <c r="N4" s="15">
        <f t="shared" si="3"/>
        <v>-0.34584980237153995</v>
      </c>
      <c r="O4" s="15">
        <f t="shared" si="4"/>
        <v>-0.70108695652174635</v>
      </c>
      <c r="P4" s="15">
        <f t="shared" si="5"/>
        <v>-0.65000000000001035</v>
      </c>
      <c r="Q4" s="6" t="str">
        <f>IF(AND(K4&gt;=0.11,K4&lt;=0.27,L4&gt;=-0.36,L4&lt;=-0.22,M4&gt;=-0.92,M4&lt;=-0.82,N4&gt;=-0.4,N4&lt;=-0.3,O4&gt;=-0.79,O4&lt;=-0.64,P4&gt;=-0.76,P4&lt;=-0.61), "Yes", IF(AND(K4=0,L4=0,M4=0,N4=0,O4=0,P4=0), "Ready to test", "No"))</f>
        <v>Yes</v>
      </c>
    </row>
    <row r="5" spans="1:17" x14ac:dyDescent="0.3">
      <c r="A5" s="16"/>
      <c r="B5" s="6"/>
      <c r="C5" s="6"/>
      <c r="D5" s="6"/>
      <c r="E5" s="6"/>
      <c r="F5" s="6"/>
      <c r="G5" s="6"/>
      <c r="H5" s="6"/>
      <c r="I5" s="6"/>
      <c r="J5" s="6"/>
      <c r="K5" s="15">
        <f t="shared" si="0"/>
        <v>0</v>
      </c>
      <c r="L5" s="15">
        <f t="shared" si="1"/>
        <v>0</v>
      </c>
      <c r="M5" s="15">
        <f t="shared" si="2"/>
        <v>0</v>
      </c>
      <c r="N5" s="15">
        <f t="shared" si="3"/>
        <v>0</v>
      </c>
      <c r="O5" s="15">
        <f t="shared" si="4"/>
        <v>0</v>
      </c>
      <c r="P5" s="15">
        <f t="shared" si="5"/>
        <v>0</v>
      </c>
      <c r="Q5" s="6" t="str">
        <f>IF(AND(K5&gt;=0.11,K5&lt;=0.27,L5&gt;=-0.38,L5&lt;=-0.22,M5&gt;=-0.94,M5&lt;=-0.82,N5&gt;=-0.41,N5&lt;=-0.3,O5&gt;=-0.79,O5&lt;=-0.64,P5&gt;=-0.76,P5&lt;=-0.61), "Yes", IF(AND(K5=0,L5=0,M5=0,N5=0,O5=0,P5=0), "Ready to test", "No"))</f>
        <v>Ready to test</v>
      </c>
    </row>
    <row r="6" spans="1:17" x14ac:dyDescent="0.3">
      <c r="A6" s="16"/>
      <c r="B6" s="6"/>
      <c r="C6" s="6"/>
      <c r="D6" s="6"/>
      <c r="E6" s="6"/>
      <c r="F6" s="6"/>
      <c r="G6" s="17"/>
      <c r="H6" s="6"/>
      <c r="I6" s="6"/>
      <c r="J6" s="6"/>
      <c r="K6" s="15">
        <f t="shared" si="0"/>
        <v>0</v>
      </c>
      <c r="L6" s="15">
        <f t="shared" si="1"/>
        <v>0</v>
      </c>
      <c r="M6" s="15">
        <f t="shared" si="2"/>
        <v>0</v>
      </c>
      <c r="N6" s="15">
        <f t="shared" si="3"/>
        <v>0</v>
      </c>
      <c r="O6" s="15">
        <f t="shared" si="4"/>
        <v>0</v>
      </c>
      <c r="P6" s="15">
        <f t="shared" si="5"/>
        <v>0</v>
      </c>
      <c r="Q6" s="6" t="str">
        <f t="shared" ref="Q6:Q16" si="6">IF(AND(K6&gt;=0.11,K6&lt;=0.27,L6&gt;=-0.36,L6&lt;=-0.22,M6&gt;=-0.92,M6&lt;=-0.82,N6&gt;=-0.4,N6&lt;=-0.3,O6&gt;=-0.79,O6&lt;=-0.64,P6&gt;=-0.76,P6&lt;=-0.61), "Yes", IF(AND(K6=0,L6=0,M6=0,N6=0,O6=0,P6=0), "Ready to test", "No"))</f>
        <v>Ready to test</v>
      </c>
    </row>
    <row r="7" spans="1:17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15">
        <f t="shared" si="0"/>
        <v>0</v>
      </c>
      <c r="L7" s="15">
        <f t="shared" si="1"/>
        <v>0</v>
      </c>
      <c r="M7" s="15">
        <f t="shared" si="2"/>
        <v>0</v>
      </c>
      <c r="N7" s="15">
        <f t="shared" si="3"/>
        <v>0</v>
      </c>
      <c r="O7" s="15">
        <f t="shared" si="4"/>
        <v>0</v>
      </c>
      <c r="P7" s="15">
        <f t="shared" si="5"/>
        <v>0</v>
      </c>
      <c r="Q7" s="6" t="str">
        <f t="shared" si="6"/>
        <v>Ready to test</v>
      </c>
    </row>
    <row r="8" spans="1:17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15">
        <f t="shared" si="0"/>
        <v>0</v>
      </c>
      <c r="L8" s="15">
        <f t="shared" si="1"/>
        <v>0</v>
      </c>
      <c r="M8" s="15">
        <f t="shared" si="2"/>
        <v>0</v>
      </c>
      <c r="N8" s="15">
        <f t="shared" si="3"/>
        <v>0</v>
      </c>
      <c r="O8" s="15">
        <f t="shared" si="4"/>
        <v>0</v>
      </c>
      <c r="P8" s="15">
        <f t="shared" si="5"/>
        <v>0</v>
      </c>
      <c r="Q8" s="6" t="str">
        <f t="shared" si="6"/>
        <v>Ready to test</v>
      </c>
    </row>
    <row r="9" spans="1:17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15">
        <f t="shared" si="0"/>
        <v>0</v>
      </c>
      <c r="L9" s="15">
        <f t="shared" si="1"/>
        <v>0</v>
      </c>
      <c r="M9" s="15">
        <f t="shared" si="2"/>
        <v>0</v>
      </c>
      <c r="N9" s="15">
        <f t="shared" si="3"/>
        <v>0</v>
      </c>
      <c r="O9" s="15">
        <f t="shared" si="4"/>
        <v>0</v>
      </c>
      <c r="P9" s="15">
        <f t="shared" si="5"/>
        <v>0</v>
      </c>
      <c r="Q9" s="6" t="str">
        <f t="shared" si="6"/>
        <v>Ready to test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15">
        <f t="shared" si="0"/>
        <v>0</v>
      </c>
      <c r="L10" s="15">
        <f t="shared" si="1"/>
        <v>0</v>
      </c>
      <c r="M10" s="15">
        <f t="shared" si="2"/>
        <v>0</v>
      </c>
      <c r="N10" s="15">
        <f t="shared" si="3"/>
        <v>0</v>
      </c>
      <c r="O10" s="15">
        <f t="shared" si="4"/>
        <v>0</v>
      </c>
      <c r="P10" s="15">
        <f t="shared" si="5"/>
        <v>0</v>
      </c>
      <c r="Q10" s="6" t="str">
        <f t="shared" si="6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15">
        <f t="shared" si="0"/>
        <v>0</v>
      </c>
      <c r="L11" s="15">
        <f t="shared" si="1"/>
        <v>0</v>
      </c>
      <c r="M11" s="15">
        <f t="shared" si="2"/>
        <v>0</v>
      </c>
      <c r="N11" s="15">
        <f t="shared" si="3"/>
        <v>0</v>
      </c>
      <c r="O11" s="15">
        <f t="shared" si="4"/>
        <v>0</v>
      </c>
      <c r="P11" s="15">
        <f t="shared" si="5"/>
        <v>0</v>
      </c>
      <c r="Q11" s="6" t="str">
        <f t="shared" si="6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15">
        <f t="shared" si="0"/>
        <v>0</v>
      </c>
      <c r="L12" s="15">
        <f t="shared" si="1"/>
        <v>0</v>
      </c>
      <c r="M12" s="15">
        <f t="shared" si="2"/>
        <v>0</v>
      </c>
      <c r="N12" s="15">
        <f t="shared" si="3"/>
        <v>0</v>
      </c>
      <c r="O12" s="15">
        <f t="shared" si="4"/>
        <v>0</v>
      </c>
      <c r="P12" s="15">
        <f t="shared" si="5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15">
        <f t="shared" si="0"/>
        <v>0</v>
      </c>
      <c r="L13" s="15">
        <f t="shared" si="1"/>
        <v>0</v>
      </c>
      <c r="M13" s="15">
        <f t="shared" si="2"/>
        <v>0</v>
      </c>
      <c r="N13" s="15">
        <f t="shared" si="3"/>
        <v>0</v>
      </c>
      <c r="O13" s="15">
        <f t="shared" si="4"/>
        <v>0</v>
      </c>
      <c r="P13" s="15">
        <f t="shared" si="5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15">
        <f t="shared" si="0"/>
        <v>0</v>
      </c>
      <c r="L14" s="15">
        <f t="shared" si="1"/>
        <v>0</v>
      </c>
      <c r="M14" s="15">
        <f t="shared" si="2"/>
        <v>0</v>
      </c>
      <c r="N14" s="15">
        <f t="shared" si="3"/>
        <v>0</v>
      </c>
      <c r="O14" s="15">
        <f t="shared" si="4"/>
        <v>0</v>
      </c>
      <c r="P14" s="15">
        <f t="shared" si="5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15">
        <f t="shared" si="0"/>
        <v>0</v>
      </c>
      <c r="L15" s="15">
        <f t="shared" si="1"/>
        <v>0</v>
      </c>
      <c r="M15" s="15">
        <f t="shared" si="2"/>
        <v>0</v>
      </c>
      <c r="N15" s="15">
        <f t="shared" si="3"/>
        <v>0</v>
      </c>
      <c r="O15" s="15">
        <f t="shared" si="4"/>
        <v>0</v>
      </c>
      <c r="P15" s="15">
        <f t="shared" si="5"/>
        <v>0</v>
      </c>
      <c r="Q15" s="6" t="str">
        <f t="shared" si="6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15">
        <f t="shared" si="0"/>
        <v>0</v>
      </c>
      <c r="L16" s="15">
        <f t="shared" si="1"/>
        <v>0</v>
      </c>
      <c r="M16" s="15">
        <f t="shared" si="2"/>
        <v>0</v>
      </c>
      <c r="N16" s="15">
        <f t="shared" si="3"/>
        <v>0</v>
      </c>
      <c r="O16" s="15">
        <f t="shared" si="4"/>
        <v>0</v>
      </c>
      <c r="P16" s="15">
        <f t="shared" si="5"/>
        <v>0</v>
      </c>
      <c r="Q16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6">
    <cfRule type="expression" dxfId="62" priority="1">
      <formula>Q3="Alert"</formula>
    </cfRule>
    <cfRule type="expression" dxfId="61" priority="2">
      <formula>Q3="Yes"</formula>
    </cfRule>
    <cfRule type="expression" dxfId="60" priority="3">
      <formula>Q3="No"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F7359-C586-4A97-91C1-97FA4CEAE5C2}">
  <dimension ref="A1:Q16"/>
  <sheetViews>
    <sheetView workbookViewId="0">
      <selection sqref="A1:XFD1048576"/>
    </sheetView>
  </sheetViews>
  <sheetFormatPr defaultColWidth="8.6640625" defaultRowHeight="14.4" x14ac:dyDescent="0.3"/>
  <cols>
    <col min="1" max="1" width="15" style="1" customWidth="1"/>
    <col min="2" max="2" width="9" style="1" bestFit="1" customWidth="1"/>
    <col min="3" max="3" width="12" style="1" bestFit="1" customWidth="1"/>
    <col min="4" max="4" width="17.44140625" style="1" bestFit="1" customWidth="1"/>
    <col min="5" max="5" width="12" style="1" customWidth="1"/>
    <col min="6" max="6" width="11.5546875" style="1" customWidth="1"/>
    <col min="7" max="7" width="12.33203125" style="1" customWidth="1"/>
    <col min="8" max="8" width="12" style="1" customWidth="1"/>
    <col min="9" max="9" width="11.109375" style="1" customWidth="1"/>
    <col min="10" max="10" width="11.33203125" style="1" customWidth="1"/>
    <col min="11" max="11" width="11.44140625" style="1" customWidth="1"/>
    <col min="12" max="12" width="13.44140625" style="1" customWidth="1"/>
    <col min="13" max="13" width="11.44140625" style="1" customWidth="1"/>
    <col min="14" max="14" width="18.33203125" style="1" bestFit="1" customWidth="1"/>
    <col min="15" max="15" width="13.5546875" style="1" customWidth="1"/>
    <col min="16" max="16" width="14.5546875" style="1" customWidth="1"/>
    <col min="17" max="17" width="12.88671875" style="1" customWidth="1"/>
    <col min="18" max="16384" width="8.6640625" style="1"/>
  </cols>
  <sheetData>
    <row r="1" spans="1:17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5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</row>
    <row r="3" spans="1:17" x14ac:dyDescent="0.3">
      <c r="A3" s="7">
        <v>46103</v>
      </c>
      <c r="B3" s="4" t="s">
        <v>5</v>
      </c>
      <c r="C3" s="4" t="s">
        <v>180</v>
      </c>
      <c r="D3" s="4">
        <v>0.92</v>
      </c>
      <c r="E3" s="4">
        <v>0.92169999999999996</v>
      </c>
      <c r="F3" s="4">
        <v>1.3766</v>
      </c>
      <c r="G3" s="4">
        <v>1.8244</v>
      </c>
      <c r="H3" s="4">
        <v>3.0261</v>
      </c>
      <c r="I3" s="4">
        <v>3.6541999999999999</v>
      </c>
      <c r="J3" s="4">
        <v>4.5693999999999999</v>
      </c>
      <c r="K3" s="5">
        <f t="shared" ref="K3:K16" si="0">IF(D3=0, 0, 100*(E3 - D3*1)/(D3*1))</f>
        <v>0.18478260869564389</v>
      </c>
      <c r="L3" s="5">
        <f t="shared" ref="L3:L16" si="1">IF(D3=0, 0, 100*(F3 - D3*1.5)/(D3*1.5))</f>
        <v>-0.24637681159420793</v>
      </c>
      <c r="M3" s="5">
        <f t="shared" ref="M3:M16" si="2">IF(D3=0, 0, 100*(G3 - D3*2)/(D3*2))</f>
        <v>-0.84782608695652484</v>
      </c>
      <c r="N3" s="5">
        <f t="shared" ref="N3:N16" si="3">IF(D3=0, 0, 100*(H3 - D3*3.3)/(D3*3.3))</f>
        <v>-0.3260869565217398</v>
      </c>
      <c r="O3" s="5">
        <f t="shared" ref="O3:O16" si="4">IF(D3=0, 0, 100*(I3 - D3*4)/(D3*4))</f>
        <v>-0.70108695652174635</v>
      </c>
      <c r="P3" s="5">
        <f t="shared" ref="P3:P16" si="5">IF(D3=0, 0, 100*(J3 - D3*5)/(D3*5))</f>
        <v>-0.66521739130436142</v>
      </c>
      <c r="Q3" s="4" t="str">
        <f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/>
      <c r="B4" s="6"/>
      <c r="C4" s="6"/>
      <c r="D4" s="6"/>
      <c r="E4" s="6"/>
      <c r="F4" s="6"/>
      <c r="G4" s="17"/>
      <c r="H4" s="6"/>
      <c r="I4" s="6"/>
      <c r="J4" s="6"/>
      <c r="K4" s="15">
        <f t="shared" si="0"/>
        <v>0</v>
      </c>
      <c r="L4" s="15">
        <f t="shared" si="1"/>
        <v>0</v>
      </c>
      <c r="M4" s="15">
        <f t="shared" si="2"/>
        <v>0</v>
      </c>
      <c r="N4" s="15">
        <f t="shared" si="3"/>
        <v>0</v>
      </c>
      <c r="O4" s="15">
        <f t="shared" si="4"/>
        <v>0</v>
      </c>
      <c r="P4" s="15">
        <f t="shared" si="5"/>
        <v>0</v>
      </c>
      <c r="Q4" s="6" t="str">
        <f>IF(AND(K4&gt;=0.11,K4&lt;=0.27,L4&gt;=-0.36,L4&lt;=-0.22,M4&gt;=-0.92,M4&lt;=-0.82,N4&gt;=-0.4,N4&lt;=-0.3,O4&gt;=-0.79,O4&lt;=-0.64,P4&gt;=-0.76,P4&lt;=-0.61), "Yes", IF(AND(K4=0,L4=0,M4=0,N4=0,O4=0,P4=0), "Ready to test", "No"))</f>
        <v>Ready to test</v>
      </c>
    </row>
    <row r="5" spans="1:17" x14ac:dyDescent="0.3">
      <c r="A5" s="16"/>
      <c r="B5" s="6"/>
      <c r="C5" s="6"/>
      <c r="D5" s="6"/>
      <c r="E5" s="6"/>
      <c r="F5" s="6"/>
      <c r="G5" s="6"/>
      <c r="H5" s="6"/>
      <c r="I5" s="6"/>
      <c r="J5" s="6"/>
      <c r="K5" s="15">
        <f t="shared" si="0"/>
        <v>0</v>
      </c>
      <c r="L5" s="15">
        <f t="shared" si="1"/>
        <v>0</v>
      </c>
      <c r="M5" s="15">
        <f t="shared" si="2"/>
        <v>0</v>
      </c>
      <c r="N5" s="15">
        <f t="shared" si="3"/>
        <v>0</v>
      </c>
      <c r="O5" s="15">
        <f t="shared" si="4"/>
        <v>0</v>
      </c>
      <c r="P5" s="15">
        <f t="shared" si="5"/>
        <v>0</v>
      </c>
      <c r="Q5" s="6" t="str">
        <f>IF(AND(K5&gt;=0.11,K5&lt;=0.27,L5&gt;=-0.38,L5&lt;=-0.22,M5&gt;=-0.94,M5&lt;=-0.82,N5&gt;=-0.41,N5&lt;=-0.3,O5&gt;=-0.79,O5&lt;=-0.64,P5&gt;=-0.76,P5&lt;=-0.61), "Yes", IF(AND(K5=0,L5=0,M5=0,N5=0,O5=0,P5=0), "Ready to test", "No"))</f>
        <v>Ready to test</v>
      </c>
    </row>
    <row r="6" spans="1:17" x14ac:dyDescent="0.3">
      <c r="A6" s="16"/>
      <c r="B6" s="6"/>
      <c r="C6" s="6"/>
      <c r="D6" s="6"/>
      <c r="E6" s="6"/>
      <c r="F6" s="6"/>
      <c r="G6" s="17"/>
      <c r="H6" s="6"/>
      <c r="I6" s="6"/>
      <c r="J6" s="6"/>
      <c r="K6" s="15">
        <f t="shared" si="0"/>
        <v>0</v>
      </c>
      <c r="L6" s="15">
        <f t="shared" si="1"/>
        <v>0</v>
      </c>
      <c r="M6" s="15">
        <f t="shared" si="2"/>
        <v>0</v>
      </c>
      <c r="N6" s="15">
        <f t="shared" si="3"/>
        <v>0</v>
      </c>
      <c r="O6" s="15">
        <f t="shared" si="4"/>
        <v>0</v>
      </c>
      <c r="P6" s="15">
        <f t="shared" si="5"/>
        <v>0</v>
      </c>
      <c r="Q6" s="6" t="str">
        <f t="shared" ref="Q6:Q16" si="6">IF(AND(K6&gt;=0.11,K6&lt;=0.27,L6&gt;=-0.36,L6&lt;=-0.22,M6&gt;=-0.92,M6&lt;=-0.82,N6&gt;=-0.4,N6&lt;=-0.3,O6&gt;=-0.79,O6&lt;=-0.64,P6&gt;=-0.76,P6&lt;=-0.61), "Yes", IF(AND(K6=0,L6=0,M6=0,N6=0,O6=0,P6=0), "Ready to test", "No"))</f>
        <v>Ready to test</v>
      </c>
    </row>
    <row r="7" spans="1:17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15">
        <f t="shared" si="0"/>
        <v>0</v>
      </c>
      <c r="L7" s="15">
        <f t="shared" si="1"/>
        <v>0</v>
      </c>
      <c r="M7" s="15">
        <f t="shared" si="2"/>
        <v>0</v>
      </c>
      <c r="N7" s="15">
        <f t="shared" si="3"/>
        <v>0</v>
      </c>
      <c r="O7" s="15">
        <f t="shared" si="4"/>
        <v>0</v>
      </c>
      <c r="P7" s="15">
        <f t="shared" si="5"/>
        <v>0</v>
      </c>
      <c r="Q7" s="6" t="str">
        <f t="shared" si="6"/>
        <v>Ready to test</v>
      </c>
    </row>
    <row r="8" spans="1:17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15">
        <f t="shared" si="0"/>
        <v>0</v>
      </c>
      <c r="L8" s="15">
        <f t="shared" si="1"/>
        <v>0</v>
      </c>
      <c r="M8" s="15">
        <f t="shared" si="2"/>
        <v>0</v>
      </c>
      <c r="N8" s="15">
        <f t="shared" si="3"/>
        <v>0</v>
      </c>
      <c r="O8" s="15">
        <f t="shared" si="4"/>
        <v>0</v>
      </c>
      <c r="P8" s="15">
        <f t="shared" si="5"/>
        <v>0</v>
      </c>
      <c r="Q8" s="6" t="str">
        <f t="shared" si="6"/>
        <v>Ready to test</v>
      </c>
    </row>
    <row r="9" spans="1:17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15">
        <f t="shared" si="0"/>
        <v>0</v>
      </c>
      <c r="L9" s="15">
        <f t="shared" si="1"/>
        <v>0</v>
      </c>
      <c r="M9" s="15">
        <f t="shared" si="2"/>
        <v>0</v>
      </c>
      <c r="N9" s="15">
        <f t="shared" si="3"/>
        <v>0</v>
      </c>
      <c r="O9" s="15">
        <f t="shared" si="4"/>
        <v>0</v>
      </c>
      <c r="P9" s="15">
        <f t="shared" si="5"/>
        <v>0</v>
      </c>
      <c r="Q9" s="6" t="str">
        <f t="shared" si="6"/>
        <v>Ready to test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15">
        <f t="shared" si="0"/>
        <v>0</v>
      </c>
      <c r="L10" s="15">
        <f t="shared" si="1"/>
        <v>0</v>
      </c>
      <c r="M10" s="15">
        <f t="shared" si="2"/>
        <v>0</v>
      </c>
      <c r="N10" s="15">
        <f t="shared" si="3"/>
        <v>0</v>
      </c>
      <c r="O10" s="15">
        <f t="shared" si="4"/>
        <v>0</v>
      </c>
      <c r="P10" s="15">
        <f t="shared" si="5"/>
        <v>0</v>
      </c>
      <c r="Q10" s="6" t="str">
        <f t="shared" si="6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15">
        <f t="shared" si="0"/>
        <v>0</v>
      </c>
      <c r="L11" s="15">
        <f t="shared" si="1"/>
        <v>0</v>
      </c>
      <c r="M11" s="15">
        <f t="shared" si="2"/>
        <v>0</v>
      </c>
      <c r="N11" s="15">
        <f t="shared" si="3"/>
        <v>0</v>
      </c>
      <c r="O11" s="15">
        <f t="shared" si="4"/>
        <v>0</v>
      </c>
      <c r="P11" s="15">
        <f t="shared" si="5"/>
        <v>0</v>
      </c>
      <c r="Q11" s="6" t="str">
        <f t="shared" si="6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15">
        <f t="shared" si="0"/>
        <v>0</v>
      </c>
      <c r="L12" s="15">
        <f t="shared" si="1"/>
        <v>0</v>
      </c>
      <c r="M12" s="15">
        <f t="shared" si="2"/>
        <v>0</v>
      </c>
      <c r="N12" s="15">
        <f t="shared" si="3"/>
        <v>0</v>
      </c>
      <c r="O12" s="15">
        <f t="shared" si="4"/>
        <v>0</v>
      </c>
      <c r="P12" s="15">
        <f t="shared" si="5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15">
        <f t="shared" si="0"/>
        <v>0</v>
      </c>
      <c r="L13" s="15">
        <f t="shared" si="1"/>
        <v>0</v>
      </c>
      <c r="M13" s="15">
        <f t="shared" si="2"/>
        <v>0</v>
      </c>
      <c r="N13" s="15">
        <f t="shared" si="3"/>
        <v>0</v>
      </c>
      <c r="O13" s="15">
        <f t="shared" si="4"/>
        <v>0</v>
      </c>
      <c r="P13" s="15">
        <f t="shared" si="5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15">
        <f t="shared" si="0"/>
        <v>0</v>
      </c>
      <c r="L14" s="15">
        <f t="shared" si="1"/>
        <v>0</v>
      </c>
      <c r="M14" s="15">
        <f t="shared" si="2"/>
        <v>0</v>
      </c>
      <c r="N14" s="15">
        <f t="shared" si="3"/>
        <v>0</v>
      </c>
      <c r="O14" s="15">
        <f t="shared" si="4"/>
        <v>0</v>
      </c>
      <c r="P14" s="15">
        <f t="shared" si="5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15">
        <f t="shared" si="0"/>
        <v>0</v>
      </c>
      <c r="L15" s="15">
        <f t="shared" si="1"/>
        <v>0</v>
      </c>
      <c r="M15" s="15">
        <f t="shared" si="2"/>
        <v>0</v>
      </c>
      <c r="N15" s="15">
        <f t="shared" si="3"/>
        <v>0</v>
      </c>
      <c r="O15" s="15">
        <f t="shared" si="4"/>
        <v>0</v>
      </c>
      <c r="P15" s="15">
        <f t="shared" si="5"/>
        <v>0</v>
      </c>
      <c r="Q15" s="6" t="str">
        <f t="shared" si="6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15">
        <f t="shared" si="0"/>
        <v>0</v>
      </c>
      <c r="L16" s="15">
        <f t="shared" si="1"/>
        <v>0</v>
      </c>
      <c r="M16" s="15">
        <f t="shared" si="2"/>
        <v>0</v>
      </c>
      <c r="N16" s="15">
        <f t="shared" si="3"/>
        <v>0</v>
      </c>
      <c r="O16" s="15">
        <f t="shared" si="4"/>
        <v>0</v>
      </c>
      <c r="P16" s="15">
        <f t="shared" si="5"/>
        <v>0</v>
      </c>
      <c r="Q16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6">
    <cfRule type="expression" dxfId="59" priority="1">
      <formula>Q3="Alert"</formula>
    </cfRule>
    <cfRule type="expression" dxfId="58" priority="2">
      <formula>Q3="Yes"</formula>
    </cfRule>
    <cfRule type="expression" dxfId="57" priority="3">
      <formula>Q3="No"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5D47A-9F06-4957-957B-3F1D83F05BEE}">
  <dimension ref="A1:Q16"/>
  <sheetViews>
    <sheetView workbookViewId="0">
      <selection sqref="A1:XFD1048576"/>
    </sheetView>
  </sheetViews>
  <sheetFormatPr defaultColWidth="8.6640625" defaultRowHeight="14.4" x14ac:dyDescent="0.3"/>
  <cols>
    <col min="1" max="1" width="15" style="1" customWidth="1"/>
    <col min="2" max="2" width="9" style="1" bestFit="1" customWidth="1"/>
    <col min="3" max="3" width="12" style="1" bestFit="1" customWidth="1"/>
    <col min="4" max="4" width="17.44140625" style="1" bestFit="1" customWidth="1"/>
    <col min="5" max="5" width="12" style="1" customWidth="1"/>
    <col min="6" max="6" width="11.5546875" style="1" customWidth="1"/>
    <col min="7" max="7" width="12.33203125" style="1" customWidth="1"/>
    <col min="8" max="8" width="12" style="1" customWidth="1"/>
    <col min="9" max="9" width="11.109375" style="1" customWidth="1"/>
    <col min="10" max="10" width="11.33203125" style="1" customWidth="1"/>
    <col min="11" max="11" width="11.44140625" style="1" customWidth="1"/>
    <col min="12" max="12" width="13.44140625" style="1" customWidth="1"/>
    <col min="13" max="13" width="11.44140625" style="1" customWidth="1"/>
    <col min="14" max="14" width="18.33203125" style="1" bestFit="1" customWidth="1"/>
    <col min="15" max="15" width="13.5546875" style="1" customWidth="1"/>
    <col min="16" max="16" width="14.5546875" style="1" customWidth="1"/>
    <col min="17" max="17" width="12.88671875" style="1" customWidth="1"/>
    <col min="18" max="16384" width="8.6640625" style="1"/>
  </cols>
  <sheetData>
    <row r="1" spans="1:17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5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</row>
    <row r="3" spans="1:17" x14ac:dyDescent="0.3">
      <c r="A3" s="7">
        <v>46103</v>
      </c>
      <c r="B3" s="4" t="s">
        <v>5</v>
      </c>
      <c r="C3" s="4" t="s">
        <v>180</v>
      </c>
      <c r="D3" s="4">
        <v>0.92</v>
      </c>
      <c r="E3" s="4">
        <v>0.92190000000000005</v>
      </c>
      <c r="F3" s="4">
        <v>1.3766</v>
      </c>
      <c r="G3" s="4">
        <v>1.8244</v>
      </c>
      <c r="H3" s="4">
        <v>3.0261999999999998</v>
      </c>
      <c r="I3" s="4">
        <v>3.6551</v>
      </c>
      <c r="J3" s="4">
        <v>4.5682</v>
      </c>
      <c r="K3" s="5">
        <f t="shared" ref="K3:K16" si="0">IF(D3=0, 0, 100*(E3 - D3*1)/(D3*1))</f>
        <v>0.20652173913043617</v>
      </c>
      <c r="L3" s="5">
        <f t="shared" ref="L3:L16" si="1">IF(D3=0, 0, 100*(F3 - D3*1.5)/(D3*1.5))</f>
        <v>-0.24637681159420793</v>
      </c>
      <c r="M3" s="5">
        <f t="shared" ref="M3:M16" si="2">IF(D3=0, 0, 100*(G3 - D3*2)/(D3*2))</f>
        <v>-0.84782608695652484</v>
      </c>
      <c r="N3" s="5">
        <f t="shared" ref="N3:N16" si="3">IF(D3=0, 0, 100*(H3 - D3*3.3)/(D3*3.3))</f>
        <v>-0.32279314888011373</v>
      </c>
      <c r="O3" s="5">
        <f t="shared" ref="O3:O16" si="4">IF(D3=0, 0, 100*(I3 - D3*4)/(D3*4))</f>
        <v>-0.67663043478261253</v>
      </c>
      <c r="P3" s="5">
        <f t="shared" ref="P3:P16" si="5">IF(D3=0, 0, 100*(J3 - D3*5)/(D3*5))</f>
        <v>-0.69130434782609762</v>
      </c>
      <c r="Q3" s="4" t="str">
        <f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/>
      <c r="B4" s="6"/>
      <c r="C4" s="6"/>
      <c r="D4" s="6"/>
      <c r="E4" s="6"/>
      <c r="F4" s="6"/>
      <c r="G4" s="17"/>
      <c r="H4" s="6"/>
      <c r="I4" s="6"/>
      <c r="J4" s="6"/>
      <c r="K4" s="15">
        <f t="shared" si="0"/>
        <v>0</v>
      </c>
      <c r="L4" s="15">
        <f t="shared" si="1"/>
        <v>0</v>
      </c>
      <c r="M4" s="15">
        <f t="shared" si="2"/>
        <v>0</v>
      </c>
      <c r="N4" s="15">
        <f t="shared" si="3"/>
        <v>0</v>
      </c>
      <c r="O4" s="15">
        <f t="shared" si="4"/>
        <v>0</v>
      </c>
      <c r="P4" s="15">
        <f t="shared" si="5"/>
        <v>0</v>
      </c>
      <c r="Q4" s="6" t="str">
        <f>IF(AND(K4&gt;=0.11,K4&lt;=0.27,L4&gt;=-0.36,L4&lt;=-0.22,M4&gt;=-0.92,M4&lt;=-0.82,N4&gt;=-0.4,N4&lt;=-0.3,O4&gt;=-0.79,O4&lt;=-0.64,P4&gt;=-0.76,P4&lt;=-0.61), "Yes", IF(AND(K4=0,L4=0,M4=0,N4=0,O4=0,P4=0), "Ready to test", "No"))</f>
        <v>Ready to test</v>
      </c>
    </row>
    <row r="5" spans="1:17" x14ac:dyDescent="0.3">
      <c r="A5" s="16"/>
      <c r="B5" s="6"/>
      <c r="C5" s="6"/>
      <c r="D5" s="6"/>
      <c r="E5" s="6"/>
      <c r="F5" s="6"/>
      <c r="G5" s="6"/>
      <c r="H5" s="6"/>
      <c r="I5" s="6"/>
      <c r="J5" s="6"/>
      <c r="K5" s="15">
        <f t="shared" si="0"/>
        <v>0</v>
      </c>
      <c r="L5" s="15">
        <f t="shared" si="1"/>
        <v>0</v>
      </c>
      <c r="M5" s="15">
        <f t="shared" si="2"/>
        <v>0</v>
      </c>
      <c r="N5" s="15">
        <f t="shared" si="3"/>
        <v>0</v>
      </c>
      <c r="O5" s="15">
        <f t="shared" si="4"/>
        <v>0</v>
      </c>
      <c r="P5" s="15">
        <f t="shared" si="5"/>
        <v>0</v>
      </c>
      <c r="Q5" s="6" t="str">
        <f>IF(AND(K5&gt;=0.11,K5&lt;=0.27,L5&gt;=-0.38,L5&lt;=-0.22,M5&gt;=-0.94,M5&lt;=-0.82,N5&gt;=-0.41,N5&lt;=-0.3,O5&gt;=-0.79,O5&lt;=-0.64,P5&gt;=-0.76,P5&lt;=-0.61), "Yes", IF(AND(K5=0,L5=0,M5=0,N5=0,O5=0,P5=0), "Ready to test", "No"))</f>
        <v>Ready to test</v>
      </c>
    </row>
    <row r="6" spans="1:17" x14ac:dyDescent="0.3">
      <c r="A6" s="16"/>
      <c r="B6" s="6"/>
      <c r="C6" s="6"/>
      <c r="D6" s="6"/>
      <c r="E6" s="6"/>
      <c r="F6" s="6"/>
      <c r="G6" s="17"/>
      <c r="H6" s="6"/>
      <c r="I6" s="6"/>
      <c r="J6" s="6"/>
      <c r="K6" s="15">
        <f t="shared" si="0"/>
        <v>0</v>
      </c>
      <c r="L6" s="15">
        <f t="shared" si="1"/>
        <v>0</v>
      </c>
      <c r="M6" s="15">
        <f t="shared" si="2"/>
        <v>0</v>
      </c>
      <c r="N6" s="15">
        <f t="shared" si="3"/>
        <v>0</v>
      </c>
      <c r="O6" s="15">
        <f t="shared" si="4"/>
        <v>0</v>
      </c>
      <c r="P6" s="15">
        <f t="shared" si="5"/>
        <v>0</v>
      </c>
      <c r="Q6" s="6" t="str">
        <f t="shared" ref="Q6:Q16" si="6">IF(AND(K6&gt;=0.11,K6&lt;=0.27,L6&gt;=-0.36,L6&lt;=-0.22,M6&gt;=-0.92,M6&lt;=-0.82,N6&gt;=-0.4,N6&lt;=-0.3,O6&gt;=-0.79,O6&lt;=-0.64,P6&gt;=-0.76,P6&lt;=-0.61), "Yes", IF(AND(K6=0,L6=0,M6=0,N6=0,O6=0,P6=0), "Ready to test", "No"))</f>
        <v>Ready to test</v>
      </c>
    </row>
    <row r="7" spans="1:17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15">
        <f t="shared" si="0"/>
        <v>0</v>
      </c>
      <c r="L7" s="15">
        <f t="shared" si="1"/>
        <v>0</v>
      </c>
      <c r="M7" s="15">
        <f t="shared" si="2"/>
        <v>0</v>
      </c>
      <c r="N7" s="15">
        <f t="shared" si="3"/>
        <v>0</v>
      </c>
      <c r="O7" s="15">
        <f t="shared" si="4"/>
        <v>0</v>
      </c>
      <c r="P7" s="15">
        <f t="shared" si="5"/>
        <v>0</v>
      </c>
      <c r="Q7" s="6" t="str">
        <f t="shared" si="6"/>
        <v>Ready to test</v>
      </c>
    </row>
    <row r="8" spans="1:17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15">
        <f t="shared" si="0"/>
        <v>0</v>
      </c>
      <c r="L8" s="15">
        <f t="shared" si="1"/>
        <v>0</v>
      </c>
      <c r="M8" s="15">
        <f t="shared" si="2"/>
        <v>0</v>
      </c>
      <c r="N8" s="15">
        <f t="shared" si="3"/>
        <v>0</v>
      </c>
      <c r="O8" s="15">
        <f t="shared" si="4"/>
        <v>0</v>
      </c>
      <c r="P8" s="15">
        <f t="shared" si="5"/>
        <v>0</v>
      </c>
      <c r="Q8" s="6" t="str">
        <f t="shared" si="6"/>
        <v>Ready to test</v>
      </c>
    </row>
    <row r="9" spans="1:17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15">
        <f t="shared" si="0"/>
        <v>0</v>
      </c>
      <c r="L9" s="15">
        <f t="shared" si="1"/>
        <v>0</v>
      </c>
      <c r="M9" s="15">
        <f t="shared" si="2"/>
        <v>0</v>
      </c>
      <c r="N9" s="15">
        <f t="shared" si="3"/>
        <v>0</v>
      </c>
      <c r="O9" s="15">
        <f t="shared" si="4"/>
        <v>0</v>
      </c>
      <c r="P9" s="15">
        <f t="shared" si="5"/>
        <v>0</v>
      </c>
      <c r="Q9" s="6" t="str">
        <f t="shared" si="6"/>
        <v>Ready to test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15">
        <f t="shared" si="0"/>
        <v>0</v>
      </c>
      <c r="L10" s="15">
        <f t="shared" si="1"/>
        <v>0</v>
      </c>
      <c r="M10" s="15">
        <f t="shared" si="2"/>
        <v>0</v>
      </c>
      <c r="N10" s="15">
        <f t="shared" si="3"/>
        <v>0</v>
      </c>
      <c r="O10" s="15">
        <f t="shared" si="4"/>
        <v>0</v>
      </c>
      <c r="P10" s="15">
        <f t="shared" si="5"/>
        <v>0</v>
      </c>
      <c r="Q10" s="6" t="str">
        <f t="shared" si="6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15">
        <f t="shared" si="0"/>
        <v>0</v>
      </c>
      <c r="L11" s="15">
        <f t="shared" si="1"/>
        <v>0</v>
      </c>
      <c r="M11" s="15">
        <f t="shared" si="2"/>
        <v>0</v>
      </c>
      <c r="N11" s="15">
        <f t="shared" si="3"/>
        <v>0</v>
      </c>
      <c r="O11" s="15">
        <f t="shared" si="4"/>
        <v>0</v>
      </c>
      <c r="P11" s="15">
        <f t="shared" si="5"/>
        <v>0</v>
      </c>
      <c r="Q11" s="6" t="str">
        <f t="shared" si="6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15">
        <f t="shared" si="0"/>
        <v>0</v>
      </c>
      <c r="L12" s="15">
        <f t="shared" si="1"/>
        <v>0</v>
      </c>
      <c r="M12" s="15">
        <f t="shared" si="2"/>
        <v>0</v>
      </c>
      <c r="N12" s="15">
        <f t="shared" si="3"/>
        <v>0</v>
      </c>
      <c r="O12" s="15">
        <f t="shared" si="4"/>
        <v>0</v>
      </c>
      <c r="P12" s="15">
        <f t="shared" si="5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15">
        <f t="shared" si="0"/>
        <v>0</v>
      </c>
      <c r="L13" s="15">
        <f t="shared" si="1"/>
        <v>0</v>
      </c>
      <c r="M13" s="15">
        <f t="shared" si="2"/>
        <v>0</v>
      </c>
      <c r="N13" s="15">
        <f t="shared" si="3"/>
        <v>0</v>
      </c>
      <c r="O13" s="15">
        <f t="shared" si="4"/>
        <v>0</v>
      </c>
      <c r="P13" s="15">
        <f t="shared" si="5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15">
        <f t="shared" si="0"/>
        <v>0</v>
      </c>
      <c r="L14" s="15">
        <f t="shared" si="1"/>
        <v>0</v>
      </c>
      <c r="M14" s="15">
        <f t="shared" si="2"/>
        <v>0</v>
      </c>
      <c r="N14" s="15">
        <f t="shared" si="3"/>
        <v>0</v>
      </c>
      <c r="O14" s="15">
        <f t="shared" si="4"/>
        <v>0</v>
      </c>
      <c r="P14" s="15">
        <f t="shared" si="5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15">
        <f t="shared" si="0"/>
        <v>0</v>
      </c>
      <c r="L15" s="15">
        <f t="shared" si="1"/>
        <v>0</v>
      </c>
      <c r="M15" s="15">
        <f t="shared" si="2"/>
        <v>0</v>
      </c>
      <c r="N15" s="15">
        <f t="shared" si="3"/>
        <v>0</v>
      </c>
      <c r="O15" s="15">
        <f t="shared" si="4"/>
        <v>0</v>
      </c>
      <c r="P15" s="15">
        <f t="shared" si="5"/>
        <v>0</v>
      </c>
      <c r="Q15" s="6" t="str">
        <f t="shared" si="6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15">
        <f t="shared" si="0"/>
        <v>0</v>
      </c>
      <c r="L16" s="15">
        <f t="shared" si="1"/>
        <v>0</v>
      </c>
      <c r="M16" s="15">
        <f t="shared" si="2"/>
        <v>0</v>
      </c>
      <c r="N16" s="15">
        <f t="shared" si="3"/>
        <v>0</v>
      </c>
      <c r="O16" s="15">
        <f t="shared" si="4"/>
        <v>0</v>
      </c>
      <c r="P16" s="15">
        <f t="shared" si="5"/>
        <v>0</v>
      </c>
      <c r="Q16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6">
    <cfRule type="expression" dxfId="56" priority="1">
      <formula>Q3="Alert"</formula>
    </cfRule>
    <cfRule type="expression" dxfId="55" priority="2">
      <formula>Q3="Yes"</formula>
    </cfRule>
    <cfRule type="expression" dxfId="54" priority="3">
      <formula>Q3="No"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F99E0-1DCE-4E66-87DB-0AFDC549BC17}">
  <dimension ref="A1:Q16"/>
  <sheetViews>
    <sheetView workbookViewId="0">
      <selection sqref="A1:XFD1048576"/>
    </sheetView>
  </sheetViews>
  <sheetFormatPr defaultColWidth="8.6640625" defaultRowHeight="14.4" x14ac:dyDescent="0.3"/>
  <cols>
    <col min="1" max="1" width="15" style="1" customWidth="1"/>
    <col min="2" max="2" width="9" style="1" bestFit="1" customWidth="1"/>
    <col min="3" max="3" width="12" style="1" bestFit="1" customWidth="1"/>
    <col min="4" max="4" width="17.44140625" style="1" bestFit="1" customWidth="1"/>
    <col min="5" max="5" width="12" style="1" customWidth="1"/>
    <col min="6" max="6" width="11.5546875" style="1" customWidth="1"/>
    <col min="7" max="7" width="12.33203125" style="1" customWidth="1"/>
    <col min="8" max="8" width="12" style="1" customWidth="1"/>
    <col min="9" max="9" width="11.109375" style="1" customWidth="1"/>
    <col min="10" max="10" width="11.33203125" style="1" customWidth="1"/>
    <col min="11" max="11" width="11.44140625" style="1" customWidth="1"/>
    <col min="12" max="12" width="13.44140625" style="1" customWidth="1"/>
    <col min="13" max="13" width="11.44140625" style="1" customWidth="1"/>
    <col min="14" max="14" width="18.33203125" style="1" bestFit="1" customWidth="1"/>
    <col min="15" max="15" width="13.5546875" style="1" customWidth="1"/>
    <col min="16" max="16" width="14.5546875" style="1" customWidth="1"/>
    <col min="17" max="17" width="12.88671875" style="1" customWidth="1"/>
    <col min="18" max="16384" width="8.6640625" style="1"/>
  </cols>
  <sheetData>
    <row r="1" spans="1:17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5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</row>
    <row r="3" spans="1:17" x14ac:dyDescent="0.3">
      <c r="A3" s="7">
        <v>46103</v>
      </c>
      <c r="B3" s="4" t="s">
        <v>5</v>
      </c>
      <c r="C3" s="4" t="s">
        <v>180</v>
      </c>
      <c r="D3" s="4">
        <v>0.92</v>
      </c>
      <c r="E3" s="4">
        <v>0.92190000000000005</v>
      </c>
      <c r="F3" s="4">
        <v>1.3766</v>
      </c>
      <c r="G3" s="4">
        <v>1.8244</v>
      </c>
      <c r="H3" s="4">
        <v>3.0259999999999998</v>
      </c>
      <c r="I3" s="4">
        <v>3.6541999999999999</v>
      </c>
      <c r="J3" s="4">
        <v>4.5701999999999998</v>
      </c>
      <c r="K3" s="5">
        <f t="shared" ref="K3:K16" si="0">IF(D3=0, 0, 100*(E3 - D3*1)/(D3*1))</f>
        <v>0.20652173913043617</v>
      </c>
      <c r="L3" s="5">
        <f t="shared" ref="L3:L16" si="1">IF(D3=0, 0, 100*(F3 - D3*1.5)/(D3*1.5))</f>
        <v>-0.24637681159420793</v>
      </c>
      <c r="M3" s="5">
        <f t="shared" ref="M3:M16" si="2">IF(D3=0, 0, 100*(G3 - D3*2)/(D3*2))</f>
        <v>-0.84782608695652484</v>
      </c>
      <c r="N3" s="5">
        <f t="shared" ref="N3:N16" si="3">IF(D3=0, 0, 100*(H3 - D3*3.3)/(D3*3.3))</f>
        <v>-0.32938076416338047</v>
      </c>
      <c r="O3" s="5">
        <f t="shared" ref="O3:O16" si="4">IF(D3=0, 0, 100*(I3 - D3*4)/(D3*4))</f>
        <v>-0.70108695652174635</v>
      </c>
      <c r="P3" s="5">
        <f t="shared" ref="P3:P16" si="5">IF(D3=0, 0, 100*(J3 - D3*5)/(D3*5))</f>
        <v>-0.64782608695653721</v>
      </c>
      <c r="Q3" s="4" t="str">
        <f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/>
      <c r="B4" s="6"/>
      <c r="C4" s="6"/>
      <c r="D4" s="6"/>
      <c r="E4" s="6"/>
      <c r="F4" s="6"/>
      <c r="G4" s="17"/>
      <c r="H4" s="6"/>
      <c r="I4" s="6"/>
      <c r="J4" s="6"/>
      <c r="K4" s="15">
        <f t="shared" si="0"/>
        <v>0</v>
      </c>
      <c r="L4" s="15">
        <f t="shared" si="1"/>
        <v>0</v>
      </c>
      <c r="M4" s="15">
        <f t="shared" si="2"/>
        <v>0</v>
      </c>
      <c r="N4" s="15">
        <f t="shared" si="3"/>
        <v>0</v>
      </c>
      <c r="O4" s="15">
        <f t="shared" si="4"/>
        <v>0</v>
      </c>
      <c r="P4" s="15">
        <f t="shared" si="5"/>
        <v>0</v>
      </c>
      <c r="Q4" s="6" t="str">
        <f>IF(AND(K4&gt;=0.11,K4&lt;=0.27,L4&gt;=-0.36,L4&lt;=-0.22,M4&gt;=-0.92,M4&lt;=-0.82,N4&gt;=-0.4,N4&lt;=-0.3,O4&gt;=-0.79,O4&lt;=-0.64,P4&gt;=-0.76,P4&lt;=-0.61), "Yes", IF(AND(K4=0,L4=0,M4=0,N4=0,O4=0,P4=0), "Ready to test", "No"))</f>
        <v>Ready to test</v>
      </c>
    </row>
    <row r="5" spans="1:17" x14ac:dyDescent="0.3">
      <c r="A5" s="16"/>
      <c r="B5" s="6"/>
      <c r="C5" s="6"/>
      <c r="D5" s="6"/>
      <c r="E5" s="6"/>
      <c r="F5" s="6"/>
      <c r="G5" s="6"/>
      <c r="H5" s="6"/>
      <c r="I5" s="6"/>
      <c r="J5" s="6"/>
      <c r="K5" s="15">
        <f t="shared" si="0"/>
        <v>0</v>
      </c>
      <c r="L5" s="15">
        <f t="shared" si="1"/>
        <v>0</v>
      </c>
      <c r="M5" s="15">
        <f t="shared" si="2"/>
        <v>0</v>
      </c>
      <c r="N5" s="15">
        <f t="shared" si="3"/>
        <v>0</v>
      </c>
      <c r="O5" s="15">
        <f t="shared" si="4"/>
        <v>0</v>
      </c>
      <c r="P5" s="15">
        <f t="shared" si="5"/>
        <v>0</v>
      </c>
      <c r="Q5" s="6" t="str">
        <f>IF(AND(K5&gt;=0.11,K5&lt;=0.27,L5&gt;=-0.38,L5&lt;=-0.22,M5&gt;=-0.94,M5&lt;=-0.82,N5&gt;=-0.41,N5&lt;=-0.3,O5&gt;=-0.79,O5&lt;=-0.64,P5&gt;=-0.76,P5&lt;=-0.61), "Yes", IF(AND(K5=0,L5=0,M5=0,N5=0,O5=0,P5=0), "Ready to test", "No"))</f>
        <v>Ready to test</v>
      </c>
    </row>
    <row r="6" spans="1:17" x14ac:dyDescent="0.3">
      <c r="A6" s="16"/>
      <c r="B6" s="6"/>
      <c r="C6" s="6"/>
      <c r="D6" s="6"/>
      <c r="E6" s="6"/>
      <c r="F6" s="6"/>
      <c r="G6" s="17"/>
      <c r="H6" s="6"/>
      <c r="I6" s="6"/>
      <c r="J6" s="6"/>
      <c r="K6" s="15">
        <f t="shared" si="0"/>
        <v>0</v>
      </c>
      <c r="L6" s="15">
        <f t="shared" si="1"/>
        <v>0</v>
      </c>
      <c r="M6" s="15">
        <f t="shared" si="2"/>
        <v>0</v>
      </c>
      <c r="N6" s="15">
        <f t="shared" si="3"/>
        <v>0</v>
      </c>
      <c r="O6" s="15">
        <f t="shared" si="4"/>
        <v>0</v>
      </c>
      <c r="P6" s="15">
        <f t="shared" si="5"/>
        <v>0</v>
      </c>
      <c r="Q6" s="6" t="str">
        <f t="shared" ref="Q6:Q16" si="6">IF(AND(K6&gt;=0.11,K6&lt;=0.27,L6&gt;=-0.36,L6&lt;=-0.22,M6&gt;=-0.92,M6&lt;=-0.82,N6&gt;=-0.4,N6&lt;=-0.3,O6&gt;=-0.79,O6&lt;=-0.64,P6&gt;=-0.76,P6&lt;=-0.61), "Yes", IF(AND(K6=0,L6=0,M6=0,N6=0,O6=0,P6=0), "Ready to test", "No"))</f>
        <v>Ready to test</v>
      </c>
    </row>
    <row r="7" spans="1:17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15">
        <f t="shared" si="0"/>
        <v>0</v>
      </c>
      <c r="L7" s="15">
        <f t="shared" si="1"/>
        <v>0</v>
      </c>
      <c r="M7" s="15">
        <f t="shared" si="2"/>
        <v>0</v>
      </c>
      <c r="N7" s="15">
        <f t="shared" si="3"/>
        <v>0</v>
      </c>
      <c r="O7" s="15">
        <f t="shared" si="4"/>
        <v>0</v>
      </c>
      <c r="P7" s="15">
        <f t="shared" si="5"/>
        <v>0</v>
      </c>
      <c r="Q7" s="6" t="str">
        <f t="shared" si="6"/>
        <v>Ready to test</v>
      </c>
    </row>
    <row r="8" spans="1:17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15">
        <f t="shared" si="0"/>
        <v>0</v>
      </c>
      <c r="L8" s="15">
        <f t="shared" si="1"/>
        <v>0</v>
      </c>
      <c r="M8" s="15">
        <f t="shared" si="2"/>
        <v>0</v>
      </c>
      <c r="N8" s="15">
        <f t="shared" si="3"/>
        <v>0</v>
      </c>
      <c r="O8" s="15">
        <f t="shared" si="4"/>
        <v>0</v>
      </c>
      <c r="P8" s="15">
        <f t="shared" si="5"/>
        <v>0</v>
      </c>
      <c r="Q8" s="6" t="str">
        <f t="shared" si="6"/>
        <v>Ready to test</v>
      </c>
    </row>
    <row r="9" spans="1:17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15">
        <f t="shared" si="0"/>
        <v>0</v>
      </c>
      <c r="L9" s="15">
        <f t="shared" si="1"/>
        <v>0</v>
      </c>
      <c r="M9" s="15">
        <f t="shared" si="2"/>
        <v>0</v>
      </c>
      <c r="N9" s="15">
        <f t="shared" si="3"/>
        <v>0</v>
      </c>
      <c r="O9" s="15">
        <f t="shared" si="4"/>
        <v>0</v>
      </c>
      <c r="P9" s="15">
        <f t="shared" si="5"/>
        <v>0</v>
      </c>
      <c r="Q9" s="6" t="str">
        <f t="shared" si="6"/>
        <v>Ready to test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15">
        <f t="shared" si="0"/>
        <v>0</v>
      </c>
      <c r="L10" s="15">
        <f t="shared" si="1"/>
        <v>0</v>
      </c>
      <c r="M10" s="15">
        <f t="shared" si="2"/>
        <v>0</v>
      </c>
      <c r="N10" s="15">
        <f t="shared" si="3"/>
        <v>0</v>
      </c>
      <c r="O10" s="15">
        <f t="shared" si="4"/>
        <v>0</v>
      </c>
      <c r="P10" s="15">
        <f t="shared" si="5"/>
        <v>0</v>
      </c>
      <c r="Q10" s="6" t="str">
        <f t="shared" si="6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15">
        <f t="shared" si="0"/>
        <v>0</v>
      </c>
      <c r="L11" s="15">
        <f t="shared" si="1"/>
        <v>0</v>
      </c>
      <c r="M11" s="15">
        <f t="shared" si="2"/>
        <v>0</v>
      </c>
      <c r="N11" s="15">
        <f t="shared" si="3"/>
        <v>0</v>
      </c>
      <c r="O11" s="15">
        <f t="shared" si="4"/>
        <v>0</v>
      </c>
      <c r="P11" s="15">
        <f t="shared" si="5"/>
        <v>0</v>
      </c>
      <c r="Q11" s="6" t="str">
        <f t="shared" si="6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15">
        <f t="shared" si="0"/>
        <v>0</v>
      </c>
      <c r="L12" s="15">
        <f t="shared" si="1"/>
        <v>0</v>
      </c>
      <c r="M12" s="15">
        <f t="shared" si="2"/>
        <v>0</v>
      </c>
      <c r="N12" s="15">
        <f t="shared" si="3"/>
        <v>0</v>
      </c>
      <c r="O12" s="15">
        <f t="shared" si="4"/>
        <v>0</v>
      </c>
      <c r="P12" s="15">
        <f t="shared" si="5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15">
        <f t="shared" si="0"/>
        <v>0</v>
      </c>
      <c r="L13" s="15">
        <f t="shared" si="1"/>
        <v>0</v>
      </c>
      <c r="M13" s="15">
        <f t="shared" si="2"/>
        <v>0</v>
      </c>
      <c r="N13" s="15">
        <f t="shared" si="3"/>
        <v>0</v>
      </c>
      <c r="O13" s="15">
        <f t="shared" si="4"/>
        <v>0</v>
      </c>
      <c r="P13" s="15">
        <f t="shared" si="5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15">
        <f t="shared" si="0"/>
        <v>0</v>
      </c>
      <c r="L14" s="15">
        <f t="shared" si="1"/>
        <v>0</v>
      </c>
      <c r="M14" s="15">
        <f t="shared" si="2"/>
        <v>0</v>
      </c>
      <c r="N14" s="15">
        <f t="shared" si="3"/>
        <v>0</v>
      </c>
      <c r="O14" s="15">
        <f t="shared" si="4"/>
        <v>0</v>
      </c>
      <c r="P14" s="15">
        <f t="shared" si="5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15">
        <f t="shared" si="0"/>
        <v>0</v>
      </c>
      <c r="L15" s="15">
        <f t="shared" si="1"/>
        <v>0</v>
      </c>
      <c r="M15" s="15">
        <f t="shared" si="2"/>
        <v>0</v>
      </c>
      <c r="N15" s="15">
        <f t="shared" si="3"/>
        <v>0</v>
      </c>
      <c r="O15" s="15">
        <f t="shared" si="4"/>
        <v>0</v>
      </c>
      <c r="P15" s="15">
        <f t="shared" si="5"/>
        <v>0</v>
      </c>
      <c r="Q15" s="6" t="str">
        <f t="shared" si="6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15">
        <f t="shared" si="0"/>
        <v>0</v>
      </c>
      <c r="L16" s="15">
        <f t="shared" si="1"/>
        <v>0</v>
      </c>
      <c r="M16" s="15">
        <f t="shared" si="2"/>
        <v>0</v>
      </c>
      <c r="N16" s="15">
        <f t="shared" si="3"/>
        <v>0</v>
      </c>
      <c r="O16" s="15">
        <f t="shared" si="4"/>
        <v>0</v>
      </c>
      <c r="P16" s="15">
        <f t="shared" si="5"/>
        <v>0</v>
      </c>
      <c r="Q16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6">
    <cfRule type="expression" dxfId="53" priority="1">
      <formula>Q3="Alert"</formula>
    </cfRule>
    <cfRule type="expression" dxfId="52" priority="2">
      <formula>Q3="Yes"</formula>
    </cfRule>
    <cfRule type="expression" dxfId="51" priority="3">
      <formula>Q3="No"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A26A8-DBC9-4315-B57A-29442719A438}">
  <dimension ref="A1:Q16"/>
  <sheetViews>
    <sheetView workbookViewId="0">
      <selection sqref="A1:XFD1048576"/>
    </sheetView>
  </sheetViews>
  <sheetFormatPr defaultColWidth="8.6640625" defaultRowHeight="14.4" x14ac:dyDescent="0.3"/>
  <cols>
    <col min="1" max="1" width="15" style="1" customWidth="1"/>
    <col min="2" max="2" width="9" style="1" bestFit="1" customWidth="1"/>
    <col min="3" max="3" width="12" style="1" bestFit="1" customWidth="1"/>
    <col min="4" max="4" width="17.44140625" style="1" bestFit="1" customWidth="1"/>
    <col min="5" max="5" width="12" style="1" customWidth="1"/>
    <col min="6" max="6" width="11.5546875" style="1" customWidth="1"/>
    <col min="7" max="7" width="12.33203125" style="1" customWidth="1"/>
    <col min="8" max="8" width="12" style="1" customWidth="1"/>
    <col min="9" max="9" width="11.109375" style="1" customWidth="1"/>
    <col min="10" max="10" width="11.33203125" style="1" customWidth="1"/>
    <col min="11" max="11" width="11.44140625" style="1" customWidth="1"/>
    <col min="12" max="12" width="13.44140625" style="1" customWidth="1"/>
    <col min="13" max="13" width="11.44140625" style="1" customWidth="1"/>
    <col min="14" max="14" width="18.33203125" style="1" bestFit="1" customWidth="1"/>
    <col min="15" max="15" width="13.5546875" style="1" customWidth="1"/>
    <col min="16" max="16" width="14.5546875" style="1" customWidth="1"/>
    <col min="17" max="17" width="12.88671875" style="1" customWidth="1"/>
    <col min="18" max="16384" width="8.6640625" style="1"/>
  </cols>
  <sheetData>
    <row r="1" spans="1:17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5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</row>
    <row r="3" spans="1:17" x14ac:dyDescent="0.3">
      <c r="A3" s="7">
        <v>46103</v>
      </c>
      <c r="B3" s="4" t="s">
        <v>5</v>
      </c>
      <c r="C3" s="4" t="s">
        <v>180</v>
      </c>
      <c r="D3" s="4">
        <v>0.92</v>
      </c>
      <c r="E3" s="4">
        <v>0.92190000000000005</v>
      </c>
      <c r="F3" s="4">
        <v>1.3767</v>
      </c>
      <c r="G3" s="4">
        <v>1.8245</v>
      </c>
      <c r="H3" s="4">
        <v>3.0261999999999998</v>
      </c>
      <c r="I3" s="4">
        <v>3.6553</v>
      </c>
      <c r="J3" s="4">
        <v>4.57</v>
      </c>
      <c r="K3" s="5">
        <f t="shared" ref="K3:K16" si="0">IF(D3=0, 0, 100*(E3 - D3*1)/(D3*1))</f>
        <v>0.20652173913043617</v>
      </c>
      <c r="L3" s="5">
        <f t="shared" ref="L3:L16" si="1">IF(D3=0, 0, 100*(F3 - D3*1.5)/(D3*1.5))</f>
        <v>-0.23913043478261453</v>
      </c>
      <c r="M3" s="5">
        <f t="shared" ref="M3:M16" si="2">IF(D3=0, 0, 100*(G3 - D3*2)/(D3*2))</f>
        <v>-0.84239130434782983</v>
      </c>
      <c r="N3" s="5">
        <f t="shared" ref="N3:N16" si="3">IF(D3=0, 0, 100*(H3 - D3*3.3)/(D3*3.3))</f>
        <v>-0.32279314888011373</v>
      </c>
      <c r="O3" s="5">
        <f t="shared" ref="O3:O16" si="4">IF(D3=0, 0, 100*(I3 - D3*4)/(D3*4))</f>
        <v>-0.67119565217391752</v>
      </c>
      <c r="P3" s="5">
        <f t="shared" ref="P3:P16" si="5">IF(D3=0, 0, 100*(J3 - D3*5)/(D3*5))</f>
        <v>-0.6521739130434836</v>
      </c>
      <c r="Q3" s="4" t="str">
        <f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/>
      <c r="B4" s="6"/>
      <c r="C4" s="6"/>
      <c r="D4" s="6"/>
      <c r="E4" s="6"/>
      <c r="F4" s="6"/>
      <c r="G4" s="17"/>
      <c r="H4" s="6"/>
      <c r="I4" s="6"/>
      <c r="J4" s="6"/>
      <c r="K4" s="15">
        <f t="shared" si="0"/>
        <v>0</v>
      </c>
      <c r="L4" s="15">
        <f t="shared" si="1"/>
        <v>0</v>
      </c>
      <c r="M4" s="15">
        <f t="shared" si="2"/>
        <v>0</v>
      </c>
      <c r="N4" s="15">
        <f t="shared" si="3"/>
        <v>0</v>
      </c>
      <c r="O4" s="15">
        <f t="shared" si="4"/>
        <v>0</v>
      </c>
      <c r="P4" s="15">
        <f t="shared" si="5"/>
        <v>0</v>
      </c>
      <c r="Q4" s="6" t="str">
        <f>IF(AND(K4&gt;=0.11,K4&lt;=0.27,L4&gt;=-0.36,L4&lt;=-0.22,M4&gt;=-0.92,M4&lt;=-0.82,N4&gt;=-0.4,N4&lt;=-0.3,O4&gt;=-0.79,O4&lt;=-0.64,P4&gt;=-0.76,P4&lt;=-0.61), "Yes", IF(AND(K4=0,L4=0,M4=0,N4=0,O4=0,P4=0), "Ready to test", "No"))</f>
        <v>Ready to test</v>
      </c>
    </row>
    <row r="5" spans="1:17" x14ac:dyDescent="0.3">
      <c r="A5" s="16"/>
      <c r="B5" s="6"/>
      <c r="C5" s="6"/>
      <c r="D5" s="6"/>
      <c r="E5" s="6"/>
      <c r="F5" s="6"/>
      <c r="G5" s="6"/>
      <c r="H5" s="6"/>
      <c r="I5" s="6"/>
      <c r="J5" s="6"/>
      <c r="K5" s="15">
        <f t="shared" si="0"/>
        <v>0</v>
      </c>
      <c r="L5" s="15">
        <f t="shared" si="1"/>
        <v>0</v>
      </c>
      <c r="M5" s="15">
        <f t="shared" si="2"/>
        <v>0</v>
      </c>
      <c r="N5" s="15">
        <f t="shared" si="3"/>
        <v>0</v>
      </c>
      <c r="O5" s="15">
        <f t="shared" si="4"/>
        <v>0</v>
      </c>
      <c r="P5" s="15">
        <f t="shared" si="5"/>
        <v>0</v>
      </c>
      <c r="Q5" s="6" t="str">
        <f>IF(AND(K5&gt;=0.11,K5&lt;=0.27,L5&gt;=-0.38,L5&lt;=-0.22,M5&gt;=-0.94,M5&lt;=-0.82,N5&gt;=-0.41,N5&lt;=-0.3,O5&gt;=-0.79,O5&lt;=-0.64,P5&gt;=-0.76,P5&lt;=-0.61), "Yes", IF(AND(K5=0,L5=0,M5=0,N5=0,O5=0,P5=0), "Ready to test", "No"))</f>
        <v>Ready to test</v>
      </c>
    </row>
    <row r="6" spans="1:17" x14ac:dyDescent="0.3">
      <c r="A6" s="16"/>
      <c r="B6" s="6"/>
      <c r="C6" s="6"/>
      <c r="D6" s="6"/>
      <c r="E6" s="6"/>
      <c r="F6" s="6"/>
      <c r="G6" s="17"/>
      <c r="H6" s="6"/>
      <c r="I6" s="6"/>
      <c r="J6" s="6"/>
      <c r="K6" s="15">
        <f t="shared" si="0"/>
        <v>0</v>
      </c>
      <c r="L6" s="15">
        <f t="shared" si="1"/>
        <v>0</v>
      </c>
      <c r="M6" s="15">
        <f t="shared" si="2"/>
        <v>0</v>
      </c>
      <c r="N6" s="15">
        <f t="shared" si="3"/>
        <v>0</v>
      </c>
      <c r="O6" s="15">
        <f t="shared" si="4"/>
        <v>0</v>
      </c>
      <c r="P6" s="15">
        <f t="shared" si="5"/>
        <v>0</v>
      </c>
      <c r="Q6" s="6" t="str">
        <f t="shared" ref="Q6:Q16" si="6">IF(AND(K6&gt;=0.11,K6&lt;=0.27,L6&gt;=-0.36,L6&lt;=-0.22,M6&gt;=-0.92,M6&lt;=-0.82,N6&gt;=-0.4,N6&lt;=-0.3,O6&gt;=-0.79,O6&lt;=-0.64,P6&gt;=-0.76,P6&lt;=-0.61), "Yes", IF(AND(K6=0,L6=0,M6=0,N6=0,O6=0,P6=0), "Ready to test", "No"))</f>
        <v>Ready to test</v>
      </c>
    </row>
    <row r="7" spans="1:17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15">
        <f t="shared" si="0"/>
        <v>0</v>
      </c>
      <c r="L7" s="15">
        <f t="shared" si="1"/>
        <v>0</v>
      </c>
      <c r="M7" s="15">
        <f t="shared" si="2"/>
        <v>0</v>
      </c>
      <c r="N7" s="15">
        <f t="shared" si="3"/>
        <v>0</v>
      </c>
      <c r="O7" s="15">
        <f t="shared" si="4"/>
        <v>0</v>
      </c>
      <c r="P7" s="15">
        <f t="shared" si="5"/>
        <v>0</v>
      </c>
      <c r="Q7" s="6" t="str">
        <f t="shared" si="6"/>
        <v>Ready to test</v>
      </c>
    </row>
    <row r="8" spans="1:17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15">
        <f t="shared" si="0"/>
        <v>0</v>
      </c>
      <c r="L8" s="15">
        <f t="shared" si="1"/>
        <v>0</v>
      </c>
      <c r="M8" s="15">
        <f t="shared" si="2"/>
        <v>0</v>
      </c>
      <c r="N8" s="15">
        <f t="shared" si="3"/>
        <v>0</v>
      </c>
      <c r="O8" s="15">
        <f t="shared" si="4"/>
        <v>0</v>
      </c>
      <c r="P8" s="15">
        <f t="shared" si="5"/>
        <v>0</v>
      </c>
      <c r="Q8" s="6" t="str">
        <f t="shared" si="6"/>
        <v>Ready to test</v>
      </c>
    </row>
    <row r="9" spans="1:17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15">
        <f t="shared" si="0"/>
        <v>0</v>
      </c>
      <c r="L9" s="15">
        <f t="shared" si="1"/>
        <v>0</v>
      </c>
      <c r="M9" s="15">
        <f t="shared" si="2"/>
        <v>0</v>
      </c>
      <c r="N9" s="15">
        <f t="shared" si="3"/>
        <v>0</v>
      </c>
      <c r="O9" s="15">
        <f t="shared" si="4"/>
        <v>0</v>
      </c>
      <c r="P9" s="15">
        <f t="shared" si="5"/>
        <v>0</v>
      </c>
      <c r="Q9" s="6" t="str">
        <f t="shared" si="6"/>
        <v>Ready to test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15">
        <f t="shared" si="0"/>
        <v>0</v>
      </c>
      <c r="L10" s="15">
        <f t="shared" si="1"/>
        <v>0</v>
      </c>
      <c r="M10" s="15">
        <f t="shared" si="2"/>
        <v>0</v>
      </c>
      <c r="N10" s="15">
        <f t="shared" si="3"/>
        <v>0</v>
      </c>
      <c r="O10" s="15">
        <f t="shared" si="4"/>
        <v>0</v>
      </c>
      <c r="P10" s="15">
        <f t="shared" si="5"/>
        <v>0</v>
      </c>
      <c r="Q10" s="6" t="str">
        <f t="shared" si="6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15">
        <f t="shared" si="0"/>
        <v>0</v>
      </c>
      <c r="L11" s="15">
        <f t="shared" si="1"/>
        <v>0</v>
      </c>
      <c r="M11" s="15">
        <f t="shared" si="2"/>
        <v>0</v>
      </c>
      <c r="N11" s="15">
        <f t="shared" si="3"/>
        <v>0</v>
      </c>
      <c r="O11" s="15">
        <f t="shared" si="4"/>
        <v>0</v>
      </c>
      <c r="P11" s="15">
        <f t="shared" si="5"/>
        <v>0</v>
      </c>
      <c r="Q11" s="6" t="str">
        <f t="shared" si="6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15">
        <f t="shared" si="0"/>
        <v>0</v>
      </c>
      <c r="L12" s="15">
        <f t="shared" si="1"/>
        <v>0</v>
      </c>
      <c r="M12" s="15">
        <f t="shared" si="2"/>
        <v>0</v>
      </c>
      <c r="N12" s="15">
        <f t="shared" si="3"/>
        <v>0</v>
      </c>
      <c r="O12" s="15">
        <f t="shared" si="4"/>
        <v>0</v>
      </c>
      <c r="P12" s="15">
        <f t="shared" si="5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15">
        <f t="shared" si="0"/>
        <v>0</v>
      </c>
      <c r="L13" s="15">
        <f t="shared" si="1"/>
        <v>0</v>
      </c>
      <c r="M13" s="15">
        <f t="shared" si="2"/>
        <v>0</v>
      </c>
      <c r="N13" s="15">
        <f t="shared" si="3"/>
        <v>0</v>
      </c>
      <c r="O13" s="15">
        <f t="shared" si="4"/>
        <v>0</v>
      </c>
      <c r="P13" s="15">
        <f t="shared" si="5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15">
        <f t="shared" si="0"/>
        <v>0</v>
      </c>
      <c r="L14" s="15">
        <f t="shared" si="1"/>
        <v>0</v>
      </c>
      <c r="M14" s="15">
        <f t="shared" si="2"/>
        <v>0</v>
      </c>
      <c r="N14" s="15">
        <f t="shared" si="3"/>
        <v>0</v>
      </c>
      <c r="O14" s="15">
        <f t="shared" si="4"/>
        <v>0</v>
      </c>
      <c r="P14" s="15">
        <f t="shared" si="5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15">
        <f t="shared" si="0"/>
        <v>0</v>
      </c>
      <c r="L15" s="15">
        <f t="shared" si="1"/>
        <v>0</v>
      </c>
      <c r="M15" s="15">
        <f t="shared" si="2"/>
        <v>0</v>
      </c>
      <c r="N15" s="15">
        <f t="shared" si="3"/>
        <v>0</v>
      </c>
      <c r="O15" s="15">
        <f t="shared" si="4"/>
        <v>0</v>
      </c>
      <c r="P15" s="15">
        <f t="shared" si="5"/>
        <v>0</v>
      </c>
      <c r="Q15" s="6" t="str">
        <f t="shared" si="6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15">
        <f t="shared" si="0"/>
        <v>0</v>
      </c>
      <c r="L16" s="15">
        <f t="shared" si="1"/>
        <v>0</v>
      </c>
      <c r="M16" s="15">
        <f t="shared" si="2"/>
        <v>0</v>
      </c>
      <c r="N16" s="15">
        <f t="shared" si="3"/>
        <v>0</v>
      </c>
      <c r="O16" s="15">
        <f t="shared" si="4"/>
        <v>0</v>
      </c>
      <c r="P16" s="15">
        <f t="shared" si="5"/>
        <v>0</v>
      </c>
      <c r="Q16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6">
    <cfRule type="expression" dxfId="50" priority="1">
      <formula>Q3="Alert"</formula>
    </cfRule>
    <cfRule type="expression" dxfId="49" priority="2">
      <formula>Q3="Yes"</formula>
    </cfRule>
    <cfRule type="expression" dxfId="48" priority="3">
      <formula>Q3="No"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4908C-D714-4155-BE10-172FBA548606}">
  <dimension ref="A1:Q16"/>
  <sheetViews>
    <sheetView topLeftCell="F1" workbookViewId="0">
      <selection activeCell="K4" sqref="K4:P4"/>
    </sheetView>
  </sheetViews>
  <sheetFormatPr defaultColWidth="8.6640625" defaultRowHeight="14.4" x14ac:dyDescent="0.3"/>
  <cols>
    <col min="1" max="1" width="15" style="1" customWidth="1"/>
    <col min="2" max="2" width="9" style="1" bestFit="1" customWidth="1"/>
    <col min="3" max="3" width="12" style="1" bestFit="1" customWidth="1"/>
    <col min="4" max="4" width="17.44140625" style="1" bestFit="1" customWidth="1"/>
    <col min="5" max="5" width="12" style="1" customWidth="1"/>
    <col min="6" max="6" width="11.5546875" style="1" customWidth="1"/>
    <col min="7" max="7" width="12.33203125" style="1" customWidth="1"/>
    <col min="8" max="8" width="12" style="1" customWidth="1"/>
    <col min="9" max="9" width="11.109375" style="1" customWidth="1"/>
    <col min="10" max="10" width="11.33203125" style="1" customWidth="1"/>
    <col min="11" max="11" width="11.44140625" style="1" customWidth="1"/>
    <col min="12" max="12" width="13.44140625" style="1" customWidth="1"/>
    <col min="13" max="13" width="11.44140625" style="1" customWidth="1"/>
    <col min="14" max="14" width="18.33203125" style="1" bestFit="1" customWidth="1"/>
    <col min="15" max="15" width="13.5546875" style="1" customWidth="1"/>
    <col min="16" max="16" width="14.5546875" style="1" customWidth="1"/>
    <col min="17" max="17" width="12.88671875" style="1" customWidth="1"/>
    <col min="18" max="16384" width="8.6640625" style="1"/>
  </cols>
  <sheetData>
    <row r="1" spans="1:17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5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</row>
    <row r="3" spans="1:17" x14ac:dyDescent="0.3">
      <c r="A3" s="7">
        <v>46103</v>
      </c>
      <c r="B3" s="4" t="s">
        <v>5</v>
      </c>
      <c r="C3" s="4" t="s">
        <v>180</v>
      </c>
      <c r="D3" s="4">
        <v>0.92</v>
      </c>
      <c r="E3" s="4">
        <v>0.92179999999999995</v>
      </c>
      <c r="F3" s="4">
        <v>1.3768</v>
      </c>
      <c r="G3" s="4">
        <v>1.8246</v>
      </c>
      <c r="H3" s="4">
        <v>3.0265</v>
      </c>
      <c r="I3" s="4">
        <v>3.6560000000000001</v>
      </c>
      <c r="J3" s="4">
        <v>4.5708000000000002</v>
      </c>
      <c r="K3" s="5">
        <f t="shared" ref="K3:K16" si="0">IF(D3=0, 0, 100*(E3 - D3*1)/(D3*1))</f>
        <v>0.19565217391303399</v>
      </c>
      <c r="L3" s="5">
        <f t="shared" ref="L3:L16" si="1">IF(D3=0, 0, 100*(F3 - D3*1.5)/(D3*1.5))</f>
        <v>-0.23188405797102113</v>
      </c>
      <c r="M3" s="5">
        <f t="shared" ref="M3:M16" si="2">IF(D3=0, 0, 100*(G3 - D3*2)/(D3*2))</f>
        <v>-0.83695652173913471</v>
      </c>
      <c r="N3" s="5">
        <f t="shared" ref="N3:N16" si="3">IF(D3=0, 0, 100*(H3 - D3*3.3)/(D3*3.3))</f>
        <v>-0.31291172595520633</v>
      </c>
      <c r="O3" s="5">
        <f t="shared" ref="O3:O16" si="4">IF(D3=0, 0, 100*(I3 - D3*4)/(D3*4))</f>
        <v>-0.65217391304347883</v>
      </c>
      <c r="P3" s="5">
        <f t="shared" ref="P3:P16" si="5">IF(D3=0, 0, 100*(J3 - D3*5)/(D3*5))</f>
        <v>-0.63478260869565939</v>
      </c>
      <c r="Q3" s="4" t="str">
        <f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>
        <v>46162</v>
      </c>
      <c r="B4" s="6" t="s">
        <v>5</v>
      </c>
      <c r="C4" s="6" t="s">
        <v>98</v>
      </c>
      <c r="D4" s="6">
        <v>0.92</v>
      </c>
      <c r="E4" s="6">
        <v>0.92190000000000005</v>
      </c>
      <c r="F4" s="6">
        <v>1.3761000000000001</v>
      </c>
      <c r="G4" s="17">
        <v>1.8241000000000001</v>
      </c>
      <c r="H4" s="6">
        <v>3.0253999999999999</v>
      </c>
      <c r="I4" s="6">
        <v>3.6536</v>
      </c>
      <c r="J4" s="6">
        <v>4.5698999999999996</v>
      </c>
      <c r="K4" s="15">
        <f t="shared" si="0"/>
        <v>0.20652173913043617</v>
      </c>
      <c r="L4" s="15">
        <f t="shared" si="1"/>
        <v>-0.28260869565217495</v>
      </c>
      <c r="M4" s="15">
        <f t="shared" si="2"/>
        <v>-0.86413043478260998</v>
      </c>
      <c r="N4" s="15">
        <f t="shared" si="3"/>
        <v>-0.34914361001318067</v>
      </c>
      <c r="O4" s="15">
        <f t="shared" si="4"/>
        <v>-0.71739130434783149</v>
      </c>
      <c r="P4" s="15">
        <f t="shared" si="5"/>
        <v>-0.65434782608697606</v>
      </c>
      <c r="Q4" s="6" t="str">
        <f>IF(AND(K4&gt;=0.11,K4&lt;=0.27,L4&gt;=-0.36,L4&lt;=-0.22,M4&gt;=-0.92,M4&lt;=-0.82,N4&gt;=-0.4,N4&lt;=-0.3,O4&gt;=-0.79,O4&lt;=-0.64,P4&gt;=-0.76,P4&lt;=-0.61), "Yes", IF(AND(K4=0,L4=0,M4=0,N4=0,O4=0,P4=0), "Ready to test", "No"))</f>
        <v>Yes</v>
      </c>
    </row>
    <row r="5" spans="1:17" x14ac:dyDescent="0.3">
      <c r="A5" s="16"/>
      <c r="B5" s="6"/>
      <c r="C5" s="6"/>
      <c r="D5" s="6"/>
      <c r="E5" s="6"/>
      <c r="F5" s="6"/>
      <c r="G5" s="6"/>
      <c r="H5" s="6"/>
      <c r="I5" s="6"/>
      <c r="J5" s="6"/>
      <c r="K5" s="15">
        <f t="shared" si="0"/>
        <v>0</v>
      </c>
      <c r="L5" s="15">
        <f t="shared" si="1"/>
        <v>0</v>
      </c>
      <c r="M5" s="15">
        <f t="shared" si="2"/>
        <v>0</v>
      </c>
      <c r="N5" s="15">
        <f t="shared" si="3"/>
        <v>0</v>
      </c>
      <c r="O5" s="15">
        <f t="shared" si="4"/>
        <v>0</v>
      </c>
      <c r="P5" s="15">
        <f t="shared" si="5"/>
        <v>0</v>
      </c>
      <c r="Q5" s="6" t="str">
        <f>IF(AND(K5&gt;=0.11,K5&lt;=0.27,L5&gt;=-0.38,L5&lt;=-0.22,M5&gt;=-0.94,M5&lt;=-0.82,N5&gt;=-0.41,N5&lt;=-0.3,O5&gt;=-0.79,O5&lt;=-0.64,P5&gt;=-0.76,P5&lt;=-0.61), "Yes", IF(AND(K5=0,L5=0,M5=0,N5=0,O5=0,P5=0), "Ready to test", "No"))</f>
        <v>Ready to test</v>
      </c>
    </row>
    <row r="6" spans="1:17" x14ac:dyDescent="0.3">
      <c r="A6" s="16"/>
      <c r="B6" s="6"/>
      <c r="C6" s="6"/>
      <c r="D6" s="6"/>
      <c r="E6" s="6"/>
      <c r="F6" s="6"/>
      <c r="G6" s="17"/>
      <c r="H6" s="6"/>
      <c r="I6" s="6"/>
      <c r="J6" s="6"/>
      <c r="K6" s="15">
        <f t="shared" si="0"/>
        <v>0</v>
      </c>
      <c r="L6" s="15">
        <f t="shared" si="1"/>
        <v>0</v>
      </c>
      <c r="M6" s="15">
        <f t="shared" si="2"/>
        <v>0</v>
      </c>
      <c r="N6" s="15">
        <f t="shared" si="3"/>
        <v>0</v>
      </c>
      <c r="O6" s="15">
        <f t="shared" si="4"/>
        <v>0</v>
      </c>
      <c r="P6" s="15">
        <f t="shared" si="5"/>
        <v>0</v>
      </c>
      <c r="Q6" s="6" t="str">
        <f t="shared" ref="Q6:Q16" si="6">IF(AND(K6&gt;=0.11,K6&lt;=0.27,L6&gt;=-0.36,L6&lt;=-0.22,M6&gt;=-0.92,M6&lt;=-0.82,N6&gt;=-0.4,N6&lt;=-0.3,O6&gt;=-0.79,O6&lt;=-0.64,P6&gt;=-0.76,P6&lt;=-0.61), "Yes", IF(AND(K6=0,L6=0,M6=0,N6=0,O6=0,P6=0), "Ready to test", "No"))</f>
        <v>Ready to test</v>
      </c>
    </row>
    <row r="7" spans="1:17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15">
        <f t="shared" si="0"/>
        <v>0</v>
      </c>
      <c r="L7" s="15">
        <f t="shared" si="1"/>
        <v>0</v>
      </c>
      <c r="M7" s="15">
        <f t="shared" si="2"/>
        <v>0</v>
      </c>
      <c r="N7" s="15">
        <f t="shared" si="3"/>
        <v>0</v>
      </c>
      <c r="O7" s="15">
        <f t="shared" si="4"/>
        <v>0</v>
      </c>
      <c r="P7" s="15">
        <f t="shared" si="5"/>
        <v>0</v>
      </c>
      <c r="Q7" s="6" t="str">
        <f t="shared" si="6"/>
        <v>Ready to test</v>
      </c>
    </row>
    <row r="8" spans="1:17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15">
        <f t="shared" si="0"/>
        <v>0</v>
      </c>
      <c r="L8" s="15">
        <f t="shared" si="1"/>
        <v>0</v>
      </c>
      <c r="M8" s="15">
        <f t="shared" si="2"/>
        <v>0</v>
      </c>
      <c r="N8" s="15">
        <f t="shared" si="3"/>
        <v>0</v>
      </c>
      <c r="O8" s="15">
        <f t="shared" si="4"/>
        <v>0</v>
      </c>
      <c r="P8" s="15">
        <f t="shared" si="5"/>
        <v>0</v>
      </c>
      <c r="Q8" s="6" t="str">
        <f t="shared" si="6"/>
        <v>Ready to test</v>
      </c>
    </row>
    <row r="9" spans="1:17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15">
        <f t="shared" si="0"/>
        <v>0</v>
      </c>
      <c r="L9" s="15">
        <f t="shared" si="1"/>
        <v>0</v>
      </c>
      <c r="M9" s="15">
        <f t="shared" si="2"/>
        <v>0</v>
      </c>
      <c r="N9" s="15">
        <f t="shared" si="3"/>
        <v>0</v>
      </c>
      <c r="O9" s="15">
        <f t="shared" si="4"/>
        <v>0</v>
      </c>
      <c r="P9" s="15">
        <f t="shared" si="5"/>
        <v>0</v>
      </c>
      <c r="Q9" s="6" t="str">
        <f t="shared" si="6"/>
        <v>Ready to test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15">
        <f t="shared" si="0"/>
        <v>0</v>
      </c>
      <c r="L10" s="15">
        <f t="shared" si="1"/>
        <v>0</v>
      </c>
      <c r="M10" s="15">
        <f t="shared" si="2"/>
        <v>0</v>
      </c>
      <c r="N10" s="15">
        <f t="shared" si="3"/>
        <v>0</v>
      </c>
      <c r="O10" s="15">
        <f t="shared" si="4"/>
        <v>0</v>
      </c>
      <c r="P10" s="15">
        <f t="shared" si="5"/>
        <v>0</v>
      </c>
      <c r="Q10" s="6" t="str">
        <f t="shared" si="6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15">
        <f t="shared" si="0"/>
        <v>0</v>
      </c>
      <c r="L11" s="15">
        <f t="shared" si="1"/>
        <v>0</v>
      </c>
      <c r="M11" s="15">
        <f t="shared" si="2"/>
        <v>0</v>
      </c>
      <c r="N11" s="15">
        <f t="shared" si="3"/>
        <v>0</v>
      </c>
      <c r="O11" s="15">
        <f t="shared" si="4"/>
        <v>0</v>
      </c>
      <c r="P11" s="15">
        <f t="shared" si="5"/>
        <v>0</v>
      </c>
      <c r="Q11" s="6" t="str">
        <f t="shared" si="6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15">
        <f t="shared" si="0"/>
        <v>0</v>
      </c>
      <c r="L12" s="15">
        <f t="shared" si="1"/>
        <v>0</v>
      </c>
      <c r="M12" s="15">
        <f t="shared" si="2"/>
        <v>0</v>
      </c>
      <c r="N12" s="15">
        <f t="shared" si="3"/>
        <v>0</v>
      </c>
      <c r="O12" s="15">
        <f t="shared" si="4"/>
        <v>0</v>
      </c>
      <c r="P12" s="15">
        <f t="shared" si="5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15">
        <f t="shared" si="0"/>
        <v>0</v>
      </c>
      <c r="L13" s="15">
        <f t="shared" si="1"/>
        <v>0</v>
      </c>
      <c r="M13" s="15">
        <f t="shared" si="2"/>
        <v>0</v>
      </c>
      <c r="N13" s="15">
        <f t="shared" si="3"/>
        <v>0</v>
      </c>
      <c r="O13" s="15">
        <f t="shared" si="4"/>
        <v>0</v>
      </c>
      <c r="P13" s="15">
        <f t="shared" si="5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15">
        <f t="shared" si="0"/>
        <v>0</v>
      </c>
      <c r="L14" s="15">
        <f t="shared" si="1"/>
        <v>0</v>
      </c>
      <c r="M14" s="15">
        <f t="shared" si="2"/>
        <v>0</v>
      </c>
      <c r="N14" s="15">
        <f t="shared" si="3"/>
        <v>0</v>
      </c>
      <c r="O14" s="15">
        <f t="shared" si="4"/>
        <v>0</v>
      </c>
      <c r="P14" s="15">
        <f t="shared" si="5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15">
        <f t="shared" si="0"/>
        <v>0</v>
      </c>
      <c r="L15" s="15">
        <f t="shared" si="1"/>
        <v>0</v>
      </c>
      <c r="M15" s="15">
        <f t="shared" si="2"/>
        <v>0</v>
      </c>
      <c r="N15" s="15">
        <f t="shared" si="3"/>
        <v>0</v>
      </c>
      <c r="O15" s="15">
        <f t="shared" si="4"/>
        <v>0</v>
      </c>
      <c r="P15" s="15">
        <f t="shared" si="5"/>
        <v>0</v>
      </c>
      <c r="Q15" s="6" t="str">
        <f t="shared" si="6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15">
        <f t="shared" si="0"/>
        <v>0</v>
      </c>
      <c r="L16" s="15">
        <f t="shared" si="1"/>
        <v>0</v>
      </c>
      <c r="M16" s="15">
        <f t="shared" si="2"/>
        <v>0</v>
      </c>
      <c r="N16" s="15">
        <f t="shared" si="3"/>
        <v>0</v>
      </c>
      <c r="O16" s="15">
        <f t="shared" si="4"/>
        <v>0</v>
      </c>
      <c r="P16" s="15">
        <f t="shared" si="5"/>
        <v>0</v>
      </c>
      <c r="Q16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6">
    <cfRule type="expression" dxfId="47" priority="1">
      <formula>Q3="Alert"</formula>
    </cfRule>
    <cfRule type="expression" dxfId="46" priority="2">
      <formula>Q3="Yes"</formula>
    </cfRule>
    <cfRule type="expression" dxfId="45" priority="3">
      <formula>Q3="No"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1FF48-4E1F-476E-8CA3-E8C62CE2749D}">
  <dimension ref="A1:Q16"/>
  <sheetViews>
    <sheetView topLeftCell="F1" workbookViewId="0">
      <selection activeCell="K4" sqref="K4:P4"/>
    </sheetView>
  </sheetViews>
  <sheetFormatPr defaultColWidth="8.6640625" defaultRowHeight="14.4" x14ac:dyDescent="0.3"/>
  <cols>
    <col min="1" max="1" width="15" style="1" customWidth="1"/>
    <col min="2" max="2" width="9" style="1" bestFit="1" customWidth="1"/>
    <col min="3" max="3" width="12" style="1" bestFit="1" customWidth="1"/>
    <col min="4" max="4" width="17.44140625" style="1" bestFit="1" customWidth="1"/>
    <col min="5" max="5" width="12" style="1" customWidth="1"/>
    <col min="6" max="6" width="11.5546875" style="1" customWidth="1"/>
    <col min="7" max="7" width="12.33203125" style="1" customWidth="1"/>
    <col min="8" max="8" width="12" style="1" customWidth="1"/>
    <col min="9" max="9" width="11.109375" style="1" customWidth="1"/>
    <col min="10" max="10" width="11.33203125" style="1" customWidth="1"/>
    <col min="11" max="11" width="11.44140625" style="1" customWidth="1"/>
    <col min="12" max="12" width="13.44140625" style="1" customWidth="1"/>
    <col min="13" max="13" width="11.44140625" style="1" customWidth="1"/>
    <col min="14" max="14" width="18.33203125" style="1" bestFit="1" customWidth="1"/>
    <col min="15" max="15" width="13.5546875" style="1" customWidth="1"/>
    <col min="16" max="16" width="14.5546875" style="1" customWidth="1"/>
    <col min="17" max="17" width="12.88671875" style="1" customWidth="1"/>
    <col min="18" max="16384" width="8.6640625" style="1"/>
  </cols>
  <sheetData>
    <row r="1" spans="1:17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5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</row>
    <row r="3" spans="1:17" x14ac:dyDescent="0.3">
      <c r="A3" s="7">
        <v>46103</v>
      </c>
      <c r="B3" s="4" t="s">
        <v>5</v>
      </c>
      <c r="C3" s="4" t="s">
        <v>180</v>
      </c>
      <c r="D3" s="4">
        <v>0.92</v>
      </c>
      <c r="E3" s="4">
        <v>0.92200000000000004</v>
      </c>
      <c r="F3" s="4">
        <v>1.3765000000000001</v>
      </c>
      <c r="G3" s="4">
        <v>1.8245</v>
      </c>
      <c r="H3" s="4">
        <v>3.0265</v>
      </c>
      <c r="I3" s="4">
        <v>3.6555</v>
      </c>
      <c r="J3" s="4">
        <v>4.5693999999999999</v>
      </c>
      <c r="K3" s="5">
        <f t="shared" ref="K3:K16" si="0">IF(D3=0, 0, 100*(E3 - D3*1)/(D3*1))</f>
        <v>0.21739130434782628</v>
      </c>
      <c r="L3" s="5">
        <f t="shared" ref="L3:L16" si="1">IF(D3=0, 0, 100*(F3 - D3*1.5)/(D3*1.5))</f>
        <v>-0.25362318840580134</v>
      </c>
      <c r="M3" s="5">
        <f t="shared" ref="M3:M16" si="2">IF(D3=0, 0, 100*(G3 - D3*2)/(D3*2))</f>
        <v>-0.84239130434782983</v>
      </c>
      <c r="N3" s="5">
        <f t="shared" ref="N3:N16" si="3">IF(D3=0, 0, 100*(H3 - D3*3.3)/(D3*3.3))</f>
        <v>-0.31291172595520633</v>
      </c>
      <c r="O3" s="5">
        <f t="shared" ref="O3:O16" si="4">IF(D3=0, 0, 100*(I3 - D3*4)/(D3*4))</f>
        <v>-0.66576086956522251</v>
      </c>
      <c r="P3" s="5">
        <f t="shared" ref="P3:P16" si="5">IF(D3=0, 0, 100*(J3 - D3*5)/(D3*5))</f>
        <v>-0.66521739130436142</v>
      </c>
      <c r="Q3" s="4" t="str">
        <f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>
        <v>46162</v>
      </c>
      <c r="B4" s="6" t="s">
        <v>5</v>
      </c>
      <c r="C4" s="6" t="s">
        <v>98</v>
      </c>
      <c r="D4" s="6">
        <v>0.92</v>
      </c>
      <c r="E4" s="6">
        <v>0.92200000000000004</v>
      </c>
      <c r="F4" s="6">
        <v>1.3761000000000001</v>
      </c>
      <c r="G4" s="17">
        <v>1.8241000000000001</v>
      </c>
      <c r="H4" s="6">
        <v>3.0259</v>
      </c>
      <c r="I4" s="6">
        <v>3.6536</v>
      </c>
      <c r="J4" s="6">
        <v>4.5701000000000001</v>
      </c>
      <c r="K4" s="15">
        <f t="shared" si="0"/>
        <v>0.21739130434782628</v>
      </c>
      <c r="L4" s="15">
        <f t="shared" si="1"/>
        <v>-0.28260869565217495</v>
      </c>
      <c r="M4" s="15">
        <f t="shared" si="2"/>
        <v>-0.86413043478260998</v>
      </c>
      <c r="N4" s="15">
        <f t="shared" si="3"/>
        <v>-0.33267457180500654</v>
      </c>
      <c r="O4" s="15">
        <f t="shared" si="4"/>
        <v>-0.71739130434783149</v>
      </c>
      <c r="P4" s="15">
        <f t="shared" si="5"/>
        <v>-0.65000000000001035</v>
      </c>
      <c r="Q4" s="6" t="str">
        <f>IF(AND(K4&gt;=0.11,K4&lt;=0.27,L4&gt;=-0.36,L4&lt;=-0.22,M4&gt;=-0.92,M4&lt;=-0.82,N4&gt;=-0.4,N4&lt;=-0.3,O4&gt;=-0.79,O4&lt;=-0.64,P4&gt;=-0.76,P4&lt;=-0.61), "Yes", IF(AND(K4=0,L4=0,M4=0,N4=0,O4=0,P4=0), "Ready to test", "No"))</f>
        <v>Yes</v>
      </c>
    </row>
    <row r="5" spans="1:17" x14ac:dyDescent="0.3">
      <c r="A5" s="16"/>
      <c r="B5" s="6"/>
      <c r="C5" s="6"/>
      <c r="D5" s="6"/>
      <c r="E5" s="6"/>
      <c r="F5" s="6"/>
      <c r="G5" s="6"/>
      <c r="H5" s="6"/>
      <c r="I5" s="6"/>
      <c r="J5" s="6"/>
      <c r="K5" s="15">
        <f t="shared" si="0"/>
        <v>0</v>
      </c>
      <c r="L5" s="15">
        <f t="shared" si="1"/>
        <v>0</v>
      </c>
      <c r="M5" s="15">
        <f t="shared" si="2"/>
        <v>0</v>
      </c>
      <c r="N5" s="15">
        <f t="shared" si="3"/>
        <v>0</v>
      </c>
      <c r="O5" s="15">
        <f t="shared" si="4"/>
        <v>0</v>
      </c>
      <c r="P5" s="15">
        <f t="shared" si="5"/>
        <v>0</v>
      </c>
      <c r="Q5" s="6" t="str">
        <f>IF(AND(K5&gt;=0.11,K5&lt;=0.27,L5&gt;=-0.38,L5&lt;=-0.22,M5&gt;=-0.94,M5&lt;=-0.82,N5&gt;=-0.41,N5&lt;=-0.3,O5&gt;=-0.79,O5&lt;=-0.64,P5&gt;=-0.76,P5&lt;=-0.61), "Yes", IF(AND(K5=0,L5=0,M5=0,N5=0,O5=0,P5=0), "Ready to test", "No"))</f>
        <v>Ready to test</v>
      </c>
    </row>
    <row r="6" spans="1:17" x14ac:dyDescent="0.3">
      <c r="A6" s="16"/>
      <c r="B6" s="6"/>
      <c r="C6" s="6"/>
      <c r="D6" s="6"/>
      <c r="E6" s="6"/>
      <c r="F6" s="6"/>
      <c r="G6" s="17"/>
      <c r="H6" s="6"/>
      <c r="I6" s="6"/>
      <c r="J6" s="6"/>
      <c r="K6" s="15">
        <f t="shared" si="0"/>
        <v>0</v>
      </c>
      <c r="L6" s="15">
        <f t="shared" si="1"/>
        <v>0</v>
      </c>
      <c r="M6" s="15">
        <f t="shared" si="2"/>
        <v>0</v>
      </c>
      <c r="N6" s="15">
        <f t="shared" si="3"/>
        <v>0</v>
      </c>
      <c r="O6" s="15">
        <f t="shared" si="4"/>
        <v>0</v>
      </c>
      <c r="P6" s="15">
        <f t="shared" si="5"/>
        <v>0</v>
      </c>
      <c r="Q6" s="6" t="str">
        <f t="shared" ref="Q6:Q16" si="6">IF(AND(K6&gt;=0.11,K6&lt;=0.27,L6&gt;=-0.36,L6&lt;=-0.22,M6&gt;=-0.92,M6&lt;=-0.82,N6&gt;=-0.4,N6&lt;=-0.3,O6&gt;=-0.79,O6&lt;=-0.64,P6&gt;=-0.76,P6&lt;=-0.61), "Yes", IF(AND(K6=0,L6=0,M6=0,N6=0,O6=0,P6=0), "Ready to test", "No"))</f>
        <v>Ready to test</v>
      </c>
    </row>
    <row r="7" spans="1:17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15">
        <f t="shared" si="0"/>
        <v>0</v>
      </c>
      <c r="L7" s="15">
        <f t="shared" si="1"/>
        <v>0</v>
      </c>
      <c r="M7" s="15">
        <f t="shared" si="2"/>
        <v>0</v>
      </c>
      <c r="N7" s="15">
        <f t="shared" si="3"/>
        <v>0</v>
      </c>
      <c r="O7" s="15">
        <f t="shared" si="4"/>
        <v>0</v>
      </c>
      <c r="P7" s="15">
        <f t="shared" si="5"/>
        <v>0</v>
      </c>
      <c r="Q7" s="6" t="str">
        <f t="shared" si="6"/>
        <v>Ready to test</v>
      </c>
    </row>
    <row r="8" spans="1:17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15">
        <f t="shared" si="0"/>
        <v>0</v>
      </c>
      <c r="L8" s="15">
        <f t="shared" si="1"/>
        <v>0</v>
      </c>
      <c r="M8" s="15">
        <f t="shared" si="2"/>
        <v>0</v>
      </c>
      <c r="N8" s="15">
        <f t="shared" si="3"/>
        <v>0</v>
      </c>
      <c r="O8" s="15">
        <f t="shared" si="4"/>
        <v>0</v>
      </c>
      <c r="P8" s="15">
        <f t="shared" si="5"/>
        <v>0</v>
      </c>
      <c r="Q8" s="6" t="str">
        <f t="shared" si="6"/>
        <v>Ready to test</v>
      </c>
    </row>
    <row r="9" spans="1:17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15">
        <f t="shared" si="0"/>
        <v>0</v>
      </c>
      <c r="L9" s="15">
        <f t="shared" si="1"/>
        <v>0</v>
      </c>
      <c r="M9" s="15">
        <f t="shared" si="2"/>
        <v>0</v>
      </c>
      <c r="N9" s="15">
        <f t="shared" si="3"/>
        <v>0</v>
      </c>
      <c r="O9" s="15">
        <f t="shared" si="4"/>
        <v>0</v>
      </c>
      <c r="P9" s="15">
        <f t="shared" si="5"/>
        <v>0</v>
      </c>
      <c r="Q9" s="6" t="str">
        <f t="shared" si="6"/>
        <v>Ready to test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15">
        <f t="shared" si="0"/>
        <v>0</v>
      </c>
      <c r="L10" s="15">
        <f t="shared" si="1"/>
        <v>0</v>
      </c>
      <c r="M10" s="15">
        <f t="shared" si="2"/>
        <v>0</v>
      </c>
      <c r="N10" s="15">
        <f t="shared" si="3"/>
        <v>0</v>
      </c>
      <c r="O10" s="15">
        <f t="shared" si="4"/>
        <v>0</v>
      </c>
      <c r="P10" s="15">
        <f t="shared" si="5"/>
        <v>0</v>
      </c>
      <c r="Q10" s="6" t="str">
        <f t="shared" si="6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15">
        <f t="shared" si="0"/>
        <v>0</v>
      </c>
      <c r="L11" s="15">
        <f t="shared" si="1"/>
        <v>0</v>
      </c>
      <c r="M11" s="15">
        <f t="shared" si="2"/>
        <v>0</v>
      </c>
      <c r="N11" s="15">
        <f t="shared" si="3"/>
        <v>0</v>
      </c>
      <c r="O11" s="15">
        <f t="shared" si="4"/>
        <v>0</v>
      </c>
      <c r="P11" s="15">
        <f t="shared" si="5"/>
        <v>0</v>
      </c>
      <c r="Q11" s="6" t="str">
        <f t="shared" si="6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15">
        <f t="shared" si="0"/>
        <v>0</v>
      </c>
      <c r="L12" s="15">
        <f t="shared" si="1"/>
        <v>0</v>
      </c>
      <c r="M12" s="15">
        <f t="shared" si="2"/>
        <v>0</v>
      </c>
      <c r="N12" s="15">
        <f t="shared" si="3"/>
        <v>0</v>
      </c>
      <c r="O12" s="15">
        <f t="shared" si="4"/>
        <v>0</v>
      </c>
      <c r="P12" s="15">
        <f t="shared" si="5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15">
        <f t="shared" si="0"/>
        <v>0</v>
      </c>
      <c r="L13" s="15">
        <f t="shared" si="1"/>
        <v>0</v>
      </c>
      <c r="M13" s="15">
        <f t="shared" si="2"/>
        <v>0</v>
      </c>
      <c r="N13" s="15">
        <f t="shared" si="3"/>
        <v>0</v>
      </c>
      <c r="O13" s="15">
        <f t="shared" si="4"/>
        <v>0</v>
      </c>
      <c r="P13" s="15">
        <f t="shared" si="5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15">
        <f t="shared" si="0"/>
        <v>0</v>
      </c>
      <c r="L14" s="15">
        <f t="shared" si="1"/>
        <v>0</v>
      </c>
      <c r="M14" s="15">
        <f t="shared" si="2"/>
        <v>0</v>
      </c>
      <c r="N14" s="15">
        <f t="shared" si="3"/>
        <v>0</v>
      </c>
      <c r="O14" s="15">
        <f t="shared" si="4"/>
        <v>0</v>
      </c>
      <c r="P14" s="15">
        <f t="shared" si="5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15">
        <f t="shared" si="0"/>
        <v>0</v>
      </c>
      <c r="L15" s="15">
        <f t="shared" si="1"/>
        <v>0</v>
      </c>
      <c r="M15" s="15">
        <f t="shared" si="2"/>
        <v>0</v>
      </c>
      <c r="N15" s="15">
        <f t="shared" si="3"/>
        <v>0</v>
      </c>
      <c r="O15" s="15">
        <f t="shared" si="4"/>
        <v>0</v>
      </c>
      <c r="P15" s="15">
        <f t="shared" si="5"/>
        <v>0</v>
      </c>
      <c r="Q15" s="6" t="str">
        <f t="shared" si="6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15">
        <f t="shared" si="0"/>
        <v>0</v>
      </c>
      <c r="L16" s="15">
        <f t="shared" si="1"/>
        <v>0</v>
      </c>
      <c r="M16" s="15">
        <f t="shared" si="2"/>
        <v>0</v>
      </c>
      <c r="N16" s="15">
        <f t="shared" si="3"/>
        <v>0</v>
      </c>
      <c r="O16" s="15">
        <f t="shared" si="4"/>
        <v>0</v>
      </c>
      <c r="P16" s="15">
        <f t="shared" si="5"/>
        <v>0</v>
      </c>
      <c r="Q16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6">
    <cfRule type="expression" dxfId="44" priority="1">
      <formula>Q3="Alert"</formula>
    </cfRule>
    <cfRule type="expression" dxfId="43" priority="2">
      <formula>Q3="Yes"</formula>
    </cfRule>
    <cfRule type="expression" dxfId="42" priority="3">
      <formula>Q3="No"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9B3E6-01AC-4449-BF32-DB7A674A6A6E}">
  <dimension ref="A1:Q16"/>
  <sheetViews>
    <sheetView topLeftCell="E1" workbookViewId="0">
      <selection activeCell="K4" sqref="K4:P4"/>
    </sheetView>
  </sheetViews>
  <sheetFormatPr defaultColWidth="8.6640625" defaultRowHeight="14.4" x14ac:dyDescent="0.3"/>
  <cols>
    <col min="1" max="1" width="15" style="1" customWidth="1"/>
    <col min="2" max="2" width="9" style="1" bestFit="1" customWidth="1"/>
    <col min="3" max="3" width="12" style="1" bestFit="1" customWidth="1"/>
    <col min="4" max="4" width="17.44140625" style="1" bestFit="1" customWidth="1"/>
    <col min="5" max="5" width="12" style="1" customWidth="1"/>
    <col min="6" max="6" width="11.5546875" style="1" customWidth="1"/>
    <col min="7" max="7" width="12.33203125" style="1" customWidth="1"/>
    <col min="8" max="8" width="12" style="1" customWidth="1"/>
    <col min="9" max="9" width="11.109375" style="1" customWidth="1"/>
    <col min="10" max="10" width="11.33203125" style="1" customWidth="1"/>
    <col min="11" max="11" width="11.44140625" style="1" customWidth="1"/>
    <col min="12" max="12" width="13.44140625" style="1" customWidth="1"/>
    <col min="13" max="13" width="11.44140625" style="1" customWidth="1"/>
    <col min="14" max="14" width="18.33203125" style="1" bestFit="1" customWidth="1"/>
    <col min="15" max="15" width="13.5546875" style="1" customWidth="1"/>
    <col min="16" max="16" width="14.5546875" style="1" customWidth="1"/>
    <col min="17" max="17" width="12.88671875" style="1" customWidth="1"/>
    <col min="18" max="16384" width="8.6640625" style="1"/>
  </cols>
  <sheetData>
    <row r="1" spans="1:17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5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</row>
    <row r="3" spans="1:17" x14ac:dyDescent="0.3">
      <c r="A3" s="7">
        <v>46103</v>
      </c>
      <c r="B3" s="4" t="s">
        <v>5</v>
      </c>
      <c r="C3" s="4" t="s">
        <v>180</v>
      </c>
      <c r="D3" s="4">
        <v>0.92</v>
      </c>
      <c r="E3" s="1">
        <v>0.92169999999999996</v>
      </c>
      <c r="F3" s="4">
        <v>1.3762000000000001</v>
      </c>
      <c r="G3" s="4">
        <v>1.8243</v>
      </c>
      <c r="H3" s="4">
        <v>3.0261</v>
      </c>
      <c r="I3" s="4">
        <v>3.6543000000000001</v>
      </c>
      <c r="J3" s="4">
        <v>4.5698999999999996</v>
      </c>
      <c r="K3" s="5">
        <f>IF(D3=0, 0, 100*(E3 - D3*1)/(D3*1))</f>
        <v>0.18478260869564389</v>
      </c>
      <c r="L3" s="5">
        <f t="shared" ref="L3:L16" si="0">IF(D3=0, 0, 100*(F3 - D3*1.5)/(D3*1.5))</f>
        <v>-0.27536231884058154</v>
      </c>
      <c r="M3" s="5">
        <f t="shared" ref="M3:M16" si="1">IF(D3=0, 0, 100*(G3 - D3*2)/(D3*2))</f>
        <v>-0.85326086956521996</v>
      </c>
      <c r="N3" s="5">
        <f t="shared" ref="N3:N16" si="2">IF(D3=0, 0, 100*(H3 - D3*3.3)/(D3*3.3))</f>
        <v>-0.3260869565217398</v>
      </c>
      <c r="O3" s="5">
        <f t="shared" ref="O3:O16" si="3">IF(D3=0, 0, 100*(I3 - D3*4)/(D3*4))</f>
        <v>-0.6983695652173928</v>
      </c>
      <c r="P3" s="5">
        <f t="shared" ref="P3:P16" si="4">IF(D3=0, 0, 100*(J3 - D3*5)/(D3*5))</f>
        <v>-0.65434782608697606</v>
      </c>
      <c r="Q3" s="4" t="str">
        <f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>
        <v>46162</v>
      </c>
      <c r="B4" s="6" t="s">
        <v>5</v>
      </c>
      <c r="C4" s="6" t="s">
        <v>98</v>
      </c>
      <c r="D4" s="6">
        <v>0.92</v>
      </c>
      <c r="E4" s="52">
        <v>0.92179999999999995</v>
      </c>
      <c r="F4" s="51">
        <v>1.3758999999999999</v>
      </c>
      <c r="G4" s="17">
        <v>1.8241000000000001</v>
      </c>
      <c r="H4" s="6">
        <v>3.0249999999999999</v>
      </c>
      <c r="I4" s="6">
        <v>3.6545000000000001</v>
      </c>
      <c r="J4" s="6">
        <v>4.5694999999999997</v>
      </c>
      <c r="K4" s="5">
        <f>IF(D4=0, 0, 100*(E4 - D4*1)/(D4*1))</f>
        <v>0.19565217391303399</v>
      </c>
      <c r="L4" s="15">
        <f t="shared" si="0"/>
        <v>-0.29710144927537785</v>
      </c>
      <c r="M4" s="15">
        <f t="shared" si="1"/>
        <v>-0.86413043478260998</v>
      </c>
      <c r="N4" s="15">
        <f t="shared" si="2"/>
        <v>-0.36231884057971414</v>
      </c>
      <c r="O4" s="15">
        <f t="shared" si="3"/>
        <v>-0.69293478260869779</v>
      </c>
      <c r="P4" s="15">
        <f t="shared" si="4"/>
        <v>-0.66304347826088816</v>
      </c>
      <c r="Q4" s="6" t="str">
        <f>IF(AND(K4&gt;=0.11,K4&lt;=0.27,L4&gt;=-0.36,L4&lt;=-0.22,M4&gt;=-0.92,M4&lt;=-0.82,N4&gt;=-0.4,N4&lt;=-0.3,O4&gt;=-0.79,O4&lt;=-0.64,P4&gt;=-0.76,P4&lt;=-0.61), "Yes", IF(AND(K4=0,L4=0,M4=0,N4=0,O4=0,P4=0), "Ready to test", "No"))</f>
        <v>Yes</v>
      </c>
    </row>
    <row r="5" spans="1:17" x14ac:dyDescent="0.3">
      <c r="A5" s="16"/>
      <c r="B5" s="6"/>
      <c r="C5" s="6"/>
      <c r="D5" s="6"/>
      <c r="E5" s="4"/>
      <c r="F5" s="6"/>
      <c r="G5" s="6"/>
      <c r="H5" s="6"/>
      <c r="I5" s="6"/>
      <c r="J5" s="6"/>
      <c r="K5" s="15">
        <f>IF(D5=0, 0, 100*(E5 - D5*1)/(D5*1))</f>
        <v>0</v>
      </c>
      <c r="L5" s="15">
        <f t="shared" si="0"/>
        <v>0</v>
      </c>
      <c r="M5" s="15">
        <f t="shared" si="1"/>
        <v>0</v>
      </c>
      <c r="N5" s="15">
        <f t="shared" si="2"/>
        <v>0</v>
      </c>
      <c r="O5" s="15">
        <f t="shared" si="3"/>
        <v>0</v>
      </c>
      <c r="P5" s="15">
        <f t="shared" si="4"/>
        <v>0</v>
      </c>
      <c r="Q5" s="6" t="str">
        <f>IF(AND(K5&gt;=0.11,K5&lt;=0.27,L5&gt;=-0.38,L5&lt;=-0.22,M5&gt;=-0.94,M5&lt;=-0.82,N5&gt;=-0.41,N5&lt;=-0.3,O5&gt;=-0.79,O5&lt;=-0.64,P5&gt;=-0.76,P5&lt;=-0.61), "Yes", IF(AND(K5=0,L5=0,M5=0,N5=0,O5=0,P5=0), "Ready to test", "No"))</f>
        <v>Ready to test</v>
      </c>
    </row>
    <row r="6" spans="1:17" x14ac:dyDescent="0.3">
      <c r="A6" s="16"/>
      <c r="B6" s="6"/>
      <c r="C6" s="6"/>
      <c r="D6" s="6"/>
      <c r="E6" s="6"/>
      <c r="F6" s="6"/>
      <c r="G6" s="17"/>
      <c r="H6" s="6"/>
      <c r="I6" s="6"/>
      <c r="J6" s="6"/>
      <c r="K6" s="15">
        <f t="shared" ref="K6:K16" si="5">IF(D6=0, 0, 100*(E6 - D6*1)/(D6*1))</f>
        <v>0</v>
      </c>
      <c r="L6" s="15">
        <f t="shared" si="0"/>
        <v>0</v>
      </c>
      <c r="M6" s="15">
        <f t="shared" si="1"/>
        <v>0</v>
      </c>
      <c r="N6" s="15">
        <f t="shared" si="2"/>
        <v>0</v>
      </c>
      <c r="O6" s="15">
        <f t="shared" si="3"/>
        <v>0</v>
      </c>
      <c r="P6" s="15">
        <f t="shared" si="4"/>
        <v>0</v>
      </c>
      <c r="Q6" s="6" t="str">
        <f t="shared" ref="Q6:Q16" si="6">IF(AND(K6&gt;=0.11,K6&lt;=0.27,L6&gt;=-0.36,L6&lt;=-0.22,M6&gt;=-0.92,M6&lt;=-0.82,N6&gt;=-0.4,N6&lt;=-0.3,O6&gt;=-0.79,O6&lt;=-0.64,P6&gt;=-0.76,P6&lt;=-0.61), "Yes", IF(AND(K6=0,L6=0,M6=0,N6=0,O6=0,P6=0), "Ready to test", "No"))</f>
        <v>Ready to test</v>
      </c>
    </row>
    <row r="7" spans="1:17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15">
        <f t="shared" si="5"/>
        <v>0</v>
      </c>
      <c r="L7" s="15">
        <f t="shared" si="0"/>
        <v>0</v>
      </c>
      <c r="M7" s="15">
        <f t="shared" si="1"/>
        <v>0</v>
      </c>
      <c r="N7" s="15">
        <f t="shared" si="2"/>
        <v>0</v>
      </c>
      <c r="O7" s="15">
        <f t="shared" si="3"/>
        <v>0</v>
      </c>
      <c r="P7" s="15">
        <f t="shared" si="4"/>
        <v>0</v>
      </c>
      <c r="Q7" s="6" t="str">
        <f t="shared" si="6"/>
        <v>Ready to test</v>
      </c>
    </row>
    <row r="8" spans="1:17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15">
        <f t="shared" si="5"/>
        <v>0</v>
      </c>
      <c r="L8" s="15">
        <f t="shared" si="0"/>
        <v>0</v>
      </c>
      <c r="M8" s="15">
        <f t="shared" si="1"/>
        <v>0</v>
      </c>
      <c r="N8" s="15">
        <f t="shared" si="2"/>
        <v>0</v>
      </c>
      <c r="O8" s="15">
        <f t="shared" si="3"/>
        <v>0</v>
      </c>
      <c r="P8" s="15">
        <f t="shared" si="4"/>
        <v>0</v>
      </c>
      <c r="Q8" s="6" t="str">
        <f t="shared" si="6"/>
        <v>Ready to test</v>
      </c>
    </row>
    <row r="9" spans="1:17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15">
        <f t="shared" si="5"/>
        <v>0</v>
      </c>
      <c r="L9" s="15">
        <f t="shared" si="0"/>
        <v>0</v>
      </c>
      <c r="M9" s="15">
        <f t="shared" si="1"/>
        <v>0</v>
      </c>
      <c r="N9" s="15">
        <f t="shared" si="2"/>
        <v>0</v>
      </c>
      <c r="O9" s="15">
        <f t="shared" si="3"/>
        <v>0</v>
      </c>
      <c r="P9" s="15">
        <f t="shared" si="4"/>
        <v>0</v>
      </c>
      <c r="Q9" s="6" t="str">
        <f t="shared" si="6"/>
        <v>Ready to test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15">
        <f t="shared" si="5"/>
        <v>0</v>
      </c>
      <c r="L10" s="15">
        <f t="shared" si="0"/>
        <v>0</v>
      </c>
      <c r="M10" s="15">
        <f t="shared" si="1"/>
        <v>0</v>
      </c>
      <c r="N10" s="15">
        <f t="shared" si="2"/>
        <v>0</v>
      </c>
      <c r="O10" s="15">
        <f t="shared" si="3"/>
        <v>0</v>
      </c>
      <c r="P10" s="15">
        <f t="shared" si="4"/>
        <v>0</v>
      </c>
      <c r="Q10" s="6" t="str">
        <f t="shared" si="6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15">
        <f t="shared" si="5"/>
        <v>0</v>
      </c>
      <c r="L11" s="15">
        <f t="shared" si="0"/>
        <v>0</v>
      </c>
      <c r="M11" s="15">
        <f t="shared" si="1"/>
        <v>0</v>
      </c>
      <c r="N11" s="15">
        <f t="shared" si="2"/>
        <v>0</v>
      </c>
      <c r="O11" s="15">
        <f t="shared" si="3"/>
        <v>0</v>
      </c>
      <c r="P11" s="15">
        <f t="shared" si="4"/>
        <v>0</v>
      </c>
      <c r="Q11" s="6" t="str">
        <f t="shared" si="6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15">
        <f t="shared" si="5"/>
        <v>0</v>
      </c>
      <c r="L12" s="15">
        <f t="shared" si="0"/>
        <v>0</v>
      </c>
      <c r="M12" s="15">
        <f t="shared" si="1"/>
        <v>0</v>
      </c>
      <c r="N12" s="15">
        <f t="shared" si="2"/>
        <v>0</v>
      </c>
      <c r="O12" s="15">
        <f t="shared" si="3"/>
        <v>0</v>
      </c>
      <c r="P12" s="15">
        <f t="shared" si="4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15">
        <f t="shared" si="5"/>
        <v>0</v>
      </c>
      <c r="L13" s="15">
        <f t="shared" si="0"/>
        <v>0</v>
      </c>
      <c r="M13" s="15">
        <f t="shared" si="1"/>
        <v>0</v>
      </c>
      <c r="N13" s="15">
        <f t="shared" si="2"/>
        <v>0</v>
      </c>
      <c r="O13" s="15">
        <f t="shared" si="3"/>
        <v>0</v>
      </c>
      <c r="P13" s="15">
        <f t="shared" si="4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15">
        <f t="shared" si="5"/>
        <v>0</v>
      </c>
      <c r="L14" s="15">
        <f t="shared" si="0"/>
        <v>0</v>
      </c>
      <c r="M14" s="15">
        <f t="shared" si="1"/>
        <v>0</v>
      </c>
      <c r="N14" s="15">
        <f t="shared" si="2"/>
        <v>0</v>
      </c>
      <c r="O14" s="15">
        <f t="shared" si="3"/>
        <v>0</v>
      </c>
      <c r="P14" s="15">
        <f t="shared" si="4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15">
        <f t="shared" si="5"/>
        <v>0</v>
      </c>
      <c r="L15" s="15">
        <f t="shared" si="0"/>
        <v>0</v>
      </c>
      <c r="M15" s="15">
        <f t="shared" si="1"/>
        <v>0</v>
      </c>
      <c r="N15" s="15">
        <f t="shared" si="2"/>
        <v>0</v>
      </c>
      <c r="O15" s="15">
        <f t="shared" si="3"/>
        <v>0</v>
      </c>
      <c r="P15" s="15">
        <f t="shared" si="4"/>
        <v>0</v>
      </c>
      <c r="Q15" s="6" t="str">
        <f t="shared" si="6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15">
        <f t="shared" si="5"/>
        <v>0</v>
      </c>
      <c r="L16" s="15">
        <f t="shared" si="0"/>
        <v>0</v>
      </c>
      <c r="M16" s="15">
        <f t="shared" si="1"/>
        <v>0</v>
      </c>
      <c r="N16" s="15">
        <f t="shared" si="2"/>
        <v>0</v>
      </c>
      <c r="O16" s="15">
        <f t="shared" si="3"/>
        <v>0</v>
      </c>
      <c r="P16" s="15">
        <f t="shared" si="4"/>
        <v>0</v>
      </c>
      <c r="Q16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6">
    <cfRule type="expression" dxfId="41" priority="1">
      <formula>Q3="Alert"</formula>
    </cfRule>
    <cfRule type="expression" dxfId="40" priority="2">
      <formula>Q3="Yes"</formula>
    </cfRule>
    <cfRule type="expression" dxfId="39" priority="3">
      <formula>Q3="No"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B2F77-0F14-4B55-AA60-9E7EB98446C0}">
  <dimension ref="A1:Q16"/>
  <sheetViews>
    <sheetView topLeftCell="G1" workbookViewId="0">
      <selection activeCell="E17" sqref="E17"/>
    </sheetView>
  </sheetViews>
  <sheetFormatPr defaultColWidth="8.6640625" defaultRowHeight="14.4" x14ac:dyDescent="0.3"/>
  <cols>
    <col min="1" max="1" width="15" style="1" customWidth="1"/>
    <col min="2" max="2" width="9" style="1" bestFit="1" customWidth="1"/>
    <col min="3" max="3" width="12" style="1" bestFit="1" customWidth="1"/>
    <col min="4" max="4" width="17.44140625" style="1" bestFit="1" customWidth="1"/>
    <col min="5" max="5" width="12" style="1" customWidth="1"/>
    <col min="6" max="6" width="11.5546875" style="1" customWidth="1"/>
    <col min="7" max="7" width="12.33203125" style="1" customWidth="1"/>
    <col min="8" max="8" width="12" style="1" customWidth="1"/>
    <col min="9" max="9" width="11.109375" style="1" customWidth="1"/>
    <col min="10" max="10" width="11.33203125" style="1" customWidth="1"/>
    <col min="11" max="11" width="11.44140625" style="1" customWidth="1"/>
    <col min="12" max="12" width="13.44140625" style="1" customWidth="1"/>
    <col min="13" max="13" width="11.44140625" style="1" customWidth="1"/>
    <col min="14" max="14" width="18.33203125" style="1" bestFit="1" customWidth="1"/>
    <col min="15" max="15" width="13.5546875" style="1" customWidth="1"/>
    <col min="16" max="16" width="14.5546875" style="1" customWidth="1"/>
    <col min="17" max="17" width="12.88671875" style="1" customWidth="1"/>
    <col min="18" max="16384" width="8.6640625" style="1"/>
  </cols>
  <sheetData>
    <row r="1" spans="1:17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5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</row>
    <row r="3" spans="1:17" x14ac:dyDescent="0.3">
      <c r="A3" s="7">
        <v>46103</v>
      </c>
      <c r="B3" s="4" t="s">
        <v>5</v>
      </c>
      <c r="C3" s="4" t="s">
        <v>180</v>
      </c>
      <c r="D3" s="4">
        <v>0.92</v>
      </c>
      <c r="E3" s="4">
        <v>0.92190000000000005</v>
      </c>
      <c r="F3" s="4">
        <v>1.3765000000000001</v>
      </c>
      <c r="G3" s="4">
        <v>1.8243</v>
      </c>
      <c r="H3" s="4">
        <v>3.0264000000000002</v>
      </c>
      <c r="I3" s="4">
        <v>3.6553</v>
      </c>
      <c r="J3" s="4">
        <v>4.5697999999999999</v>
      </c>
      <c r="K3" s="5">
        <f t="shared" ref="K3:K16" si="0">IF(D3=0, 0, 100*(E3 - D3*1)/(D3*1))</f>
        <v>0.20652173913043617</v>
      </c>
      <c r="L3" s="5">
        <f t="shared" ref="L3:L16" si="1">IF(D3=0, 0, 100*(F3 - D3*1.5)/(D3*1.5))</f>
        <v>-0.25362318840580134</v>
      </c>
      <c r="M3" s="5">
        <f t="shared" ref="M3:M16" si="2">IF(D3=0, 0, 100*(G3 - D3*2)/(D3*2))</f>
        <v>-0.85326086956521996</v>
      </c>
      <c r="N3" s="5">
        <f t="shared" ref="N3:N16" si="3">IF(D3=0, 0, 100*(H3 - D3*3.3)/(D3*3.3))</f>
        <v>-0.31620553359683234</v>
      </c>
      <c r="O3" s="5">
        <f t="shared" ref="O3:O16" si="4">IF(D3=0, 0, 100*(I3 - D3*4)/(D3*4))</f>
        <v>-0.67119565217391752</v>
      </c>
      <c r="P3" s="5">
        <f t="shared" ref="P3:P16" si="5">IF(D3=0, 0, 100*(J3 - D3*5)/(D3*5))</f>
        <v>-0.65652173913044931</v>
      </c>
      <c r="Q3" s="4" t="str">
        <f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/>
      <c r="B4" s="6"/>
      <c r="C4" s="6"/>
      <c r="D4" s="6"/>
      <c r="E4" s="6"/>
      <c r="F4" s="6"/>
      <c r="G4" s="17"/>
      <c r="H4" s="6"/>
      <c r="I4" s="6"/>
      <c r="J4" s="6"/>
      <c r="K4" s="15">
        <f t="shared" si="0"/>
        <v>0</v>
      </c>
      <c r="L4" s="15">
        <f t="shared" si="1"/>
        <v>0</v>
      </c>
      <c r="M4" s="15">
        <f t="shared" si="2"/>
        <v>0</v>
      </c>
      <c r="N4" s="15">
        <f t="shared" si="3"/>
        <v>0</v>
      </c>
      <c r="O4" s="15">
        <f t="shared" si="4"/>
        <v>0</v>
      </c>
      <c r="P4" s="15">
        <f t="shared" si="5"/>
        <v>0</v>
      </c>
      <c r="Q4" s="6" t="str">
        <f>IF(AND(K4&gt;=0.11,K4&lt;=0.27,L4&gt;=-0.36,L4&lt;=-0.22,M4&gt;=-0.92,M4&lt;=-0.82,N4&gt;=-0.4,N4&lt;=-0.3,O4&gt;=-0.79,O4&lt;=-0.64,P4&gt;=-0.76,P4&lt;=-0.61), "Yes", IF(AND(K4=0,L4=0,M4=0,N4=0,O4=0,P4=0), "Ready to test", "No"))</f>
        <v>Ready to test</v>
      </c>
    </row>
    <row r="5" spans="1:17" x14ac:dyDescent="0.3">
      <c r="A5" s="16"/>
      <c r="B5" s="6"/>
      <c r="C5" s="6"/>
      <c r="D5" s="6"/>
      <c r="E5" s="6"/>
      <c r="F5" s="6"/>
      <c r="G5" s="6"/>
      <c r="H5" s="6"/>
      <c r="I5" s="6"/>
      <c r="J5" s="6"/>
      <c r="K5" s="15">
        <f t="shared" si="0"/>
        <v>0</v>
      </c>
      <c r="L5" s="15">
        <f t="shared" si="1"/>
        <v>0</v>
      </c>
      <c r="M5" s="15">
        <f t="shared" si="2"/>
        <v>0</v>
      </c>
      <c r="N5" s="15">
        <f t="shared" si="3"/>
        <v>0</v>
      </c>
      <c r="O5" s="15">
        <f t="shared" si="4"/>
        <v>0</v>
      </c>
      <c r="P5" s="15">
        <f t="shared" si="5"/>
        <v>0</v>
      </c>
      <c r="Q5" s="6" t="str">
        <f>IF(AND(K5&gt;=0.11,K5&lt;=0.27,L5&gt;=-0.38,L5&lt;=-0.22,M5&gt;=-0.94,M5&lt;=-0.82,N5&gt;=-0.41,N5&lt;=-0.3,O5&gt;=-0.79,O5&lt;=-0.64,P5&gt;=-0.76,P5&lt;=-0.61), "Yes", IF(AND(K5=0,L5=0,M5=0,N5=0,O5=0,P5=0), "Ready to test", "No"))</f>
        <v>Ready to test</v>
      </c>
    </row>
    <row r="6" spans="1:17" x14ac:dyDescent="0.3">
      <c r="A6" s="16"/>
      <c r="B6" s="6"/>
      <c r="C6" s="6"/>
      <c r="D6" s="6"/>
      <c r="E6" s="6"/>
      <c r="F6" s="6"/>
      <c r="G6" s="17"/>
      <c r="H6" s="6"/>
      <c r="I6" s="6"/>
      <c r="J6" s="6"/>
      <c r="K6" s="15">
        <f t="shared" si="0"/>
        <v>0</v>
      </c>
      <c r="L6" s="15">
        <f t="shared" si="1"/>
        <v>0</v>
      </c>
      <c r="M6" s="15">
        <f t="shared" si="2"/>
        <v>0</v>
      </c>
      <c r="N6" s="15">
        <f t="shared" si="3"/>
        <v>0</v>
      </c>
      <c r="O6" s="15">
        <f t="shared" si="4"/>
        <v>0</v>
      </c>
      <c r="P6" s="15">
        <f t="shared" si="5"/>
        <v>0</v>
      </c>
      <c r="Q6" s="6" t="str">
        <f t="shared" ref="Q6:Q16" si="6">IF(AND(K6&gt;=0.11,K6&lt;=0.27,L6&gt;=-0.36,L6&lt;=-0.22,M6&gt;=-0.92,M6&lt;=-0.82,N6&gt;=-0.4,N6&lt;=-0.3,O6&gt;=-0.79,O6&lt;=-0.64,P6&gt;=-0.76,P6&lt;=-0.61), "Yes", IF(AND(K6=0,L6=0,M6=0,N6=0,O6=0,P6=0), "Ready to test", "No"))</f>
        <v>Ready to test</v>
      </c>
    </row>
    <row r="7" spans="1:17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15">
        <f t="shared" si="0"/>
        <v>0</v>
      </c>
      <c r="L7" s="15">
        <f t="shared" si="1"/>
        <v>0</v>
      </c>
      <c r="M7" s="15">
        <f t="shared" si="2"/>
        <v>0</v>
      </c>
      <c r="N7" s="15">
        <f t="shared" si="3"/>
        <v>0</v>
      </c>
      <c r="O7" s="15">
        <f t="shared" si="4"/>
        <v>0</v>
      </c>
      <c r="P7" s="15">
        <f t="shared" si="5"/>
        <v>0</v>
      </c>
      <c r="Q7" s="6" t="str">
        <f t="shared" si="6"/>
        <v>Ready to test</v>
      </c>
    </row>
    <row r="8" spans="1:17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15">
        <f t="shared" si="0"/>
        <v>0</v>
      </c>
      <c r="L8" s="15">
        <f t="shared" si="1"/>
        <v>0</v>
      </c>
      <c r="M8" s="15">
        <f t="shared" si="2"/>
        <v>0</v>
      </c>
      <c r="N8" s="15">
        <f t="shared" si="3"/>
        <v>0</v>
      </c>
      <c r="O8" s="15">
        <f t="shared" si="4"/>
        <v>0</v>
      </c>
      <c r="P8" s="15">
        <f t="shared" si="5"/>
        <v>0</v>
      </c>
      <c r="Q8" s="6" t="str">
        <f t="shared" si="6"/>
        <v>Ready to test</v>
      </c>
    </row>
    <row r="9" spans="1:17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15">
        <f t="shared" si="0"/>
        <v>0</v>
      </c>
      <c r="L9" s="15">
        <f t="shared" si="1"/>
        <v>0</v>
      </c>
      <c r="M9" s="15">
        <f t="shared" si="2"/>
        <v>0</v>
      </c>
      <c r="N9" s="15">
        <f t="shared" si="3"/>
        <v>0</v>
      </c>
      <c r="O9" s="15">
        <f t="shared" si="4"/>
        <v>0</v>
      </c>
      <c r="P9" s="15">
        <f t="shared" si="5"/>
        <v>0</v>
      </c>
      <c r="Q9" s="6" t="str">
        <f t="shared" si="6"/>
        <v>Ready to test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15">
        <f t="shared" si="0"/>
        <v>0</v>
      </c>
      <c r="L10" s="15">
        <f t="shared" si="1"/>
        <v>0</v>
      </c>
      <c r="M10" s="15">
        <f t="shared" si="2"/>
        <v>0</v>
      </c>
      <c r="N10" s="15">
        <f t="shared" si="3"/>
        <v>0</v>
      </c>
      <c r="O10" s="15">
        <f t="shared" si="4"/>
        <v>0</v>
      </c>
      <c r="P10" s="15">
        <f t="shared" si="5"/>
        <v>0</v>
      </c>
      <c r="Q10" s="6" t="str">
        <f t="shared" si="6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15">
        <f t="shared" si="0"/>
        <v>0</v>
      </c>
      <c r="L11" s="15">
        <f t="shared" si="1"/>
        <v>0</v>
      </c>
      <c r="M11" s="15">
        <f t="shared" si="2"/>
        <v>0</v>
      </c>
      <c r="N11" s="15">
        <f t="shared" si="3"/>
        <v>0</v>
      </c>
      <c r="O11" s="15">
        <f t="shared" si="4"/>
        <v>0</v>
      </c>
      <c r="P11" s="15">
        <f t="shared" si="5"/>
        <v>0</v>
      </c>
      <c r="Q11" s="6" t="str">
        <f t="shared" si="6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15">
        <f t="shared" si="0"/>
        <v>0</v>
      </c>
      <c r="L12" s="15">
        <f t="shared" si="1"/>
        <v>0</v>
      </c>
      <c r="M12" s="15">
        <f t="shared" si="2"/>
        <v>0</v>
      </c>
      <c r="N12" s="15">
        <f t="shared" si="3"/>
        <v>0</v>
      </c>
      <c r="O12" s="15">
        <f t="shared" si="4"/>
        <v>0</v>
      </c>
      <c r="P12" s="15">
        <f t="shared" si="5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15">
        <f t="shared" si="0"/>
        <v>0</v>
      </c>
      <c r="L13" s="15">
        <f t="shared" si="1"/>
        <v>0</v>
      </c>
      <c r="M13" s="15">
        <f t="shared" si="2"/>
        <v>0</v>
      </c>
      <c r="N13" s="15">
        <f t="shared" si="3"/>
        <v>0</v>
      </c>
      <c r="O13" s="15">
        <f t="shared" si="4"/>
        <v>0</v>
      </c>
      <c r="P13" s="15">
        <f t="shared" si="5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15">
        <f t="shared" si="0"/>
        <v>0</v>
      </c>
      <c r="L14" s="15">
        <f t="shared" si="1"/>
        <v>0</v>
      </c>
      <c r="M14" s="15">
        <f t="shared" si="2"/>
        <v>0</v>
      </c>
      <c r="N14" s="15">
        <f t="shared" si="3"/>
        <v>0</v>
      </c>
      <c r="O14" s="15">
        <f t="shared" si="4"/>
        <v>0</v>
      </c>
      <c r="P14" s="15">
        <f t="shared" si="5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15">
        <f t="shared" si="0"/>
        <v>0</v>
      </c>
      <c r="L15" s="15">
        <f t="shared" si="1"/>
        <v>0</v>
      </c>
      <c r="M15" s="15">
        <f t="shared" si="2"/>
        <v>0</v>
      </c>
      <c r="N15" s="15">
        <f t="shared" si="3"/>
        <v>0</v>
      </c>
      <c r="O15" s="15">
        <f t="shared" si="4"/>
        <v>0</v>
      </c>
      <c r="P15" s="15">
        <f t="shared" si="5"/>
        <v>0</v>
      </c>
      <c r="Q15" s="6" t="str">
        <f t="shared" si="6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15">
        <f t="shared" si="0"/>
        <v>0</v>
      </c>
      <c r="L16" s="15">
        <f t="shared" si="1"/>
        <v>0</v>
      </c>
      <c r="M16" s="15">
        <f t="shared" si="2"/>
        <v>0</v>
      </c>
      <c r="N16" s="15">
        <f t="shared" si="3"/>
        <v>0</v>
      </c>
      <c r="O16" s="15">
        <f t="shared" si="4"/>
        <v>0</v>
      </c>
      <c r="P16" s="15">
        <f t="shared" si="5"/>
        <v>0</v>
      </c>
      <c r="Q16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6">
    <cfRule type="expression" dxfId="38" priority="1">
      <formula>Q3="Alert"</formula>
    </cfRule>
    <cfRule type="expression" dxfId="37" priority="2">
      <formula>Q3="Yes"</formula>
    </cfRule>
    <cfRule type="expression" dxfId="36" priority="3">
      <formula>Q3="No"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72F7C-A83B-4CAF-B9AD-72A56DDD4841}">
  <dimension ref="A1:Q16"/>
  <sheetViews>
    <sheetView workbookViewId="0">
      <selection sqref="A1:XFD1048576"/>
    </sheetView>
  </sheetViews>
  <sheetFormatPr defaultColWidth="8.6640625" defaultRowHeight="14.4" x14ac:dyDescent="0.3"/>
  <cols>
    <col min="1" max="1" width="15" style="1" customWidth="1"/>
    <col min="2" max="2" width="9" style="1" bestFit="1" customWidth="1"/>
    <col min="3" max="3" width="13.44140625" style="1" customWidth="1"/>
    <col min="4" max="4" width="17.44140625" style="1" bestFit="1" customWidth="1"/>
    <col min="5" max="5" width="12" style="1" customWidth="1"/>
    <col min="6" max="6" width="11.5546875" style="1" customWidth="1"/>
    <col min="7" max="7" width="12.33203125" style="1" customWidth="1"/>
    <col min="8" max="8" width="12" style="1" customWidth="1"/>
    <col min="9" max="9" width="11.109375" style="1" customWidth="1"/>
    <col min="10" max="10" width="11.33203125" style="1" customWidth="1"/>
    <col min="11" max="11" width="11.44140625" style="1" customWidth="1"/>
    <col min="12" max="12" width="13.44140625" style="1" customWidth="1"/>
    <col min="13" max="13" width="11.44140625" style="1" customWidth="1"/>
    <col min="14" max="14" width="18.33203125" style="1" bestFit="1" customWidth="1"/>
    <col min="15" max="15" width="13.5546875" style="1" customWidth="1"/>
    <col min="16" max="16" width="14.5546875" style="1" customWidth="1"/>
    <col min="17" max="17" width="12.88671875" style="1" customWidth="1"/>
    <col min="18" max="16384" width="8.6640625" style="1"/>
  </cols>
  <sheetData>
    <row r="1" spans="1:17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5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</row>
    <row r="3" spans="1:17" x14ac:dyDescent="0.3">
      <c r="A3" s="7">
        <v>46103</v>
      </c>
      <c r="B3" s="4" t="s">
        <v>5</v>
      </c>
      <c r="C3" s="4" t="s">
        <v>180</v>
      </c>
      <c r="D3" s="4">
        <v>0.92</v>
      </c>
      <c r="E3" s="4">
        <v>0.92179999999999995</v>
      </c>
      <c r="F3" s="4">
        <v>1.3763000000000001</v>
      </c>
      <c r="G3" s="4">
        <v>1.8244</v>
      </c>
      <c r="H3" s="4">
        <v>3.0263</v>
      </c>
      <c r="I3" s="4">
        <v>3.6560000000000001</v>
      </c>
      <c r="J3" s="4">
        <v>4.5693000000000001</v>
      </c>
      <c r="K3" s="5">
        <f t="shared" ref="K3:K16" si="0">IF(D3=0, 0, 100*(E3 - D3*1)/(D3*1))</f>
        <v>0.19565217391303399</v>
      </c>
      <c r="L3" s="5">
        <f t="shared" ref="L3:L16" si="1">IF(D3=0, 0, 100*(F3 - D3*1.5)/(D3*1.5))</f>
        <v>-0.26811594202898814</v>
      </c>
      <c r="M3" s="5">
        <f t="shared" ref="M3:M16" si="2">IF(D3=0, 0, 100*(G3 - D3*2)/(D3*2))</f>
        <v>-0.84782608695652484</v>
      </c>
      <c r="N3" s="5">
        <f t="shared" ref="N3:N16" si="3">IF(D3=0, 0, 100*(H3 - D3*3.3)/(D3*3.3))</f>
        <v>-0.31949934123847307</v>
      </c>
      <c r="O3" s="5">
        <f t="shared" ref="O3:O16" si="4">IF(D3=0, 0, 100*(I3 - D3*4)/(D3*4))</f>
        <v>-0.65217391304347883</v>
      </c>
      <c r="P3" s="5">
        <f t="shared" ref="P3:P16" si="5">IF(D3=0, 0, 100*(J3 - D3*5)/(D3*5))</f>
        <v>-0.66739130434783456</v>
      </c>
      <c r="Q3" s="4" t="str">
        <f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7" t="s">
        <v>165</v>
      </c>
      <c r="B4" s="4" t="s">
        <v>5</v>
      </c>
      <c r="C4" s="4" t="s">
        <v>182</v>
      </c>
      <c r="D4" s="4">
        <v>0.92</v>
      </c>
      <c r="E4" s="4">
        <v>0.92169999999999996</v>
      </c>
      <c r="F4" s="6">
        <v>1.3755999999999999</v>
      </c>
      <c r="G4" s="17">
        <v>1.8240000000000001</v>
      </c>
      <c r="H4" s="6">
        <v>3.0253999999999999</v>
      </c>
      <c r="I4" s="6">
        <v>3.6547000000000001</v>
      </c>
      <c r="J4" s="6">
        <v>4.5701999999999998</v>
      </c>
      <c r="K4" s="15">
        <f t="shared" si="0"/>
        <v>0.18478260869564389</v>
      </c>
      <c r="L4" s="15">
        <f t="shared" si="1"/>
        <v>-0.31884057971015806</v>
      </c>
      <c r="M4" s="15">
        <f t="shared" si="2"/>
        <v>-0.8695652173913051</v>
      </c>
      <c r="N4" s="15">
        <f t="shared" si="3"/>
        <v>-0.34914361001318067</v>
      </c>
      <c r="O4" s="15">
        <f t="shared" si="4"/>
        <v>-0.68750000000000266</v>
      </c>
      <c r="P4" s="15">
        <f t="shared" si="5"/>
        <v>-0.64782608695653721</v>
      </c>
      <c r="Q4" s="6" t="str">
        <f>IF(AND(K4&gt;=0.11,K4&lt;=0.27,L4&gt;=-0.36,L4&lt;=-0.22,M4&gt;=-0.92,M4&lt;=-0.82,N4&gt;=-0.4,N4&lt;=-0.3,O4&gt;=-0.79,O4&lt;=-0.64,P4&gt;=-0.76,P4&lt;=-0.61), "Yes", IF(AND(K4=0,L4=0,M4=0,N4=0,O4=0,P4=0), "Ready to test", "No"))</f>
        <v>Yes</v>
      </c>
    </row>
    <row r="5" spans="1:17" x14ac:dyDescent="0.3">
      <c r="A5" s="16"/>
      <c r="B5" s="6"/>
      <c r="C5" s="6"/>
      <c r="D5" s="6"/>
      <c r="E5" s="6"/>
      <c r="F5" s="6"/>
      <c r="G5" s="6"/>
      <c r="H5" s="6"/>
      <c r="I5" s="6"/>
      <c r="J5" s="6"/>
      <c r="K5" s="15">
        <f t="shared" si="0"/>
        <v>0</v>
      </c>
      <c r="L5" s="15">
        <f t="shared" si="1"/>
        <v>0</v>
      </c>
      <c r="M5" s="15">
        <f t="shared" si="2"/>
        <v>0</v>
      </c>
      <c r="N5" s="15">
        <f t="shared" si="3"/>
        <v>0</v>
      </c>
      <c r="O5" s="15">
        <f t="shared" si="4"/>
        <v>0</v>
      </c>
      <c r="P5" s="15">
        <f t="shared" si="5"/>
        <v>0</v>
      </c>
      <c r="Q5" s="6" t="str">
        <f>IF(AND(K5&gt;=0.11,K5&lt;=0.27,L5&gt;=-0.38,L5&lt;=-0.22,M5&gt;=-0.94,M5&lt;=-0.82,N5&gt;=-0.41,N5&lt;=-0.3,O5&gt;=-0.79,O5&lt;=-0.64,P5&gt;=-0.76,P5&lt;=-0.61), "Yes", IF(AND(K5=0,L5=0,M5=0,N5=0,O5=0,P5=0), "Ready to test", "No"))</f>
        <v>Ready to test</v>
      </c>
    </row>
    <row r="6" spans="1:17" x14ac:dyDescent="0.3">
      <c r="A6" s="16"/>
      <c r="B6" s="6"/>
      <c r="C6" s="6"/>
      <c r="D6" s="6"/>
      <c r="E6" s="6"/>
      <c r="F6" s="6"/>
      <c r="G6" s="17"/>
      <c r="H6" s="6"/>
      <c r="I6" s="6"/>
      <c r="J6" s="6"/>
      <c r="K6" s="15">
        <f t="shared" si="0"/>
        <v>0</v>
      </c>
      <c r="L6" s="15">
        <f t="shared" si="1"/>
        <v>0</v>
      </c>
      <c r="M6" s="15">
        <f t="shared" si="2"/>
        <v>0</v>
      </c>
      <c r="N6" s="15">
        <f t="shared" si="3"/>
        <v>0</v>
      </c>
      <c r="O6" s="15">
        <f t="shared" si="4"/>
        <v>0</v>
      </c>
      <c r="P6" s="15">
        <f t="shared" si="5"/>
        <v>0</v>
      </c>
      <c r="Q6" s="6" t="str">
        <f t="shared" ref="Q6:Q16" si="6">IF(AND(K6&gt;=0.11,K6&lt;=0.27,L6&gt;=-0.36,L6&lt;=-0.22,M6&gt;=-0.92,M6&lt;=-0.82,N6&gt;=-0.4,N6&lt;=-0.3,O6&gt;=-0.79,O6&lt;=-0.64,P6&gt;=-0.76,P6&lt;=-0.61), "Yes", IF(AND(K6=0,L6=0,M6=0,N6=0,O6=0,P6=0), "Ready to test", "No"))</f>
        <v>Ready to test</v>
      </c>
    </row>
    <row r="7" spans="1:17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15">
        <f t="shared" si="0"/>
        <v>0</v>
      </c>
      <c r="L7" s="15">
        <f t="shared" si="1"/>
        <v>0</v>
      </c>
      <c r="M7" s="15">
        <f t="shared" si="2"/>
        <v>0</v>
      </c>
      <c r="N7" s="15">
        <f t="shared" si="3"/>
        <v>0</v>
      </c>
      <c r="O7" s="15">
        <f t="shared" si="4"/>
        <v>0</v>
      </c>
      <c r="P7" s="15">
        <f t="shared" si="5"/>
        <v>0</v>
      </c>
      <c r="Q7" s="6" t="str">
        <f t="shared" si="6"/>
        <v>Ready to test</v>
      </c>
    </row>
    <row r="8" spans="1:17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15">
        <f t="shared" si="0"/>
        <v>0</v>
      </c>
      <c r="L8" s="15">
        <f t="shared" si="1"/>
        <v>0</v>
      </c>
      <c r="M8" s="15">
        <f t="shared" si="2"/>
        <v>0</v>
      </c>
      <c r="N8" s="15">
        <f t="shared" si="3"/>
        <v>0</v>
      </c>
      <c r="O8" s="15">
        <f t="shared" si="4"/>
        <v>0</v>
      </c>
      <c r="P8" s="15">
        <f t="shared" si="5"/>
        <v>0</v>
      </c>
      <c r="Q8" s="6" t="str">
        <f t="shared" si="6"/>
        <v>Ready to test</v>
      </c>
    </row>
    <row r="9" spans="1:17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15">
        <f t="shared" si="0"/>
        <v>0</v>
      </c>
      <c r="L9" s="15">
        <f t="shared" si="1"/>
        <v>0</v>
      </c>
      <c r="M9" s="15">
        <f t="shared" si="2"/>
        <v>0</v>
      </c>
      <c r="N9" s="15">
        <f t="shared" si="3"/>
        <v>0</v>
      </c>
      <c r="O9" s="15">
        <f t="shared" si="4"/>
        <v>0</v>
      </c>
      <c r="P9" s="15">
        <f t="shared" si="5"/>
        <v>0</v>
      </c>
      <c r="Q9" s="6" t="str">
        <f t="shared" si="6"/>
        <v>Ready to test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15">
        <f t="shared" si="0"/>
        <v>0</v>
      </c>
      <c r="L10" s="15">
        <f t="shared" si="1"/>
        <v>0</v>
      </c>
      <c r="M10" s="15">
        <f t="shared" si="2"/>
        <v>0</v>
      </c>
      <c r="N10" s="15">
        <f t="shared" si="3"/>
        <v>0</v>
      </c>
      <c r="O10" s="15">
        <f t="shared" si="4"/>
        <v>0</v>
      </c>
      <c r="P10" s="15">
        <f t="shared" si="5"/>
        <v>0</v>
      </c>
      <c r="Q10" s="6" t="str">
        <f t="shared" si="6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15">
        <f t="shared" si="0"/>
        <v>0</v>
      </c>
      <c r="L11" s="15">
        <f t="shared" si="1"/>
        <v>0</v>
      </c>
      <c r="M11" s="15">
        <f t="shared" si="2"/>
        <v>0</v>
      </c>
      <c r="N11" s="15">
        <f t="shared" si="3"/>
        <v>0</v>
      </c>
      <c r="O11" s="15">
        <f t="shared" si="4"/>
        <v>0</v>
      </c>
      <c r="P11" s="15">
        <f t="shared" si="5"/>
        <v>0</v>
      </c>
      <c r="Q11" s="6" t="str">
        <f t="shared" si="6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15">
        <f t="shared" si="0"/>
        <v>0</v>
      </c>
      <c r="L12" s="15">
        <f t="shared" si="1"/>
        <v>0</v>
      </c>
      <c r="M12" s="15">
        <f t="shared" si="2"/>
        <v>0</v>
      </c>
      <c r="N12" s="15">
        <f t="shared" si="3"/>
        <v>0</v>
      </c>
      <c r="O12" s="15">
        <f t="shared" si="4"/>
        <v>0</v>
      </c>
      <c r="P12" s="15">
        <f t="shared" si="5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15">
        <f t="shared" si="0"/>
        <v>0</v>
      </c>
      <c r="L13" s="15">
        <f t="shared" si="1"/>
        <v>0</v>
      </c>
      <c r="M13" s="15">
        <f t="shared" si="2"/>
        <v>0</v>
      </c>
      <c r="N13" s="15">
        <f t="shared" si="3"/>
        <v>0</v>
      </c>
      <c r="O13" s="15">
        <f t="shared" si="4"/>
        <v>0</v>
      </c>
      <c r="P13" s="15">
        <f t="shared" si="5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15">
        <f t="shared" si="0"/>
        <v>0</v>
      </c>
      <c r="L14" s="15">
        <f t="shared" si="1"/>
        <v>0</v>
      </c>
      <c r="M14" s="15">
        <f t="shared" si="2"/>
        <v>0</v>
      </c>
      <c r="N14" s="15">
        <f t="shared" si="3"/>
        <v>0</v>
      </c>
      <c r="O14" s="15">
        <f t="shared" si="4"/>
        <v>0</v>
      </c>
      <c r="P14" s="15">
        <f t="shared" si="5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15">
        <f t="shared" si="0"/>
        <v>0</v>
      </c>
      <c r="L15" s="15">
        <f t="shared" si="1"/>
        <v>0</v>
      </c>
      <c r="M15" s="15">
        <f t="shared" si="2"/>
        <v>0</v>
      </c>
      <c r="N15" s="15">
        <f t="shared" si="3"/>
        <v>0</v>
      </c>
      <c r="O15" s="15">
        <f t="shared" si="4"/>
        <v>0</v>
      </c>
      <c r="P15" s="15">
        <f t="shared" si="5"/>
        <v>0</v>
      </c>
      <c r="Q15" s="6" t="str">
        <f t="shared" si="6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15">
        <f t="shared" si="0"/>
        <v>0</v>
      </c>
      <c r="L16" s="15">
        <f t="shared" si="1"/>
        <v>0</v>
      </c>
      <c r="M16" s="15">
        <f t="shared" si="2"/>
        <v>0</v>
      </c>
      <c r="N16" s="15">
        <f t="shared" si="3"/>
        <v>0</v>
      </c>
      <c r="O16" s="15">
        <f t="shared" si="4"/>
        <v>0</v>
      </c>
      <c r="P16" s="15">
        <f t="shared" si="5"/>
        <v>0</v>
      </c>
      <c r="Q16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6">
    <cfRule type="expression" dxfId="35" priority="1">
      <formula>Q3="Alert"</formula>
    </cfRule>
    <cfRule type="expression" dxfId="34" priority="2">
      <formula>Q3="Yes"</formula>
    </cfRule>
    <cfRule type="expression" dxfId="33" priority="3">
      <formula>Q3="No"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264B-1237-4365-8E12-51C1EE5B3B30}">
  <dimension ref="A1:Q16"/>
  <sheetViews>
    <sheetView workbookViewId="0">
      <selection sqref="A1:XFD1048576"/>
    </sheetView>
  </sheetViews>
  <sheetFormatPr defaultColWidth="8.6640625" defaultRowHeight="14.4" x14ac:dyDescent="0.3"/>
  <cols>
    <col min="1" max="1" width="15" style="1" customWidth="1"/>
    <col min="2" max="2" width="9" style="1" bestFit="1" customWidth="1"/>
    <col min="3" max="3" width="12" style="1" bestFit="1" customWidth="1"/>
    <col min="4" max="4" width="17.44140625" style="1" bestFit="1" customWidth="1"/>
    <col min="5" max="5" width="12" style="1" customWidth="1"/>
    <col min="6" max="6" width="11.5546875" style="1" customWidth="1"/>
    <col min="7" max="7" width="12.33203125" style="1" customWidth="1"/>
    <col min="8" max="8" width="12" style="1" customWidth="1"/>
    <col min="9" max="9" width="11.109375" style="1" customWidth="1"/>
    <col min="10" max="10" width="11.33203125" style="1" customWidth="1"/>
    <col min="11" max="11" width="11.44140625" style="1" customWidth="1"/>
    <col min="12" max="12" width="13.44140625" style="1" customWidth="1"/>
    <col min="13" max="13" width="11.44140625" style="1" customWidth="1"/>
    <col min="14" max="14" width="18.33203125" style="1" bestFit="1" customWidth="1"/>
    <col min="15" max="15" width="13.5546875" style="1" customWidth="1"/>
    <col min="16" max="16" width="14.5546875" style="1" customWidth="1"/>
    <col min="17" max="17" width="12.88671875" style="1" customWidth="1"/>
    <col min="18" max="16384" width="8.6640625" style="1"/>
  </cols>
  <sheetData>
    <row r="1" spans="1:17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5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</row>
    <row r="3" spans="1:17" x14ac:dyDescent="0.3">
      <c r="A3" s="7">
        <v>46103</v>
      </c>
      <c r="B3" s="4" t="s">
        <v>5</v>
      </c>
      <c r="C3" s="4" t="s">
        <v>180</v>
      </c>
      <c r="D3" s="4">
        <v>0.92</v>
      </c>
      <c r="E3" s="4">
        <v>0.92190000000000005</v>
      </c>
      <c r="F3" s="4">
        <v>1.3765000000000001</v>
      </c>
      <c r="G3" s="4">
        <v>1.8244</v>
      </c>
      <c r="H3" s="4">
        <v>3.0261</v>
      </c>
      <c r="I3" s="4">
        <v>3.6558000000000002</v>
      </c>
      <c r="J3" s="4">
        <v>4.5692000000000004</v>
      </c>
      <c r="K3" s="5">
        <f t="shared" ref="K3:K16" si="0">IF(D3=0, 0, 100*(E3 - D3*1)/(D3*1))</f>
        <v>0.20652173913043617</v>
      </c>
      <c r="L3" s="5">
        <f t="shared" ref="L3:L16" si="1">IF(D3=0, 0, 100*(F3 - D3*1.5)/(D3*1.5))</f>
        <v>-0.25362318840580134</v>
      </c>
      <c r="M3" s="5">
        <f t="shared" ref="M3:M16" si="2">IF(D3=0, 0, 100*(G3 - D3*2)/(D3*2))</f>
        <v>-0.84782608695652484</v>
      </c>
      <c r="N3" s="5">
        <f t="shared" ref="N3:N16" si="3">IF(D3=0, 0, 100*(H3 - D3*3.3)/(D3*3.3))</f>
        <v>-0.3260869565217398</v>
      </c>
      <c r="O3" s="5">
        <f t="shared" ref="O3:O16" si="4">IF(D3=0, 0, 100*(I3 - D3*4)/(D3*4))</f>
        <v>-0.65760869565217384</v>
      </c>
      <c r="P3" s="5">
        <f t="shared" ref="P3:P16" si="5">IF(D3=0, 0, 100*(J3 - D3*5)/(D3*5))</f>
        <v>-0.66956521739130781</v>
      </c>
      <c r="Q3" s="4" t="str">
        <f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/>
      <c r="B4" s="6"/>
      <c r="C4" s="6"/>
      <c r="D4" s="6"/>
      <c r="E4" s="6"/>
      <c r="F4" s="6"/>
      <c r="G4" s="17"/>
      <c r="H4" s="6"/>
      <c r="I4" s="6"/>
      <c r="J4" s="6"/>
      <c r="K4" s="15">
        <f t="shared" si="0"/>
        <v>0</v>
      </c>
      <c r="L4" s="15">
        <f t="shared" si="1"/>
        <v>0</v>
      </c>
      <c r="M4" s="15">
        <f t="shared" si="2"/>
        <v>0</v>
      </c>
      <c r="N4" s="15">
        <f t="shared" si="3"/>
        <v>0</v>
      </c>
      <c r="O4" s="15">
        <f t="shared" si="4"/>
        <v>0</v>
      </c>
      <c r="P4" s="15">
        <f t="shared" si="5"/>
        <v>0</v>
      </c>
      <c r="Q4" s="6" t="str">
        <f>IF(AND(K4&gt;=0.11,K4&lt;=0.27,L4&gt;=-0.36,L4&lt;=-0.22,M4&gt;=-0.92,M4&lt;=-0.82,N4&gt;=-0.4,N4&lt;=-0.3,O4&gt;=-0.79,O4&lt;=-0.64,P4&gt;=-0.76,P4&lt;=-0.61), "Yes", IF(AND(K4=0,L4=0,M4=0,N4=0,O4=0,P4=0), "Ready to test", "No"))</f>
        <v>Ready to test</v>
      </c>
    </row>
    <row r="5" spans="1:17" x14ac:dyDescent="0.3">
      <c r="A5" s="16"/>
      <c r="B5" s="6"/>
      <c r="C5" s="6"/>
      <c r="D5" s="6"/>
      <c r="E5" s="6"/>
      <c r="F5" s="6"/>
      <c r="G5" s="6"/>
      <c r="H5" s="6"/>
      <c r="I5" s="6"/>
      <c r="J5" s="6"/>
      <c r="K5" s="15">
        <f t="shared" si="0"/>
        <v>0</v>
      </c>
      <c r="L5" s="15">
        <f t="shared" si="1"/>
        <v>0</v>
      </c>
      <c r="M5" s="15">
        <f t="shared" si="2"/>
        <v>0</v>
      </c>
      <c r="N5" s="15">
        <f t="shared" si="3"/>
        <v>0</v>
      </c>
      <c r="O5" s="15">
        <f t="shared" si="4"/>
        <v>0</v>
      </c>
      <c r="P5" s="15">
        <f t="shared" si="5"/>
        <v>0</v>
      </c>
      <c r="Q5" s="6" t="str">
        <f>IF(AND(K5&gt;=0.11,K5&lt;=0.27,L5&gt;=-0.38,L5&lt;=-0.22,M5&gt;=-0.94,M5&lt;=-0.82,N5&gt;=-0.41,N5&lt;=-0.3,O5&gt;=-0.79,O5&lt;=-0.64,P5&gt;=-0.76,P5&lt;=-0.61), "Yes", IF(AND(K5=0,L5=0,M5=0,N5=0,O5=0,P5=0), "Ready to test", "No"))</f>
        <v>Ready to test</v>
      </c>
    </row>
    <row r="6" spans="1:17" x14ac:dyDescent="0.3">
      <c r="A6" s="16"/>
      <c r="B6" s="6"/>
      <c r="C6" s="6"/>
      <c r="D6" s="6"/>
      <c r="E6" s="6"/>
      <c r="F6" s="6"/>
      <c r="G6" s="17"/>
      <c r="H6" s="6"/>
      <c r="I6" s="6"/>
      <c r="J6" s="6"/>
      <c r="K6" s="15">
        <f t="shared" si="0"/>
        <v>0</v>
      </c>
      <c r="L6" s="15">
        <f t="shared" si="1"/>
        <v>0</v>
      </c>
      <c r="M6" s="15">
        <f t="shared" si="2"/>
        <v>0</v>
      </c>
      <c r="N6" s="15">
        <f t="shared" si="3"/>
        <v>0</v>
      </c>
      <c r="O6" s="15">
        <f t="shared" si="4"/>
        <v>0</v>
      </c>
      <c r="P6" s="15">
        <f t="shared" si="5"/>
        <v>0</v>
      </c>
      <c r="Q6" s="6" t="str">
        <f t="shared" ref="Q6:Q16" si="6">IF(AND(K6&gt;=0.11,K6&lt;=0.27,L6&gt;=-0.36,L6&lt;=-0.22,M6&gt;=-0.92,M6&lt;=-0.82,N6&gt;=-0.4,N6&lt;=-0.3,O6&gt;=-0.79,O6&lt;=-0.64,P6&gt;=-0.76,P6&lt;=-0.61), "Yes", IF(AND(K6=0,L6=0,M6=0,N6=0,O6=0,P6=0), "Ready to test", "No"))</f>
        <v>Ready to test</v>
      </c>
    </row>
    <row r="7" spans="1:17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15">
        <f t="shared" si="0"/>
        <v>0</v>
      </c>
      <c r="L7" s="15">
        <f t="shared" si="1"/>
        <v>0</v>
      </c>
      <c r="M7" s="15">
        <f t="shared" si="2"/>
        <v>0</v>
      </c>
      <c r="N7" s="15">
        <f t="shared" si="3"/>
        <v>0</v>
      </c>
      <c r="O7" s="15">
        <f t="shared" si="4"/>
        <v>0</v>
      </c>
      <c r="P7" s="15">
        <f t="shared" si="5"/>
        <v>0</v>
      </c>
      <c r="Q7" s="6" t="str">
        <f t="shared" si="6"/>
        <v>Ready to test</v>
      </c>
    </row>
    <row r="8" spans="1:17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15">
        <f t="shared" si="0"/>
        <v>0</v>
      </c>
      <c r="L8" s="15">
        <f t="shared" si="1"/>
        <v>0</v>
      </c>
      <c r="M8" s="15">
        <f t="shared" si="2"/>
        <v>0</v>
      </c>
      <c r="N8" s="15">
        <f t="shared" si="3"/>
        <v>0</v>
      </c>
      <c r="O8" s="15">
        <f t="shared" si="4"/>
        <v>0</v>
      </c>
      <c r="P8" s="15">
        <f t="shared" si="5"/>
        <v>0</v>
      </c>
      <c r="Q8" s="6" t="str">
        <f t="shared" si="6"/>
        <v>Ready to test</v>
      </c>
    </row>
    <row r="9" spans="1:17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15">
        <f t="shared" si="0"/>
        <v>0</v>
      </c>
      <c r="L9" s="15">
        <f t="shared" si="1"/>
        <v>0</v>
      </c>
      <c r="M9" s="15">
        <f t="shared" si="2"/>
        <v>0</v>
      </c>
      <c r="N9" s="15">
        <f t="shared" si="3"/>
        <v>0</v>
      </c>
      <c r="O9" s="15">
        <f t="shared" si="4"/>
        <v>0</v>
      </c>
      <c r="P9" s="15">
        <f t="shared" si="5"/>
        <v>0</v>
      </c>
      <c r="Q9" s="6" t="str">
        <f t="shared" si="6"/>
        <v>Ready to test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15">
        <f t="shared" si="0"/>
        <v>0</v>
      </c>
      <c r="L10" s="15">
        <f t="shared" si="1"/>
        <v>0</v>
      </c>
      <c r="M10" s="15">
        <f t="shared" si="2"/>
        <v>0</v>
      </c>
      <c r="N10" s="15">
        <f t="shared" si="3"/>
        <v>0</v>
      </c>
      <c r="O10" s="15">
        <f t="shared" si="4"/>
        <v>0</v>
      </c>
      <c r="P10" s="15">
        <f t="shared" si="5"/>
        <v>0</v>
      </c>
      <c r="Q10" s="6" t="str">
        <f t="shared" si="6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15">
        <f t="shared" si="0"/>
        <v>0</v>
      </c>
      <c r="L11" s="15">
        <f t="shared" si="1"/>
        <v>0</v>
      </c>
      <c r="M11" s="15">
        <f t="shared" si="2"/>
        <v>0</v>
      </c>
      <c r="N11" s="15">
        <f t="shared" si="3"/>
        <v>0</v>
      </c>
      <c r="O11" s="15">
        <f t="shared" si="4"/>
        <v>0</v>
      </c>
      <c r="P11" s="15">
        <f t="shared" si="5"/>
        <v>0</v>
      </c>
      <c r="Q11" s="6" t="str">
        <f t="shared" si="6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15">
        <f t="shared" si="0"/>
        <v>0</v>
      </c>
      <c r="L12" s="15">
        <f t="shared" si="1"/>
        <v>0</v>
      </c>
      <c r="M12" s="15">
        <f t="shared" si="2"/>
        <v>0</v>
      </c>
      <c r="N12" s="15">
        <f t="shared" si="3"/>
        <v>0</v>
      </c>
      <c r="O12" s="15">
        <f t="shared" si="4"/>
        <v>0</v>
      </c>
      <c r="P12" s="15">
        <f t="shared" si="5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15">
        <f t="shared" si="0"/>
        <v>0</v>
      </c>
      <c r="L13" s="15">
        <f t="shared" si="1"/>
        <v>0</v>
      </c>
      <c r="M13" s="15">
        <f t="shared" si="2"/>
        <v>0</v>
      </c>
      <c r="N13" s="15">
        <f t="shared" si="3"/>
        <v>0</v>
      </c>
      <c r="O13" s="15">
        <f t="shared" si="4"/>
        <v>0</v>
      </c>
      <c r="P13" s="15">
        <f t="shared" si="5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15">
        <f t="shared" si="0"/>
        <v>0</v>
      </c>
      <c r="L14" s="15">
        <f t="shared" si="1"/>
        <v>0</v>
      </c>
      <c r="M14" s="15">
        <f t="shared" si="2"/>
        <v>0</v>
      </c>
      <c r="N14" s="15">
        <f t="shared" si="3"/>
        <v>0</v>
      </c>
      <c r="O14" s="15">
        <f t="shared" si="4"/>
        <v>0</v>
      </c>
      <c r="P14" s="15">
        <f t="shared" si="5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15">
        <f t="shared" si="0"/>
        <v>0</v>
      </c>
      <c r="L15" s="15">
        <f t="shared" si="1"/>
        <v>0</v>
      </c>
      <c r="M15" s="15">
        <f t="shared" si="2"/>
        <v>0</v>
      </c>
      <c r="N15" s="15">
        <f t="shared" si="3"/>
        <v>0</v>
      </c>
      <c r="O15" s="15">
        <f t="shared" si="4"/>
        <v>0</v>
      </c>
      <c r="P15" s="15">
        <f t="shared" si="5"/>
        <v>0</v>
      </c>
      <c r="Q15" s="6" t="str">
        <f t="shared" si="6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15">
        <f t="shared" si="0"/>
        <v>0</v>
      </c>
      <c r="L16" s="15">
        <f t="shared" si="1"/>
        <v>0</v>
      </c>
      <c r="M16" s="15">
        <f t="shared" si="2"/>
        <v>0</v>
      </c>
      <c r="N16" s="15">
        <f t="shared" si="3"/>
        <v>0</v>
      </c>
      <c r="O16" s="15">
        <f t="shared" si="4"/>
        <v>0</v>
      </c>
      <c r="P16" s="15">
        <f t="shared" si="5"/>
        <v>0</v>
      </c>
      <c r="Q16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6">
    <cfRule type="expression" dxfId="32" priority="1">
      <formula>Q3="Alert"</formula>
    </cfRule>
    <cfRule type="expression" dxfId="31" priority="2">
      <formula>Q3="Yes"</formula>
    </cfRule>
    <cfRule type="expression" dxfId="30" priority="3">
      <formula>Q3="No"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A456C-00E8-41E9-9327-F97D2EB50BE9}">
  <dimension ref="A1:Q16"/>
  <sheetViews>
    <sheetView workbookViewId="0">
      <selection sqref="A1:XFD1048576"/>
    </sheetView>
  </sheetViews>
  <sheetFormatPr defaultColWidth="8.6640625" defaultRowHeight="14.4" x14ac:dyDescent="0.3"/>
  <cols>
    <col min="1" max="1" width="15" style="1" customWidth="1"/>
    <col min="2" max="2" width="9" style="1" bestFit="1" customWidth="1"/>
    <col min="3" max="3" width="12" style="1" bestFit="1" customWidth="1"/>
    <col min="4" max="4" width="17.44140625" style="1" bestFit="1" customWidth="1"/>
    <col min="5" max="5" width="12" style="1" customWidth="1"/>
    <col min="6" max="6" width="11.5546875" style="1" customWidth="1"/>
    <col min="7" max="7" width="12.33203125" style="1" customWidth="1"/>
    <col min="8" max="8" width="12" style="1" customWidth="1"/>
    <col min="9" max="9" width="11.109375" style="1" customWidth="1"/>
    <col min="10" max="10" width="11.33203125" style="1" customWidth="1"/>
    <col min="11" max="11" width="11.44140625" style="1" customWidth="1"/>
    <col min="12" max="12" width="13.44140625" style="1" customWidth="1"/>
    <col min="13" max="13" width="11.44140625" style="1" customWidth="1"/>
    <col min="14" max="14" width="18.33203125" style="1" bestFit="1" customWidth="1"/>
    <col min="15" max="15" width="13.5546875" style="1" customWidth="1"/>
    <col min="16" max="16" width="14.5546875" style="1" customWidth="1"/>
    <col min="17" max="17" width="12.88671875" style="1" customWidth="1"/>
    <col min="18" max="16384" width="8.6640625" style="1"/>
  </cols>
  <sheetData>
    <row r="1" spans="1:17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5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</row>
    <row r="3" spans="1:17" x14ac:dyDescent="0.3">
      <c r="A3" s="7">
        <v>46103</v>
      </c>
      <c r="B3" s="4" t="s">
        <v>5</v>
      </c>
      <c r="C3" s="4" t="s">
        <v>180</v>
      </c>
      <c r="D3" s="4">
        <v>0.92</v>
      </c>
      <c r="E3" s="4">
        <v>0.92190000000000005</v>
      </c>
      <c r="F3" s="4">
        <v>1.3765000000000001</v>
      </c>
      <c r="G3" s="4">
        <v>1.8244</v>
      </c>
      <c r="H3" s="4">
        <v>3.0263</v>
      </c>
      <c r="I3" s="4">
        <v>3.6556999999999999</v>
      </c>
      <c r="J3" s="4">
        <v>4.5705</v>
      </c>
      <c r="K3" s="5">
        <f t="shared" ref="K3:K16" si="0">IF(D3=0, 0, 100*(E3 - D3*1)/(D3*1))</f>
        <v>0.20652173913043617</v>
      </c>
      <c r="L3" s="5">
        <f t="shared" ref="L3:L16" si="1">IF(D3=0, 0, 100*(F3 - D3*1.5)/(D3*1.5))</f>
        <v>-0.25362318840580134</v>
      </c>
      <c r="M3" s="5">
        <f t="shared" ref="M3:M16" si="2">IF(D3=0, 0, 100*(G3 - D3*2)/(D3*2))</f>
        <v>-0.84782608695652484</v>
      </c>
      <c r="N3" s="5">
        <f t="shared" ref="N3:N16" si="3">IF(D3=0, 0, 100*(H3 - D3*3.3)/(D3*3.3))</f>
        <v>-0.31949934123847307</v>
      </c>
      <c r="O3" s="5">
        <f t="shared" ref="O3:O16" si="4">IF(D3=0, 0, 100*(I3 - D3*4)/(D3*4))</f>
        <v>-0.66032608695652739</v>
      </c>
      <c r="P3" s="5">
        <f t="shared" ref="P3:P16" si="5">IF(D3=0, 0, 100*(J3 - D3*5)/(D3*5))</f>
        <v>-0.64130434782609835</v>
      </c>
      <c r="Q3" s="4" t="str">
        <f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/>
      <c r="B4" s="4"/>
      <c r="C4" s="4"/>
      <c r="D4" s="4"/>
      <c r="E4" s="4"/>
      <c r="F4" s="4"/>
      <c r="G4" s="4"/>
      <c r="H4" s="4"/>
      <c r="I4" s="4"/>
      <c r="J4" s="4"/>
      <c r="K4" s="15">
        <f t="shared" si="0"/>
        <v>0</v>
      </c>
      <c r="L4" s="15">
        <f t="shared" si="1"/>
        <v>0</v>
      </c>
      <c r="M4" s="15">
        <f t="shared" si="2"/>
        <v>0</v>
      </c>
      <c r="N4" s="15">
        <f t="shared" si="3"/>
        <v>0</v>
      </c>
      <c r="O4" s="15">
        <f t="shared" si="4"/>
        <v>0</v>
      </c>
      <c r="P4" s="15">
        <f t="shared" si="5"/>
        <v>0</v>
      </c>
      <c r="Q4" s="6" t="str">
        <f>IF(AND(K4&gt;=0.11,K4&lt;=0.27,L4&gt;=-0.36,L4&lt;=-0.22,M4&gt;=-0.92,M4&lt;=-0.82,N4&gt;=-0.4,N4&lt;=-0.3,O4&gt;=-0.79,O4&lt;=-0.64,P4&gt;=-0.76,P4&lt;=-0.61), "Yes", IF(AND(K4=0,L4=0,M4=0,N4=0,O4=0,P4=0), "Ready to test", "No"))</f>
        <v>Ready to test</v>
      </c>
    </row>
    <row r="5" spans="1:17" x14ac:dyDescent="0.3">
      <c r="A5" s="16"/>
      <c r="B5" s="6"/>
      <c r="C5" s="6"/>
      <c r="D5" s="6"/>
      <c r="E5" s="6"/>
      <c r="F5" s="6"/>
      <c r="G5" s="6"/>
      <c r="H5" s="6"/>
      <c r="I5" s="6"/>
      <c r="J5" s="6"/>
      <c r="K5" s="15">
        <f t="shared" si="0"/>
        <v>0</v>
      </c>
      <c r="L5" s="15">
        <f t="shared" si="1"/>
        <v>0</v>
      </c>
      <c r="M5" s="15">
        <f t="shared" si="2"/>
        <v>0</v>
      </c>
      <c r="N5" s="15">
        <f t="shared" si="3"/>
        <v>0</v>
      </c>
      <c r="O5" s="15">
        <f t="shared" si="4"/>
        <v>0</v>
      </c>
      <c r="P5" s="15">
        <f t="shared" si="5"/>
        <v>0</v>
      </c>
      <c r="Q5" s="6" t="str">
        <f>IF(AND(K5&gt;=0.11,K5&lt;=0.27,L5&gt;=-0.38,L5&lt;=-0.22,M5&gt;=-0.94,M5&lt;=-0.82,N5&gt;=-0.41,N5&lt;=-0.3,O5&gt;=-0.79,O5&lt;=-0.64,P5&gt;=-0.76,P5&lt;=-0.61), "Yes", IF(AND(K5=0,L5=0,M5=0,N5=0,O5=0,P5=0), "Ready to test", "No"))</f>
        <v>Ready to test</v>
      </c>
    </row>
    <row r="6" spans="1:17" x14ac:dyDescent="0.3">
      <c r="A6" s="16"/>
      <c r="B6" s="6"/>
      <c r="C6" s="6"/>
      <c r="D6" s="6"/>
      <c r="E6" s="6"/>
      <c r="F6" s="6"/>
      <c r="G6" s="17"/>
      <c r="H6" s="6"/>
      <c r="I6" s="6"/>
      <c r="J6" s="6"/>
      <c r="K6" s="15">
        <f t="shared" si="0"/>
        <v>0</v>
      </c>
      <c r="L6" s="15">
        <f t="shared" si="1"/>
        <v>0</v>
      </c>
      <c r="M6" s="15">
        <f t="shared" si="2"/>
        <v>0</v>
      </c>
      <c r="N6" s="15">
        <f t="shared" si="3"/>
        <v>0</v>
      </c>
      <c r="O6" s="15">
        <f t="shared" si="4"/>
        <v>0</v>
      </c>
      <c r="P6" s="15">
        <f t="shared" si="5"/>
        <v>0</v>
      </c>
      <c r="Q6" s="6" t="str">
        <f t="shared" ref="Q6:Q16" si="6">IF(AND(K6&gt;=0.11,K6&lt;=0.27,L6&gt;=-0.36,L6&lt;=-0.22,M6&gt;=-0.92,M6&lt;=-0.82,N6&gt;=-0.4,N6&lt;=-0.3,O6&gt;=-0.79,O6&lt;=-0.64,P6&gt;=-0.76,P6&lt;=-0.61), "Yes", IF(AND(K6=0,L6=0,M6=0,N6=0,O6=0,P6=0), "Ready to test", "No"))</f>
        <v>Ready to test</v>
      </c>
    </row>
    <row r="7" spans="1:17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15">
        <f t="shared" si="0"/>
        <v>0</v>
      </c>
      <c r="L7" s="15">
        <f t="shared" si="1"/>
        <v>0</v>
      </c>
      <c r="M7" s="15">
        <f t="shared" si="2"/>
        <v>0</v>
      </c>
      <c r="N7" s="15">
        <f t="shared" si="3"/>
        <v>0</v>
      </c>
      <c r="O7" s="15">
        <f t="shared" si="4"/>
        <v>0</v>
      </c>
      <c r="P7" s="15">
        <f t="shared" si="5"/>
        <v>0</v>
      </c>
      <c r="Q7" s="6" t="str">
        <f t="shared" si="6"/>
        <v>Ready to test</v>
      </c>
    </row>
    <row r="8" spans="1:17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15">
        <f t="shared" si="0"/>
        <v>0</v>
      </c>
      <c r="L8" s="15">
        <f t="shared" si="1"/>
        <v>0</v>
      </c>
      <c r="M8" s="15">
        <f t="shared" si="2"/>
        <v>0</v>
      </c>
      <c r="N8" s="15">
        <f t="shared" si="3"/>
        <v>0</v>
      </c>
      <c r="O8" s="15">
        <f t="shared" si="4"/>
        <v>0</v>
      </c>
      <c r="P8" s="15">
        <f t="shared" si="5"/>
        <v>0</v>
      </c>
      <c r="Q8" s="6" t="str">
        <f t="shared" si="6"/>
        <v>Ready to test</v>
      </c>
    </row>
    <row r="9" spans="1:17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15">
        <f t="shared" si="0"/>
        <v>0</v>
      </c>
      <c r="L9" s="15">
        <f t="shared" si="1"/>
        <v>0</v>
      </c>
      <c r="M9" s="15">
        <f t="shared" si="2"/>
        <v>0</v>
      </c>
      <c r="N9" s="15">
        <f t="shared" si="3"/>
        <v>0</v>
      </c>
      <c r="O9" s="15">
        <f t="shared" si="4"/>
        <v>0</v>
      </c>
      <c r="P9" s="15">
        <f t="shared" si="5"/>
        <v>0</v>
      </c>
      <c r="Q9" s="6" t="str">
        <f t="shared" si="6"/>
        <v>Ready to test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15">
        <f t="shared" si="0"/>
        <v>0</v>
      </c>
      <c r="L10" s="15">
        <f t="shared" si="1"/>
        <v>0</v>
      </c>
      <c r="M10" s="15">
        <f t="shared" si="2"/>
        <v>0</v>
      </c>
      <c r="N10" s="15">
        <f t="shared" si="3"/>
        <v>0</v>
      </c>
      <c r="O10" s="15">
        <f t="shared" si="4"/>
        <v>0</v>
      </c>
      <c r="P10" s="15">
        <f t="shared" si="5"/>
        <v>0</v>
      </c>
      <c r="Q10" s="6" t="str">
        <f t="shared" si="6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15">
        <f t="shared" si="0"/>
        <v>0</v>
      </c>
      <c r="L11" s="15">
        <f t="shared" si="1"/>
        <v>0</v>
      </c>
      <c r="M11" s="15">
        <f t="shared" si="2"/>
        <v>0</v>
      </c>
      <c r="N11" s="15">
        <f t="shared" si="3"/>
        <v>0</v>
      </c>
      <c r="O11" s="15">
        <f t="shared" si="4"/>
        <v>0</v>
      </c>
      <c r="P11" s="15">
        <f t="shared" si="5"/>
        <v>0</v>
      </c>
      <c r="Q11" s="6" t="str">
        <f t="shared" si="6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15">
        <f t="shared" si="0"/>
        <v>0</v>
      </c>
      <c r="L12" s="15">
        <f t="shared" si="1"/>
        <v>0</v>
      </c>
      <c r="M12" s="15">
        <f t="shared" si="2"/>
        <v>0</v>
      </c>
      <c r="N12" s="15">
        <f t="shared" si="3"/>
        <v>0</v>
      </c>
      <c r="O12" s="15">
        <f t="shared" si="4"/>
        <v>0</v>
      </c>
      <c r="P12" s="15">
        <f t="shared" si="5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15">
        <f t="shared" si="0"/>
        <v>0</v>
      </c>
      <c r="L13" s="15">
        <f t="shared" si="1"/>
        <v>0</v>
      </c>
      <c r="M13" s="15">
        <f t="shared" si="2"/>
        <v>0</v>
      </c>
      <c r="N13" s="15">
        <f t="shared" si="3"/>
        <v>0</v>
      </c>
      <c r="O13" s="15">
        <f t="shared" si="4"/>
        <v>0</v>
      </c>
      <c r="P13" s="15">
        <f t="shared" si="5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15">
        <f t="shared" si="0"/>
        <v>0</v>
      </c>
      <c r="L14" s="15">
        <f t="shared" si="1"/>
        <v>0</v>
      </c>
      <c r="M14" s="15">
        <f t="shared" si="2"/>
        <v>0</v>
      </c>
      <c r="N14" s="15">
        <f t="shared" si="3"/>
        <v>0</v>
      </c>
      <c r="O14" s="15">
        <f t="shared" si="4"/>
        <v>0</v>
      </c>
      <c r="P14" s="15">
        <f t="shared" si="5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15">
        <f t="shared" si="0"/>
        <v>0</v>
      </c>
      <c r="L15" s="15">
        <f t="shared" si="1"/>
        <v>0</v>
      </c>
      <c r="M15" s="15">
        <f t="shared" si="2"/>
        <v>0</v>
      </c>
      <c r="N15" s="15">
        <f t="shared" si="3"/>
        <v>0</v>
      </c>
      <c r="O15" s="15">
        <f t="shared" si="4"/>
        <v>0</v>
      </c>
      <c r="P15" s="15">
        <f t="shared" si="5"/>
        <v>0</v>
      </c>
      <c r="Q15" s="6" t="str">
        <f t="shared" si="6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15">
        <f t="shared" si="0"/>
        <v>0</v>
      </c>
      <c r="L16" s="15">
        <f t="shared" si="1"/>
        <v>0</v>
      </c>
      <c r="M16" s="15">
        <f t="shared" si="2"/>
        <v>0</v>
      </c>
      <c r="N16" s="15">
        <f t="shared" si="3"/>
        <v>0</v>
      </c>
      <c r="O16" s="15">
        <f t="shared" si="4"/>
        <v>0</v>
      </c>
      <c r="P16" s="15">
        <f t="shared" si="5"/>
        <v>0</v>
      </c>
      <c r="Q16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6">
    <cfRule type="expression" dxfId="29" priority="1">
      <formula>Q3="Alert"</formula>
    </cfRule>
    <cfRule type="expression" dxfId="28" priority="2">
      <formula>Q3="Yes"</formula>
    </cfRule>
    <cfRule type="expression" dxfId="27" priority="3">
      <formula>Q3="No"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4E34A-4738-42DE-867E-DACAE0F50ED3}">
  <dimension ref="A1:Q16"/>
  <sheetViews>
    <sheetView zoomScale="99" workbookViewId="0">
      <selection activeCell="E18" sqref="E18"/>
    </sheetView>
  </sheetViews>
  <sheetFormatPr defaultColWidth="8.6640625" defaultRowHeight="14.4" x14ac:dyDescent="0.3"/>
  <cols>
    <col min="1" max="1" width="15" style="1" customWidth="1"/>
    <col min="2" max="2" width="9" style="1" bestFit="1" customWidth="1"/>
    <col min="3" max="3" width="12" style="1" bestFit="1" customWidth="1"/>
    <col min="4" max="4" width="17.44140625" style="1" bestFit="1" customWidth="1"/>
    <col min="5" max="5" width="12" style="1" customWidth="1"/>
    <col min="6" max="6" width="11.5546875" style="1" customWidth="1"/>
    <col min="7" max="7" width="12.33203125" style="1" customWidth="1"/>
    <col min="8" max="8" width="12" style="1" customWidth="1"/>
    <col min="9" max="9" width="11.109375" style="1" customWidth="1"/>
    <col min="10" max="10" width="11.33203125" style="1" customWidth="1"/>
    <col min="11" max="11" width="11.44140625" style="1" customWidth="1"/>
    <col min="12" max="12" width="13.44140625" style="1" customWidth="1"/>
    <col min="13" max="13" width="11.44140625" style="1" customWidth="1"/>
    <col min="14" max="14" width="18.33203125" style="1" bestFit="1" customWidth="1"/>
    <col min="15" max="15" width="13.5546875" style="1" customWidth="1"/>
    <col min="16" max="16" width="14.5546875" style="1" customWidth="1"/>
    <col min="17" max="17" width="12.88671875" style="1" customWidth="1"/>
    <col min="18" max="16384" width="8.6640625" style="1"/>
  </cols>
  <sheetData>
    <row r="1" spans="1:17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5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</row>
    <row r="3" spans="1:17" x14ac:dyDescent="0.3">
      <c r="A3" s="7">
        <v>46103</v>
      </c>
      <c r="B3" s="4" t="s">
        <v>5</v>
      </c>
      <c r="C3" s="4" t="s">
        <v>180</v>
      </c>
      <c r="D3" s="4">
        <v>0.92</v>
      </c>
      <c r="E3" s="4">
        <v>0.92190000000000005</v>
      </c>
      <c r="F3" s="4">
        <v>1.3765000000000001</v>
      </c>
      <c r="G3" s="4">
        <v>1.8242</v>
      </c>
      <c r="H3" s="4">
        <v>3.0263</v>
      </c>
      <c r="I3" s="4">
        <v>3.6556000000000002</v>
      </c>
      <c r="J3" s="4">
        <v>4.5697000000000001</v>
      </c>
      <c r="K3" s="5">
        <f t="shared" ref="K3:K16" si="0">IF(D3=0, 0, 100*(E3 - D3*1)/(D3*1))</f>
        <v>0.20652173913043617</v>
      </c>
      <c r="L3" s="5">
        <f t="shared" ref="L3:L16" si="1">IF(D3=0, 0, 100*(F3 - D3*1.5)/(D3*1.5))</f>
        <v>-0.25362318840580134</v>
      </c>
      <c r="M3" s="5">
        <f t="shared" ref="M3:M16" si="2">IF(D3=0, 0, 100*(G3 - D3*2)/(D3*2))</f>
        <v>-0.85869565217391497</v>
      </c>
      <c r="N3" s="5">
        <f t="shared" ref="N3:N16" si="3">IF(D3=0, 0, 100*(H3 - D3*3.3)/(D3*3.3))</f>
        <v>-0.31949934123847307</v>
      </c>
      <c r="O3" s="5">
        <f t="shared" ref="O3:O16" si="4">IF(D3=0, 0, 100*(I3 - D3*4)/(D3*4))</f>
        <v>-0.66304347826086896</v>
      </c>
      <c r="P3" s="5">
        <f t="shared" ref="P3:P16" si="5">IF(D3=0, 0, 100*(J3 - D3*5)/(D3*5))</f>
        <v>-0.65869565217392245</v>
      </c>
      <c r="Q3" s="4" t="str">
        <f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/>
      <c r="B4" s="6"/>
      <c r="C4" s="6"/>
      <c r="D4" s="6"/>
      <c r="E4" s="6"/>
      <c r="F4" s="6"/>
      <c r="G4" s="17"/>
      <c r="H4" s="6"/>
      <c r="I4" s="6"/>
      <c r="J4" s="6"/>
      <c r="K4" s="15">
        <f t="shared" si="0"/>
        <v>0</v>
      </c>
      <c r="L4" s="15">
        <f t="shared" si="1"/>
        <v>0</v>
      </c>
      <c r="M4" s="15">
        <f t="shared" si="2"/>
        <v>0</v>
      </c>
      <c r="N4" s="15">
        <f t="shared" si="3"/>
        <v>0</v>
      </c>
      <c r="O4" s="15">
        <f t="shared" si="4"/>
        <v>0</v>
      </c>
      <c r="P4" s="15">
        <f t="shared" si="5"/>
        <v>0</v>
      </c>
      <c r="Q4" s="6" t="str">
        <f>IF(AND(K4&gt;=0.11,K4&lt;=0.27,L4&gt;=-0.36,L4&lt;=-0.22,M4&gt;=-0.92,M4&lt;=-0.82,N4&gt;=-0.4,N4&lt;=-0.3,O4&gt;=-0.79,O4&lt;=-0.64,P4&gt;=-0.76,P4&lt;=-0.61), "Yes", IF(AND(K4=0,L4=0,M4=0,N4=0,O4=0,P4=0), "Ready to test", "No"))</f>
        <v>Ready to test</v>
      </c>
    </row>
    <row r="5" spans="1:17" x14ac:dyDescent="0.3">
      <c r="A5" s="16"/>
      <c r="B5" s="6"/>
      <c r="C5" s="6"/>
      <c r="D5" s="6"/>
      <c r="E5" s="6"/>
      <c r="F5" s="6"/>
      <c r="G5" s="6"/>
      <c r="H5" s="6"/>
      <c r="I5" s="6"/>
      <c r="J5" s="6"/>
      <c r="K5" s="15">
        <f t="shared" si="0"/>
        <v>0</v>
      </c>
      <c r="L5" s="15">
        <f t="shared" si="1"/>
        <v>0</v>
      </c>
      <c r="M5" s="15">
        <f t="shared" si="2"/>
        <v>0</v>
      </c>
      <c r="N5" s="15">
        <f t="shared" si="3"/>
        <v>0</v>
      </c>
      <c r="O5" s="15">
        <f t="shared" si="4"/>
        <v>0</v>
      </c>
      <c r="P5" s="15">
        <f t="shared" si="5"/>
        <v>0</v>
      </c>
      <c r="Q5" s="6" t="str">
        <f>IF(AND(K5&gt;=0.11,K5&lt;=0.27,L5&gt;=-0.38,L5&lt;=-0.22,M5&gt;=-0.94,M5&lt;=-0.82,N5&gt;=-0.41,N5&lt;=-0.3,O5&gt;=-0.79,O5&lt;=-0.64,P5&gt;=-0.76,P5&lt;=-0.61), "Yes", IF(AND(K5=0,L5=0,M5=0,N5=0,O5=0,P5=0), "Ready to test", "No"))</f>
        <v>Ready to test</v>
      </c>
    </row>
    <row r="6" spans="1:17" x14ac:dyDescent="0.3">
      <c r="A6" s="16"/>
      <c r="B6" s="6"/>
      <c r="C6" s="6"/>
      <c r="D6" s="6"/>
      <c r="E6" s="6"/>
      <c r="F6" s="6"/>
      <c r="G6" s="17"/>
      <c r="H6" s="6"/>
      <c r="I6" s="6"/>
      <c r="J6" s="6"/>
      <c r="K6" s="15">
        <f t="shared" si="0"/>
        <v>0</v>
      </c>
      <c r="L6" s="15">
        <f t="shared" si="1"/>
        <v>0</v>
      </c>
      <c r="M6" s="15">
        <f t="shared" si="2"/>
        <v>0</v>
      </c>
      <c r="N6" s="15">
        <f t="shared" si="3"/>
        <v>0</v>
      </c>
      <c r="O6" s="15">
        <f t="shared" si="4"/>
        <v>0</v>
      </c>
      <c r="P6" s="15">
        <f t="shared" si="5"/>
        <v>0</v>
      </c>
      <c r="Q6" s="6" t="str">
        <f t="shared" ref="Q6:Q16" si="6">IF(AND(K6&gt;=0.11,K6&lt;=0.27,L6&gt;=-0.36,L6&lt;=-0.22,M6&gt;=-0.92,M6&lt;=-0.82,N6&gt;=-0.4,N6&lt;=-0.3,O6&gt;=-0.79,O6&lt;=-0.64,P6&gt;=-0.76,P6&lt;=-0.61), "Yes", IF(AND(K6=0,L6=0,M6=0,N6=0,O6=0,P6=0), "Ready to test", "No"))</f>
        <v>Ready to test</v>
      </c>
    </row>
    <row r="7" spans="1:17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15">
        <f t="shared" si="0"/>
        <v>0</v>
      </c>
      <c r="L7" s="15">
        <f t="shared" si="1"/>
        <v>0</v>
      </c>
      <c r="M7" s="15">
        <f t="shared" si="2"/>
        <v>0</v>
      </c>
      <c r="N7" s="15">
        <f t="shared" si="3"/>
        <v>0</v>
      </c>
      <c r="O7" s="15">
        <f t="shared" si="4"/>
        <v>0</v>
      </c>
      <c r="P7" s="15">
        <f t="shared" si="5"/>
        <v>0</v>
      </c>
      <c r="Q7" s="6" t="str">
        <f t="shared" si="6"/>
        <v>Ready to test</v>
      </c>
    </row>
    <row r="8" spans="1:17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15">
        <f t="shared" si="0"/>
        <v>0</v>
      </c>
      <c r="L8" s="15">
        <f t="shared" si="1"/>
        <v>0</v>
      </c>
      <c r="M8" s="15">
        <f t="shared" si="2"/>
        <v>0</v>
      </c>
      <c r="N8" s="15">
        <f t="shared" si="3"/>
        <v>0</v>
      </c>
      <c r="O8" s="15">
        <f t="shared" si="4"/>
        <v>0</v>
      </c>
      <c r="P8" s="15">
        <f t="shared" si="5"/>
        <v>0</v>
      </c>
      <c r="Q8" s="6" t="str">
        <f t="shared" si="6"/>
        <v>Ready to test</v>
      </c>
    </row>
    <row r="9" spans="1:17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15">
        <f t="shared" si="0"/>
        <v>0</v>
      </c>
      <c r="L9" s="15">
        <f t="shared" si="1"/>
        <v>0</v>
      </c>
      <c r="M9" s="15">
        <f t="shared" si="2"/>
        <v>0</v>
      </c>
      <c r="N9" s="15">
        <f t="shared" si="3"/>
        <v>0</v>
      </c>
      <c r="O9" s="15">
        <f t="shared" si="4"/>
        <v>0</v>
      </c>
      <c r="P9" s="15">
        <f t="shared" si="5"/>
        <v>0</v>
      </c>
      <c r="Q9" s="6" t="str">
        <f t="shared" si="6"/>
        <v>Ready to test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15">
        <f t="shared" si="0"/>
        <v>0</v>
      </c>
      <c r="L10" s="15">
        <f t="shared" si="1"/>
        <v>0</v>
      </c>
      <c r="M10" s="15">
        <f t="shared" si="2"/>
        <v>0</v>
      </c>
      <c r="N10" s="15">
        <f t="shared" si="3"/>
        <v>0</v>
      </c>
      <c r="O10" s="15">
        <f t="shared" si="4"/>
        <v>0</v>
      </c>
      <c r="P10" s="15">
        <f t="shared" si="5"/>
        <v>0</v>
      </c>
      <c r="Q10" s="6" t="str">
        <f t="shared" si="6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15">
        <f t="shared" si="0"/>
        <v>0</v>
      </c>
      <c r="L11" s="15">
        <f t="shared" si="1"/>
        <v>0</v>
      </c>
      <c r="M11" s="15">
        <f t="shared" si="2"/>
        <v>0</v>
      </c>
      <c r="N11" s="15">
        <f t="shared" si="3"/>
        <v>0</v>
      </c>
      <c r="O11" s="15">
        <f t="shared" si="4"/>
        <v>0</v>
      </c>
      <c r="P11" s="15">
        <f t="shared" si="5"/>
        <v>0</v>
      </c>
      <c r="Q11" s="6" t="str">
        <f t="shared" si="6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15">
        <f t="shared" si="0"/>
        <v>0</v>
      </c>
      <c r="L12" s="15">
        <f t="shared" si="1"/>
        <v>0</v>
      </c>
      <c r="M12" s="15">
        <f t="shared" si="2"/>
        <v>0</v>
      </c>
      <c r="N12" s="15">
        <f t="shared" si="3"/>
        <v>0</v>
      </c>
      <c r="O12" s="15">
        <f t="shared" si="4"/>
        <v>0</v>
      </c>
      <c r="P12" s="15">
        <f t="shared" si="5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15">
        <f t="shared" si="0"/>
        <v>0</v>
      </c>
      <c r="L13" s="15">
        <f t="shared" si="1"/>
        <v>0</v>
      </c>
      <c r="M13" s="15">
        <f t="shared" si="2"/>
        <v>0</v>
      </c>
      <c r="N13" s="15">
        <f t="shared" si="3"/>
        <v>0</v>
      </c>
      <c r="O13" s="15">
        <f t="shared" si="4"/>
        <v>0</v>
      </c>
      <c r="P13" s="15">
        <f t="shared" si="5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15">
        <f t="shared" si="0"/>
        <v>0</v>
      </c>
      <c r="L14" s="15">
        <f t="shared" si="1"/>
        <v>0</v>
      </c>
      <c r="M14" s="15">
        <f t="shared" si="2"/>
        <v>0</v>
      </c>
      <c r="N14" s="15">
        <f t="shared" si="3"/>
        <v>0</v>
      </c>
      <c r="O14" s="15">
        <f t="shared" si="4"/>
        <v>0</v>
      </c>
      <c r="P14" s="15">
        <f t="shared" si="5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15">
        <f t="shared" si="0"/>
        <v>0</v>
      </c>
      <c r="L15" s="15">
        <f t="shared" si="1"/>
        <v>0</v>
      </c>
      <c r="M15" s="15">
        <f t="shared" si="2"/>
        <v>0</v>
      </c>
      <c r="N15" s="15">
        <f t="shared" si="3"/>
        <v>0</v>
      </c>
      <c r="O15" s="15">
        <f t="shared" si="4"/>
        <v>0</v>
      </c>
      <c r="P15" s="15">
        <f t="shared" si="5"/>
        <v>0</v>
      </c>
      <c r="Q15" s="6" t="str">
        <f t="shared" si="6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15">
        <f t="shared" si="0"/>
        <v>0</v>
      </c>
      <c r="L16" s="15">
        <f t="shared" si="1"/>
        <v>0</v>
      </c>
      <c r="M16" s="15">
        <f t="shared" si="2"/>
        <v>0</v>
      </c>
      <c r="N16" s="15">
        <f t="shared" si="3"/>
        <v>0</v>
      </c>
      <c r="O16" s="15">
        <f t="shared" si="4"/>
        <v>0</v>
      </c>
      <c r="P16" s="15">
        <f t="shared" si="5"/>
        <v>0</v>
      </c>
      <c r="Q16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6">
    <cfRule type="expression" dxfId="26" priority="1">
      <formula>Q3="Alert"</formula>
    </cfRule>
    <cfRule type="expression" dxfId="25" priority="2">
      <formula>Q3="Yes"</formula>
    </cfRule>
    <cfRule type="expression" dxfId="24" priority="3">
      <formula>Q3="No"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9FF89-949F-4E70-AF69-FC4EE264DCED}">
  <dimension ref="A1:Q16"/>
  <sheetViews>
    <sheetView topLeftCell="J1" workbookViewId="0">
      <selection activeCell="K4" sqref="K4:P4"/>
    </sheetView>
  </sheetViews>
  <sheetFormatPr defaultRowHeight="14.4" x14ac:dyDescent="0.3"/>
  <cols>
    <col min="1" max="1" width="15" customWidth="1"/>
    <col min="2" max="2" width="9" bestFit="1" customWidth="1"/>
    <col min="3" max="3" width="12" bestFit="1" customWidth="1"/>
    <col min="4" max="4" width="17.44140625" bestFit="1" customWidth="1"/>
    <col min="5" max="5" width="12" customWidth="1"/>
    <col min="6" max="6" width="11.5546875" customWidth="1"/>
    <col min="7" max="7" width="12.33203125" customWidth="1"/>
    <col min="8" max="8" width="12" customWidth="1"/>
    <col min="9" max="9" width="11.109375" customWidth="1"/>
    <col min="10" max="10" width="11.33203125" customWidth="1"/>
    <col min="11" max="11" width="11.44140625" customWidth="1"/>
    <col min="12" max="12" width="13.44140625" customWidth="1"/>
    <col min="13" max="13" width="11.44140625" customWidth="1"/>
    <col min="14" max="14" width="18.33203125" bestFit="1" customWidth="1"/>
    <col min="15" max="15" width="13.5546875" customWidth="1"/>
    <col min="16" max="16" width="14.5546875" customWidth="1"/>
    <col min="17" max="17" width="12.88671875" customWidth="1"/>
  </cols>
  <sheetData>
    <row r="1" spans="1:17" ht="15" customHeight="1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x14ac:dyDescent="0.3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</row>
    <row r="3" spans="1:17" x14ac:dyDescent="0.3">
      <c r="A3" s="7">
        <v>46112</v>
      </c>
      <c r="B3" s="4" t="s">
        <v>5</v>
      </c>
      <c r="C3" s="4" t="s">
        <v>180</v>
      </c>
      <c r="D3" s="4">
        <v>0.92</v>
      </c>
      <c r="E3" s="4">
        <v>0.9224</v>
      </c>
      <c r="F3" s="4">
        <v>1.3769</v>
      </c>
      <c r="G3" s="4">
        <v>1.8245</v>
      </c>
      <c r="H3" s="4">
        <v>3.0261999999999998</v>
      </c>
      <c r="I3" s="4">
        <v>3.6560999999999999</v>
      </c>
      <c r="J3" s="4">
        <v>4.5690999999999997</v>
      </c>
      <c r="K3" s="5">
        <f t="shared" ref="K3:K16" si="0">IF(D3=0, 0, 100*(E3 - D3*1)/(D3*1))</f>
        <v>0.26086956521738669</v>
      </c>
      <c r="L3" s="5">
        <f t="shared" ref="L3:L16" si="1">IF(D3=0, 0, 100*(F3 - D3*1.5)/(D3*1.5))</f>
        <v>-0.2246376811594277</v>
      </c>
      <c r="M3" s="5">
        <f t="shared" ref="M3:M16" si="2">IF(D3=0, 0, 100*(G3 - D3*2)/(D3*2))</f>
        <v>-0.84239130434782983</v>
      </c>
      <c r="N3" s="5">
        <f t="shared" ref="N3:N16" si="3">IF(D3=0, 0, 100*(H3 - D3*3.3)/(D3*3.3))</f>
        <v>-0.32279314888011373</v>
      </c>
      <c r="O3" s="5">
        <f t="shared" ref="O3:O16" si="4">IF(D3=0, 0, 100*(I3 - D3*4)/(D3*4))</f>
        <v>-0.64945652173913737</v>
      </c>
      <c r="P3" s="5">
        <f t="shared" ref="P3:P16" si="5">IF(D3=0, 0, 100*(J3 - D3*5)/(D3*5))</f>
        <v>-0.67173913043480027</v>
      </c>
      <c r="Q3" s="4" t="str">
        <f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>
        <v>46212</v>
      </c>
      <c r="B4" s="6" t="s">
        <v>5</v>
      </c>
      <c r="C4" s="6" t="s">
        <v>140</v>
      </c>
      <c r="D4" s="6">
        <v>0.92</v>
      </c>
      <c r="E4" s="6">
        <v>0.92179999999999995</v>
      </c>
      <c r="F4" s="6">
        <v>1.3764000000000001</v>
      </c>
      <c r="G4" s="17">
        <v>1.8240000000000001</v>
      </c>
      <c r="H4" s="6">
        <v>3.0257999999999998</v>
      </c>
      <c r="I4" s="6">
        <v>3.6545999999999998</v>
      </c>
      <c r="J4" s="6">
        <v>4.5693000000000001</v>
      </c>
      <c r="K4" s="15">
        <f t="shared" si="0"/>
        <v>0.19565217391303399</v>
      </c>
      <c r="L4" s="15">
        <f t="shared" si="1"/>
        <v>-0.26086956521739474</v>
      </c>
      <c r="M4" s="15">
        <f t="shared" si="2"/>
        <v>-0.8695652173913051</v>
      </c>
      <c r="N4" s="15">
        <f t="shared" si="3"/>
        <v>-0.3359683794466472</v>
      </c>
      <c r="O4" s="15">
        <f t="shared" si="4"/>
        <v>-0.69021739130435622</v>
      </c>
      <c r="P4" s="15">
        <f t="shared" si="5"/>
        <v>-0.66739130434783456</v>
      </c>
      <c r="Q4" s="6" t="str">
        <f>IF(AND(K4&gt;=0.11,K4&lt;=0.27,L4&gt;=-0.36,L4&lt;=-0.22,M4&gt;=-0.92,M4&lt;=-0.82,N4&gt;=-0.4,N4&lt;=-0.3,O4&gt;=-0.79,O4&lt;=-0.64,P4&gt;=-0.76,P4&lt;=-0.61), "Yes", IF(AND(K4=0,L4=0,M4=0,N4=0,O4=0,P4=0), "Ready to test", "No"))</f>
        <v>Yes</v>
      </c>
    </row>
    <row r="5" spans="1:17" x14ac:dyDescent="0.3">
      <c r="A5" s="16"/>
      <c r="B5" s="6"/>
      <c r="C5" s="6"/>
      <c r="D5" s="6"/>
      <c r="E5" s="6"/>
      <c r="F5" s="6"/>
      <c r="G5" s="6"/>
      <c r="H5" s="6"/>
      <c r="I5" s="6"/>
      <c r="J5" s="6"/>
      <c r="K5" s="15">
        <f t="shared" si="0"/>
        <v>0</v>
      </c>
      <c r="L5" s="15">
        <f t="shared" si="1"/>
        <v>0</v>
      </c>
      <c r="M5" s="15">
        <f t="shared" si="2"/>
        <v>0</v>
      </c>
      <c r="N5" s="15">
        <f t="shared" si="3"/>
        <v>0</v>
      </c>
      <c r="O5" s="15">
        <f t="shared" si="4"/>
        <v>0</v>
      </c>
      <c r="P5" s="15">
        <f t="shared" si="5"/>
        <v>0</v>
      </c>
      <c r="Q5" s="6" t="str">
        <f>IF(AND(K5&gt;=0.11,K5&lt;=0.27,L5&gt;=-0.38,L5&lt;=-0.22,M5&gt;=-0.94,M5&lt;=-0.82,N5&gt;=-0.41,N5&lt;=-0.3,O5&gt;=-0.79,O5&lt;=-0.64,P5&gt;=-0.76,P5&lt;=-0.61), "Yes", IF(AND(K5=0,L5=0,M5=0,N5=0,O5=0,P5=0), "Ready to test", "No"))</f>
        <v>Ready to test</v>
      </c>
    </row>
    <row r="6" spans="1:17" x14ac:dyDescent="0.3">
      <c r="A6" s="16"/>
      <c r="B6" s="6"/>
      <c r="C6" s="6"/>
      <c r="D6" s="6"/>
      <c r="E6" s="6"/>
      <c r="F6" s="6"/>
      <c r="G6" s="17"/>
      <c r="H6" s="6"/>
      <c r="I6" s="6"/>
      <c r="J6" s="6"/>
      <c r="K6" s="15">
        <f t="shared" si="0"/>
        <v>0</v>
      </c>
      <c r="L6" s="15">
        <f t="shared" si="1"/>
        <v>0</v>
      </c>
      <c r="M6" s="15">
        <f t="shared" si="2"/>
        <v>0</v>
      </c>
      <c r="N6" s="15">
        <f t="shared" si="3"/>
        <v>0</v>
      </c>
      <c r="O6" s="15">
        <f t="shared" si="4"/>
        <v>0</v>
      </c>
      <c r="P6" s="15">
        <f t="shared" si="5"/>
        <v>0</v>
      </c>
      <c r="Q6" s="6" t="str">
        <f t="shared" ref="Q6:Q16" si="6">IF(AND(K6&gt;=0.11,K6&lt;=0.27,L6&gt;=-0.36,L6&lt;=-0.22,M6&gt;=-0.92,M6&lt;=-0.82,N6&gt;=-0.4,N6&lt;=-0.3,O6&gt;=-0.79,O6&lt;=-0.64,P6&gt;=-0.76,P6&lt;=-0.61), "Yes", IF(AND(K6=0,L6=0,M6=0,N6=0,O6=0,P6=0), "Ready to test", "No"))</f>
        <v>Ready to test</v>
      </c>
    </row>
    <row r="7" spans="1:17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15">
        <f t="shared" si="0"/>
        <v>0</v>
      </c>
      <c r="L7" s="15">
        <f t="shared" si="1"/>
        <v>0</v>
      </c>
      <c r="M7" s="15">
        <f t="shared" si="2"/>
        <v>0</v>
      </c>
      <c r="N7" s="15">
        <f t="shared" si="3"/>
        <v>0</v>
      </c>
      <c r="O7" s="15">
        <f t="shared" si="4"/>
        <v>0</v>
      </c>
      <c r="P7" s="15">
        <f t="shared" si="5"/>
        <v>0</v>
      </c>
      <c r="Q7" s="6" t="str">
        <f t="shared" si="6"/>
        <v>Ready to test</v>
      </c>
    </row>
    <row r="8" spans="1:17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15">
        <f t="shared" si="0"/>
        <v>0</v>
      </c>
      <c r="L8" s="15">
        <f t="shared" si="1"/>
        <v>0</v>
      </c>
      <c r="M8" s="15">
        <f t="shared" si="2"/>
        <v>0</v>
      </c>
      <c r="N8" s="15">
        <f t="shared" si="3"/>
        <v>0</v>
      </c>
      <c r="O8" s="15">
        <f t="shared" si="4"/>
        <v>0</v>
      </c>
      <c r="P8" s="15">
        <f t="shared" si="5"/>
        <v>0</v>
      </c>
      <c r="Q8" s="6" t="str">
        <f t="shared" si="6"/>
        <v>Ready to test</v>
      </c>
    </row>
    <row r="9" spans="1:17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15">
        <f t="shared" si="0"/>
        <v>0</v>
      </c>
      <c r="L9" s="15">
        <f t="shared" si="1"/>
        <v>0</v>
      </c>
      <c r="M9" s="15">
        <f t="shared" si="2"/>
        <v>0</v>
      </c>
      <c r="N9" s="15">
        <f t="shared" si="3"/>
        <v>0</v>
      </c>
      <c r="O9" s="15">
        <f t="shared" si="4"/>
        <v>0</v>
      </c>
      <c r="P9" s="15">
        <f t="shared" si="5"/>
        <v>0</v>
      </c>
      <c r="Q9" s="6" t="str">
        <f t="shared" si="6"/>
        <v>Ready to test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15">
        <f t="shared" si="0"/>
        <v>0</v>
      </c>
      <c r="L10" s="15">
        <f t="shared" si="1"/>
        <v>0</v>
      </c>
      <c r="M10" s="15">
        <f t="shared" si="2"/>
        <v>0</v>
      </c>
      <c r="N10" s="15">
        <f t="shared" si="3"/>
        <v>0</v>
      </c>
      <c r="O10" s="15">
        <f t="shared" si="4"/>
        <v>0</v>
      </c>
      <c r="P10" s="15">
        <f t="shared" si="5"/>
        <v>0</v>
      </c>
      <c r="Q10" s="6" t="str">
        <f t="shared" si="6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15">
        <f t="shared" si="0"/>
        <v>0</v>
      </c>
      <c r="L11" s="15">
        <f t="shared" si="1"/>
        <v>0</v>
      </c>
      <c r="M11" s="15">
        <f t="shared" si="2"/>
        <v>0</v>
      </c>
      <c r="N11" s="15">
        <f t="shared" si="3"/>
        <v>0</v>
      </c>
      <c r="O11" s="15">
        <f t="shared" si="4"/>
        <v>0</v>
      </c>
      <c r="P11" s="15">
        <f t="shared" si="5"/>
        <v>0</v>
      </c>
      <c r="Q11" s="6" t="str">
        <f t="shared" si="6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15">
        <f t="shared" si="0"/>
        <v>0</v>
      </c>
      <c r="L12" s="15">
        <f t="shared" si="1"/>
        <v>0</v>
      </c>
      <c r="M12" s="15">
        <f t="shared" si="2"/>
        <v>0</v>
      </c>
      <c r="N12" s="15">
        <f t="shared" si="3"/>
        <v>0</v>
      </c>
      <c r="O12" s="15">
        <f t="shared" si="4"/>
        <v>0</v>
      </c>
      <c r="P12" s="15">
        <f t="shared" si="5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15">
        <f t="shared" si="0"/>
        <v>0</v>
      </c>
      <c r="L13" s="15">
        <f t="shared" si="1"/>
        <v>0</v>
      </c>
      <c r="M13" s="15">
        <f t="shared" si="2"/>
        <v>0</v>
      </c>
      <c r="N13" s="15">
        <f t="shared" si="3"/>
        <v>0</v>
      </c>
      <c r="O13" s="15">
        <f t="shared" si="4"/>
        <v>0</v>
      </c>
      <c r="P13" s="15">
        <f t="shared" si="5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15">
        <f t="shared" si="0"/>
        <v>0</v>
      </c>
      <c r="L14" s="15">
        <f t="shared" si="1"/>
        <v>0</v>
      </c>
      <c r="M14" s="15">
        <f t="shared" si="2"/>
        <v>0</v>
      </c>
      <c r="N14" s="15">
        <f t="shared" si="3"/>
        <v>0</v>
      </c>
      <c r="O14" s="15">
        <f t="shared" si="4"/>
        <v>0</v>
      </c>
      <c r="P14" s="15">
        <f t="shared" si="5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15">
        <f t="shared" si="0"/>
        <v>0</v>
      </c>
      <c r="L15" s="15">
        <f t="shared" si="1"/>
        <v>0</v>
      </c>
      <c r="M15" s="15">
        <f t="shared" si="2"/>
        <v>0</v>
      </c>
      <c r="N15" s="15">
        <f t="shared" si="3"/>
        <v>0</v>
      </c>
      <c r="O15" s="15">
        <f t="shared" si="4"/>
        <v>0</v>
      </c>
      <c r="P15" s="15">
        <f t="shared" si="5"/>
        <v>0</v>
      </c>
      <c r="Q15" s="6" t="str">
        <f t="shared" si="6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15">
        <f t="shared" si="0"/>
        <v>0</v>
      </c>
      <c r="L16" s="15">
        <f t="shared" si="1"/>
        <v>0</v>
      </c>
      <c r="M16" s="15">
        <f t="shared" si="2"/>
        <v>0</v>
      </c>
      <c r="N16" s="15">
        <f t="shared" si="3"/>
        <v>0</v>
      </c>
      <c r="O16" s="15">
        <f t="shared" si="4"/>
        <v>0</v>
      </c>
      <c r="P16" s="15">
        <f t="shared" si="5"/>
        <v>0</v>
      </c>
      <c r="Q16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6">
    <cfRule type="expression" dxfId="23" priority="1">
      <formula>Q3="Alert"</formula>
    </cfRule>
    <cfRule type="expression" dxfId="22" priority="2">
      <formula>Q3="Yes"</formula>
    </cfRule>
    <cfRule type="expression" dxfId="21" priority="3">
      <formula>Q3="No"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4D093-6D0A-466E-A8A1-894B3E0259D0}">
  <dimension ref="A1:Q16"/>
  <sheetViews>
    <sheetView topLeftCell="F1" workbookViewId="0">
      <selection activeCell="K4" sqref="K4:P4"/>
    </sheetView>
  </sheetViews>
  <sheetFormatPr defaultRowHeight="14.4" x14ac:dyDescent="0.3"/>
  <cols>
    <col min="1" max="1" width="15" customWidth="1"/>
    <col min="2" max="2" width="9" bestFit="1" customWidth="1"/>
    <col min="3" max="3" width="12" bestFit="1" customWidth="1"/>
    <col min="4" max="4" width="17.44140625" bestFit="1" customWidth="1"/>
    <col min="5" max="5" width="12" customWidth="1"/>
    <col min="6" max="6" width="11.5546875" customWidth="1"/>
    <col min="7" max="7" width="12.33203125" customWidth="1"/>
    <col min="8" max="8" width="12" customWidth="1"/>
    <col min="9" max="9" width="11.109375" customWidth="1"/>
    <col min="10" max="10" width="11.33203125" customWidth="1"/>
    <col min="11" max="11" width="11.44140625" customWidth="1"/>
    <col min="12" max="12" width="13.44140625" customWidth="1"/>
    <col min="13" max="13" width="11.44140625" customWidth="1"/>
    <col min="14" max="14" width="18.33203125" bestFit="1" customWidth="1"/>
    <col min="15" max="15" width="13.5546875" customWidth="1"/>
    <col min="16" max="16" width="14.5546875" customWidth="1"/>
    <col min="17" max="17" width="12.88671875" customWidth="1"/>
  </cols>
  <sheetData>
    <row r="1" spans="1:17" ht="15" customHeight="1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x14ac:dyDescent="0.3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</row>
    <row r="3" spans="1:17" x14ac:dyDescent="0.3">
      <c r="A3" s="7">
        <v>46103</v>
      </c>
      <c r="B3" s="4" t="s">
        <v>5</v>
      </c>
      <c r="C3" s="4" t="s">
        <v>180</v>
      </c>
      <c r="D3" s="4">
        <v>0.92</v>
      </c>
      <c r="E3" s="4">
        <v>0.92210000000000003</v>
      </c>
      <c r="F3" s="4">
        <v>1.3765000000000001</v>
      </c>
      <c r="G3" s="4">
        <v>1.8243</v>
      </c>
      <c r="H3" s="4">
        <v>3.0261999999999998</v>
      </c>
      <c r="I3" s="4">
        <v>3.6562999999999999</v>
      </c>
      <c r="J3" s="4">
        <v>4.5702999999999996</v>
      </c>
      <c r="K3" s="5">
        <f t="shared" ref="K3:K16" si="0">IF(D3=0, 0, 100*(E3 - D3*1)/(D3*1))</f>
        <v>0.22826086956521638</v>
      </c>
      <c r="L3" s="5">
        <f t="shared" ref="L3:L16" si="1">IF(D3=0, 0, 100*(F3 - D3*1.5)/(D3*1.5))</f>
        <v>-0.25362318840580134</v>
      </c>
      <c r="M3" s="5">
        <f t="shared" ref="M3:M16" si="2">IF(D3=0, 0, 100*(G3 - D3*2)/(D3*2))</f>
        <v>-0.85326086956521996</v>
      </c>
      <c r="N3" s="5">
        <f t="shared" ref="N3:N16" si="3">IF(D3=0, 0, 100*(H3 - D3*3.3)/(D3*3.3))</f>
        <v>-0.32279314888011373</v>
      </c>
      <c r="O3" s="5">
        <f t="shared" ref="O3:O16" si="4">IF(D3=0, 0, 100*(I3 - D3*4)/(D3*4))</f>
        <v>-0.64402173913044225</v>
      </c>
      <c r="P3" s="5">
        <f t="shared" ref="P3:P16" si="5">IF(D3=0, 0, 100*(J3 - D3*5)/(D3*5))</f>
        <v>-0.64565217391306406</v>
      </c>
      <c r="Q3" s="4" t="str">
        <f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>
        <v>46212</v>
      </c>
      <c r="B4" s="6" t="s">
        <v>5</v>
      </c>
      <c r="C4" s="6" t="s">
        <v>140</v>
      </c>
      <c r="D4" s="6">
        <v>0.92</v>
      </c>
      <c r="E4" s="4">
        <v>0.92200000000000004</v>
      </c>
      <c r="F4" s="6">
        <v>1.3763000000000001</v>
      </c>
      <c r="G4" s="17">
        <v>1.8240000000000001</v>
      </c>
      <c r="H4" s="6">
        <v>3.0255000000000001</v>
      </c>
      <c r="I4" s="6">
        <v>3.6543000000000001</v>
      </c>
      <c r="J4" s="6">
        <v>4.5693000000000001</v>
      </c>
      <c r="K4" s="5">
        <f t="shared" si="0"/>
        <v>0.21739130434782628</v>
      </c>
      <c r="L4" s="15">
        <f t="shared" si="1"/>
        <v>-0.26811594202898814</v>
      </c>
      <c r="M4" s="15">
        <f t="shared" si="2"/>
        <v>-0.8695652173913051</v>
      </c>
      <c r="N4" s="15">
        <f t="shared" si="3"/>
        <v>-0.34584980237153995</v>
      </c>
      <c r="O4" s="15">
        <f t="shared" si="4"/>
        <v>-0.6983695652173928</v>
      </c>
      <c r="P4" s="15">
        <f t="shared" si="5"/>
        <v>-0.66739130434783456</v>
      </c>
      <c r="Q4" s="6" t="str">
        <f>IF(AND(K4&gt;=0.11,K4&lt;=0.27,L4&gt;=-0.36,L4&lt;=-0.22,M4&gt;=-0.92,M4&lt;=-0.82,N4&gt;=-0.4,N4&lt;=-0.3,O4&gt;=-0.79,O4&lt;=-0.64,P4&gt;=-0.76,P4&lt;=-0.61), "Yes", IF(AND(K4=0,L4=0,M4=0,N4=0,O4=0,P4=0), "Ready to test", "No"))</f>
        <v>Yes</v>
      </c>
    </row>
    <row r="5" spans="1:17" x14ac:dyDescent="0.3">
      <c r="A5" s="16"/>
      <c r="B5" s="6"/>
      <c r="C5" s="6"/>
      <c r="D5" s="6"/>
      <c r="E5" s="6"/>
      <c r="F5" s="6"/>
      <c r="G5" s="6"/>
      <c r="H5" s="6"/>
      <c r="I5" s="6"/>
      <c r="J5" s="6"/>
      <c r="K5" s="15">
        <f t="shared" si="0"/>
        <v>0</v>
      </c>
      <c r="L5" s="15">
        <f t="shared" si="1"/>
        <v>0</v>
      </c>
      <c r="M5" s="15">
        <f t="shared" si="2"/>
        <v>0</v>
      </c>
      <c r="N5" s="15">
        <f t="shared" si="3"/>
        <v>0</v>
      </c>
      <c r="O5" s="15">
        <f t="shared" si="4"/>
        <v>0</v>
      </c>
      <c r="P5" s="15">
        <f t="shared" si="5"/>
        <v>0</v>
      </c>
      <c r="Q5" s="6" t="str">
        <f>IF(AND(K5&gt;=0.11,K5&lt;=0.27,L5&gt;=-0.38,L5&lt;=-0.22,M5&gt;=-0.94,M5&lt;=-0.82,N5&gt;=-0.41,N5&lt;=-0.3,O5&gt;=-0.79,O5&lt;=-0.64,P5&gt;=-0.76,P5&lt;=-0.61), "Yes", IF(AND(K5=0,L5=0,M5=0,N5=0,O5=0,P5=0), "Ready to test", "No"))</f>
        <v>Ready to test</v>
      </c>
    </row>
    <row r="6" spans="1:17" x14ac:dyDescent="0.3">
      <c r="A6" s="16"/>
      <c r="B6" s="6"/>
      <c r="C6" s="6"/>
      <c r="D6" s="6"/>
      <c r="E6" s="6"/>
      <c r="F6" s="6"/>
      <c r="G6" s="17"/>
      <c r="H6" s="6"/>
      <c r="I6" s="6"/>
      <c r="J6" s="6"/>
      <c r="K6" s="15">
        <f>IF(D6=0, 0, 100*(#REF! - D6*1)/(D6*1))</f>
        <v>0</v>
      </c>
      <c r="L6" s="15">
        <f t="shared" si="1"/>
        <v>0</v>
      </c>
      <c r="M6" s="15">
        <f t="shared" si="2"/>
        <v>0</v>
      </c>
      <c r="N6" s="15">
        <f t="shared" si="3"/>
        <v>0</v>
      </c>
      <c r="O6" s="15">
        <f t="shared" si="4"/>
        <v>0</v>
      </c>
      <c r="P6" s="15">
        <f t="shared" si="5"/>
        <v>0</v>
      </c>
      <c r="Q6" s="6" t="str">
        <f t="shared" ref="Q6:Q16" si="6">IF(AND(K6&gt;=0.11,K6&lt;=0.27,L6&gt;=-0.36,L6&lt;=-0.22,M6&gt;=-0.92,M6&lt;=-0.82,N6&gt;=-0.4,N6&lt;=-0.3,O6&gt;=-0.79,O6&lt;=-0.64,P6&gt;=-0.76,P6&lt;=-0.61), "Yes", IF(AND(K6=0,L6=0,M6=0,N6=0,O6=0,P6=0), "Ready to test", "No"))</f>
        <v>Ready to test</v>
      </c>
    </row>
    <row r="7" spans="1:17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15">
        <f t="shared" si="0"/>
        <v>0</v>
      </c>
      <c r="L7" s="15">
        <f t="shared" si="1"/>
        <v>0</v>
      </c>
      <c r="M7" s="15">
        <f t="shared" si="2"/>
        <v>0</v>
      </c>
      <c r="N7" s="15">
        <f t="shared" si="3"/>
        <v>0</v>
      </c>
      <c r="O7" s="15">
        <f t="shared" si="4"/>
        <v>0</v>
      </c>
      <c r="P7" s="15">
        <f t="shared" si="5"/>
        <v>0</v>
      </c>
      <c r="Q7" s="6" t="str">
        <f t="shared" si="6"/>
        <v>Ready to test</v>
      </c>
    </row>
    <row r="8" spans="1:17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15">
        <f t="shared" si="0"/>
        <v>0</v>
      </c>
      <c r="L8" s="15">
        <f t="shared" si="1"/>
        <v>0</v>
      </c>
      <c r="M8" s="15">
        <f t="shared" si="2"/>
        <v>0</v>
      </c>
      <c r="N8" s="15">
        <f t="shared" si="3"/>
        <v>0</v>
      </c>
      <c r="O8" s="15">
        <f t="shared" si="4"/>
        <v>0</v>
      </c>
      <c r="P8" s="15">
        <f t="shared" si="5"/>
        <v>0</v>
      </c>
      <c r="Q8" s="6" t="str">
        <f t="shared" si="6"/>
        <v>Ready to test</v>
      </c>
    </row>
    <row r="9" spans="1:17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15">
        <f t="shared" si="0"/>
        <v>0</v>
      </c>
      <c r="L9" s="15">
        <f t="shared" si="1"/>
        <v>0</v>
      </c>
      <c r="M9" s="15">
        <f t="shared" si="2"/>
        <v>0</v>
      </c>
      <c r="N9" s="15">
        <f t="shared" si="3"/>
        <v>0</v>
      </c>
      <c r="O9" s="15">
        <f t="shared" si="4"/>
        <v>0</v>
      </c>
      <c r="P9" s="15">
        <f t="shared" si="5"/>
        <v>0</v>
      </c>
      <c r="Q9" s="6" t="str">
        <f t="shared" si="6"/>
        <v>Ready to test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15">
        <f t="shared" si="0"/>
        <v>0</v>
      </c>
      <c r="L10" s="15">
        <f t="shared" si="1"/>
        <v>0</v>
      </c>
      <c r="M10" s="15">
        <f t="shared" si="2"/>
        <v>0</v>
      </c>
      <c r="N10" s="15">
        <f t="shared" si="3"/>
        <v>0</v>
      </c>
      <c r="O10" s="15">
        <f t="shared" si="4"/>
        <v>0</v>
      </c>
      <c r="P10" s="15">
        <f t="shared" si="5"/>
        <v>0</v>
      </c>
      <c r="Q10" s="6" t="str">
        <f t="shared" si="6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15">
        <f t="shared" si="0"/>
        <v>0</v>
      </c>
      <c r="L11" s="15">
        <f t="shared" si="1"/>
        <v>0</v>
      </c>
      <c r="M11" s="15">
        <f t="shared" si="2"/>
        <v>0</v>
      </c>
      <c r="N11" s="15">
        <f t="shared" si="3"/>
        <v>0</v>
      </c>
      <c r="O11" s="15">
        <f t="shared" si="4"/>
        <v>0</v>
      </c>
      <c r="P11" s="15">
        <f t="shared" si="5"/>
        <v>0</v>
      </c>
      <c r="Q11" s="6" t="str">
        <f t="shared" si="6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15">
        <f t="shared" si="0"/>
        <v>0</v>
      </c>
      <c r="L12" s="15">
        <f t="shared" si="1"/>
        <v>0</v>
      </c>
      <c r="M12" s="15">
        <f t="shared" si="2"/>
        <v>0</v>
      </c>
      <c r="N12" s="15">
        <f t="shared" si="3"/>
        <v>0</v>
      </c>
      <c r="O12" s="15">
        <f t="shared" si="4"/>
        <v>0</v>
      </c>
      <c r="P12" s="15">
        <f t="shared" si="5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15">
        <f t="shared" si="0"/>
        <v>0</v>
      </c>
      <c r="L13" s="15">
        <f t="shared" si="1"/>
        <v>0</v>
      </c>
      <c r="M13" s="15">
        <f t="shared" si="2"/>
        <v>0</v>
      </c>
      <c r="N13" s="15">
        <f t="shared" si="3"/>
        <v>0</v>
      </c>
      <c r="O13" s="15">
        <f t="shared" si="4"/>
        <v>0</v>
      </c>
      <c r="P13" s="15">
        <f t="shared" si="5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15">
        <f t="shared" si="0"/>
        <v>0</v>
      </c>
      <c r="L14" s="15">
        <f t="shared" si="1"/>
        <v>0</v>
      </c>
      <c r="M14" s="15">
        <f t="shared" si="2"/>
        <v>0</v>
      </c>
      <c r="N14" s="15">
        <f t="shared" si="3"/>
        <v>0</v>
      </c>
      <c r="O14" s="15">
        <f t="shared" si="4"/>
        <v>0</v>
      </c>
      <c r="P14" s="15">
        <f t="shared" si="5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15">
        <f t="shared" si="0"/>
        <v>0</v>
      </c>
      <c r="L15" s="15">
        <f t="shared" si="1"/>
        <v>0</v>
      </c>
      <c r="M15" s="15">
        <f t="shared" si="2"/>
        <v>0</v>
      </c>
      <c r="N15" s="15">
        <f t="shared" si="3"/>
        <v>0</v>
      </c>
      <c r="O15" s="15">
        <f t="shared" si="4"/>
        <v>0</v>
      </c>
      <c r="P15" s="15">
        <f t="shared" si="5"/>
        <v>0</v>
      </c>
      <c r="Q15" s="6" t="str">
        <f t="shared" si="6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15">
        <f t="shared" si="0"/>
        <v>0</v>
      </c>
      <c r="L16" s="15">
        <f t="shared" si="1"/>
        <v>0</v>
      </c>
      <c r="M16" s="15">
        <f t="shared" si="2"/>
        <v>0</v>
      </c>
      <c r="N16" s="15">
        <f t="shared" si="3"/>
        <v>0</v>
      </c>
      <c r="O16" s="15">
        <f t="shared" si="4"/>
        <v>0</v>
      </c>
      <c r="P16" s="15">
        <f t="shared" si="5"/>
        <v>0</v>
      </c>
      <c r="Q16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6">
    <cfRule type="expression" dxfId="20" priority="1">
      <formula>Q3="Alert"</formula>
    </cfRule>
    <cfRule type="expression" dxfId="19" priority="2">
      <formula>Q3="Yes"</formula>
    </cfRule>
    <cfRule type="expression" dxfId="18" priority="3">
      <formula>Q3="No"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3A2CB-A22C-419D-9F20-7564E6647B39}">
  <dimension ref="A1:Q16"/>
  <sheetViews>
    <sheetView topLeftCell="J1" workbookViewId="0">
      <selection activeCell="K4" sqref="K4:P4"/>
    </sheetView>
  </sheetViews>
  <sheetFormatPr defaultRowHeight="14.4" x14ac:dyDescent="0.3"/>
  <cols>
    <col min="1" max="1" width="15" customWidth="1"/>
    <col min="2" max="2" width="9" bestFit="1" customWidth="1"/>
    <col min="3" max="3" width="12" bestFit="1" customWidth="1"/>
    <col min="4" max="4" width="17.44140625" bestFit="1" customWidth="1"/>
    <col min="5" max="5" width="12" customWidth="1"/>
    <col min="6" max="6" width="11.5546875" customWidth="1"/>
    <col min="7" max="7" width="12.33203125" customWidth="1"/>
    <col min="8" max="8" width="12" customWidth="1"/>
    <col min="9" max="9" width="11.109375" customWidth="1"/>
    <col min="10" max="10" width="11.33203125" customWidth="1"/>
    <col min="11" max="11" width="11.44140625" customWidth="1"/>
    <col min="12" max="12" width="13.44140625" customWidth="1"/>
    <col min="13" max="13" width="11.44140625" customWidth="1"/>
    <col min="14" max="14" width="18.33203125" bestFit="1" customWidth="1"/>
    <col min="15" max="15" width="13.5546875" customWidth="1"/>
    <col min="16" max="16" width="14.5546875" customWidth="1"/>
    <col min="17" max="17" width="12.88671875" customWidth="1"/>
  </cols>
  <sheetData>
    <row r="1" spans="1:17" ht="15" customHeight="1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x14ac:dyDescent="0.3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</row>
    <row r="3" spans="1:17" x14ac:dyDescent="0.3">
      <c r="A3" s="7">
        <v>46112</v>
      </c>
      <c r="B3" s="4" t="s">
        <v>5</v>
      </c>
      <c r="C3" s="4"/>
      <c r="D3" s="4">
        <v>0.92</v>
      </c>
      <c r="E3" s="4">
        <v>0.92220000000000002</v>
      </c>
      <c r="F3" s="4">
        <v>1.3768</v>
      </c>
      <c r="G3" s="4">
        <v>1.8233999999999999</v>
      </c>
      <c r="H3" s="4">
        <v>3.0251999999999999</v>
      </c>
      <c r="I3" s="4">
        <v>3.6543999999999999</v>
      </c>
      <c r="J3" s="4">
        <v>4.5694999999999997</v>
      </c>
      <c r="K3" s="5">
        <f t="shared" ref="K3:K16" si="0">IF(D3=0, 0, 100*(E3 - D3*1)/(D3*1))</f>
        <v>0.23913043478260648</v>
      </c>
      <c r="L3" s="5">
        <f t="shared" ref="L3:L16" si="1">IF(D3=0, 0, 100*(F3 - D3*1.5)/(D3*1.5))</f>
        <v>-0.23188405797102113</v>
      </c>
      <c r="M3" s="5">
        <f t="shared" ref="M3:M16" si="2">IF(D3=0, 0, 100*(G3 - D3*2)/(D3*2))</f>
        <v>-0.90217391304348749</v>
      </c>
      <c r="N3" s="5">
        <f t="shared" ref="N3:N16" si="3">IF(D3=0, 0, 100*(H3 - D3*3.3)/(D3*3.3))</f>
        <v>-0.35573122529644741</v>
      </c>
      <c r="O3" s="5">
        <f t="shared" ref="O3:O16" si="4">IF(D3=0, 0, 100*(I3 - D3*4)/(D3*4))</f>
        <v>-0.69565217391305134</v>
      </c>
      <c r="P3" s="5">
        <f t="shared" ref="P3:P16" si="5">IF(D3=0, 0, 100*(J3 - D3*5)/(D3*5))</f>
        <v>-0.66304347826088816</v>
      </c>
      <c r="Q3" s="4" t="str">
        <f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>
        <v>46212</v>
      </c>
      <c r="B4" s="6" t="s">
        <v>5</v>
      </c>
      <c r="C4" s="6" t="s">
        <v>140</v>
      </c>
      <c r="D4" s="6">
        <v>0.92</v>
      </c>
      <c r="E4" s="6">
        <v>0.92200000000000004</v>
      </c>
      <c r="F4" s="6">
        <v>1.3764000000000001</v>
      </c>
      <c r="G4" s="17">
        <v>1.8241000000000001</v>
      </c>
      <c r="H4" s="6">
        <v>3.0257999999999998</v>
      </c>
      <c r="I4" s="6">
        <v>3.6551</v>
      </c>
      <c r="J4" s="6">
        <v>4.5697000000000001</v>
      </c>
      <c r="K4" s="15">
        <f t="shared" si="0"/>
        <v>0.21739130434782628</v>
      </c>
      <c r="L4" s="15">
        <f t="shared" si="1"/>
        <v>-0.26086956521739474</v>
      </c>
      <c r="M4" s="15">
        <f t="shared" si="2"/>
        <v>-0.86413043478260998</v>
      </c>
      <c r="N4" s="15">
        <f t="shared" si="3"/>
        <v>-0.3359683794466472</v>
      </c>
      <c r="O4" s="15">
        <f t="shared" si="4"/>
        <v>-0.67663043478261253</v>
      </c>
      <c r="P4" s="15">
        <f t="shared" si="5"/>
        <v>-0.65869565217392245</v>
      </c>
      <c r="Q4" s="6" t="str">
        <f>IF(AND(K4&gt;=0.11,K4&lt;=0.27,L4&gt;=-0.36,L4&lt;=-0.22,M4&gt;=-0.92,M4&lt;=-0.82,N4&gt;=-0.4,N4&lt;=-0.3,O4&gt;=-0.79,O4&lt;=-0.64,P4&gt;=-0.76,P4&lt;=-0.61), "Yes", IF(AND(K4=0,L4=0,M4=0,N4=0,O4=0,P4=0), "Ready to test", "No"))</f>
        <v>Yes</v>
      </c>
    </row>
    <row r="5" spans="1:17" x14ac:dyDescent="0.3">
      <c r="A5" s="16"/>
      <c r="B5" s="6"/>
      <c r="C5" s="6"/>
      <c r="D5" s="6"/>
      <c r="E5" s="6"/>
      <c r="F5" s="6"/>
      <c r="G5" s="6"/>
      <c r="H5" s="6"/>
      <c r="I5" s="6"/>
      <c r="J5" s="6"/>
      <c r="K5" s="15">
        <f t="shared" si="0"/>
        <v>0</v>
      </c>
      <c r="L5" s="15">
        <f t="shared" si="1"/>
        <v>0</v>
      </c>
      <c r="M5" s="15">
        <f t="shared" si="2"/>
        <v>0</v>
      </c>
      <c r="N5" s="15">
        <f t="shared" si="3"/>
        <v>0</v>
      </c>
      <c r="O5" s="15">
        <f t="shared" si="4"/>
        <v>0</v>
      </c>
      <c r="P5" s="15">
        <f t="shared" si="5"/>
        <v>0</v>
      </c>
      <c r="Q5" s="6" t="str">
        <f>IF(AND(K5&gt;=0.11,K5&lt;=0.27,L5&gt;=-0.38,L5&lt;=-0.22,M5&gt;=-0.94,M5&lt;=-0.82,N5&gt;=-0.41,N5&lt;=-0.3,O5&gt;=-0.79,O5&lt;=-0.64,P5&gt;=-0.76,P5&lt;=-0.61), "Yes", IF(AND(K5=0,L5=0,M5=0,N5=0,O5=0,P5=0), "Ready to test", "No"))</f>
        <v>Ready to test</v>
      </c>
    </row>
    <row r="6" spans="1:17" x14ac:dyDescent="0.3">
      <c r="A6" s="16"/>
      <c r="B6" s="6"/>
      <c r="C6" s="6"/>
      <c r="D6" s="6"/>
      <c r="E6" s="6"/>
      <c r="F6" s="6"/>
      <c r="G6" s="17"/>
      <c r="H6" s="6"/>
      <c r="I6" s="6"/>
      <c r="J6" s="6"/>
      <c r="K6" s="15">
        <f t="shared" si="0"/>
        <v>0</v>
      </c>
      <c r="L6" s="15">
        <f t="shared" si="1"/>
        <v>0</v>
      </c>
      <c r="M6" s="15">
        <f t="shared" si="2"/>
        <v>0</v>
      </c>
      <c r="N6" s="15">
        <f t="shared" si="3"/>
        <v>0</v>
      </c>
      <c r="O6" s="15">
        <f t="shared" si="4"/>
        <v>0</v>
      </c>
      <c r="P6" s="15">
        <f t="shared" si="5"/>
        <v>0</v>
      </c>
      <c r="Q6" s="6" t="str">
        <f t="shared" ref="Q6:Q16" si="6">IF(AND(K6&gt;=0.11,K6&lt;=0.27,L6&gt;=-0.36,L6&lt;=-0.22,M6&gt;=-0.92,M6&lt;=-0.82,N6&gt;=-0.4,N6&lt;=-0.3,O6&gt;=-0.79,O6&lt;=-0.64,P6&gt;=-0.76,P6&lt;=-0.61), "Yes", IF(AND(K6=0,L6=0,M6=0,N6=0,O6=0,P6=0), "Ready to test", "No"))</f>
        <v>Ready to test</v>
      </c>
    </row>
    <row r="7" spans="1:17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15">
        <f t="shared" si="0"/>
        <v>0</v>
      </c>
      <c r="L7" s="15">
        <f t="shared" si="1"/>
        <v>0</v>
      </c>
      <c r="M7" s="15">
        <f t="shared" si="2"/>
        <v>0</v>
      </c>
      <c r="N7" s="15">
        <f t="shared" si="3"/>
        <v>0</v>
      </c>
      <c r="O7" s="15">
        <f t="shared" si="4"/>
        <v>0</v>
      </c>
      <c r="P7" s="15">
        <f t="shared" si="5"/>
        <v>0</v>
      </c>
      <c r="Q7" s="6" t="str">
        <f t="shared" si="6"/>
        <v>Ready to test</v>
      </c>
    </row>
    <row r="8" spans="1:17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15">
        <f t="shared" si="0"/>
        <v>0</v>
      </c>
      <c r="L8" s="15">
        <f t="shared" si="1"/>
        <v>0</v>
      </c>
      <c r="M8" s="15">
        <f t="shared" si="2"/>
        <v>0</v>
      </c>
      <c r="N8" s="15">
        <f t="shared" si="3"/>
        <v>0</v>
      </c>
      <c r="O8" s="15">
        <f t="shared" si="4"/>
        <v>0</v>
      </c>
      <c r="P8" s="15">
        <f t="shared" si="5"/>
        <v>0</v>
      </c>
      <c r="Q8" s="6" t="str">
        <f t="shared" si="6"/>
        <v>Ready to test</v>
      </c>
    </row>
    <row r="9" spans="1:17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15">
        <f t="shared" si="0"/>
        <v>0</v>
      </c>
      <c r="L9" s="15">
        <f t="shared" si="1"/>
        <v>0</v>
      </c>
      <c r="M9" s="15">
        <f t="shared" si="2"/>
        <v>0</v>
      </c>
      <c r="N9" s="15">
        <f t="shared" si="3"/>
        <v>0</v>
      </c>
      <c r="O9" s="15">
        <f t="shared" si="4"/>
        <v>0</v>
      </c>
      <c r="P9" s="15">
        <f t="shared" si="5"/>
        <v>0</v>
      </c>
      <c r="Q9" s="6" t="str">
        <f t="shared" si="6"/>
        <v>Ready to test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15">
        <f t="shared" si="0"/>
        <v>0</v>
      </c>
      <c r="L10" s="15">
        <f t="shared" si="1"/>
        <v>0</v>
      </c>
      <c r="M10" s="15">
        <f t="shared" si="2"/>
        <v>0</v>
      </c>
      <c r="N10" s="15">
        <f t="shared" si="3"/>
        <v>0</v>
      </c>
      <c r="O10" s="15">
        <f t="shared" si="4"/>
        <v>0</v>
      </c>
      <c r="P10" s="15">
        <f t="shared" si="5"/>
        <v>0</v>
      </c>
      <c r="Q10" s="6" t="str">
        <f t="shared" si="6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15">
        <f t="shared" si="0"/>
        <v>0</v>
      </c>
      <c r="L11" s="15">
        <f t="shared" si="1"/>
        <v>0</v>
      </c>
      <c r="M11" s="15">
        <f t="shared" si="2"/>
        <v>0</v>
      </c>
      <c r="N11" s="15">
        <f t="shared" si="3"/>
        <v>0</v>
      </c>
      <c r="O11" s="15">
        <f t="shared" si="4"/>
        <v>0</v>
      </c>
      <c r="P11" s="15">
        <f t="shared" si="5"/>
        <v>0</v>
      </c>
      <c r="Q11" s="6" t="str">
        <f t="shared" si="6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15">
        <f t="shared" si="0"/>
        <v>0</v>
      </c>
      <c r="L12" s="15">
        <f t="shared" si="1"/>
        <v>0</v>
      </c>
      <c r="M12" s="15">
        <f t="shared" si="2"/>
        <v>0</v>
      </c>
      <c r="N12" s="15">
        <f t="shared" si="3"/>
        <v>0</v>
      </c>
      <c r="O12" s="15">
        <f t="shared" si="4"/>
        <v>0</v>
      </c>
      <c r="P12" s="15">
        <f t="shared" si="5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15">
        <f t="shared" si="0"/>
        <v>0</v>
      </c>
      <c r="L13" s="15">
        <f t="shared" si="1"/>
        <v>0</v>
      </c>
      <c r="M13" s="15">
        <f t="shared" si="2"/>
        <v>0</v>
      </c>
      <c r="N13" s="15">
        <f t="shared" si="3"/>
        <v>0</v>
      </c>
      <c r="O13" s="15">
        <f t="shared" si="4"/>
        <v>0</v>
      </c>
      <c r="P13" s="15">
        <f t="shared" si="5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15">
        <f t="shared" si="0"/>
        <v>0</v>
      </c>
      <c r="L14" s="15">
        <f t="shared" si="1"/>
        <v>0</v>
      </c>
      <c r="M14" s="15">
        <f t="shared" si="2"/>
        <v>0</v>
      </c>
      <c r="N14" s="15">
        <f t="shared" si="3"/>
        <v>0</v>
      </c>
      <c r="O14" s="15">
        <f t="shared" si="4"/>
        <v>0</v>
      </c>
      <c r="P14" s="15">
        <f t="shared" si="5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15">
        <f t="shared" si="0"/>
        <v>0</v>
      </c>
      <c r="L15" s="15">
        <f t="shared" si="1"/>
        <v>0</v>
      </c>
      <c r="M15" s="15">
        <f t="shared" si="2"/>
        <v>0</v>
      </c>
      <c r="N15" s="15">
        <f t="shared" si="3"/>
        <v>0</v>
      </c>
      <c r="O15" s="15">
        <f t="shared" si="4"/>
        <v>0</v>
      </c>
      <c r="P15" s="15">
        <f t="shared" si="5"/>
        <v>0</v>
      </c>
      <c r="Q15" s="6" t="str">
        <f t="shared" si="6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15">
        <f t="shared" si="0"/>
        <v>0</v>
      </c>
      <c r="L16" s="15">
        <f t="shared" si="1"/>
        <v>0</v>
      </c>
      <c r="M16" s="15">
        <f t="shared" si="2"/>
        <v>0</v>
      </c>
      <c r="N16" s="15">
        <f t="shared" si="3"/>
        <v>0</v>
      </c>
      <c r="O16" s="15">
        <f t="shared" si="4"/>
        <v>0</v>
      </c>
      <c r="P16" s="15">
        <f t="shared" si="5"/>
        <v>0</v>
      </c>
      <c r="Q16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6">
    <cfRule type="expression" dxfId="17" priority="1">
      <formula>Q3="Alert"</formula>
    </cfRule>
    <cfRule type="expression" dxfId="16" priority="2">
      <formula>Q3="Yes"</formula>
    </cfRule>
    <cfRule type="expression" dxfId="15" priority="3">
      <formula>Q3="No"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9B51E-BCD0-41DE-8C14-2823F8DC0F45}">
  <dimension ref="A1:Q16"/>
  <sheetViews>
    <sheetView topLeftCell="H1" workbookViewId="0">
      <selection activeCell="K4" sqref="K4:P4"/>
    </sheetView>
  </sheetViews>
  <sheetFormatPr defaultRowHeight="14.4" x14ac:dyDescent="0.3"/>
  <cols>
    <col min="1" max="1" width="15" customWidth="1"/>
    <col min="2" max="2" width="9" bestFit="1" customWidth="1"/>
    <col min="3" max="3" width="12" bestFit="1" customWidth="1"/>
    <col min="4" max="4" width="17.44140625" bestFit="1" customWidth="1"/>
    <col min="5" max="5" width="12" customWidth="1"/>
    <col min="6" max="6" width="11.5546875" customWidth="1"/>
    <col min="7" max="7" width="12.33203125" customWidth="1"/>
    <col min="8" max="8" width="12" customWidth="1"/>
    <col min="9" max="9" width="11.109375" customWidth="1"/>
    <col min="10" max="10" width="11.33203125" customWidth="1"/>
    <col min="11" max="11" width="11.44140625" customWidth="1"/>
    <col min="12" max="12" width="13.44140625" customWidth="1"/>
    <col min="13" max="13" width="11.44140625" customWidth="1"/>
    <col min="14" max="14" width="18.33203125" bestFit="1" customWidth="1"/>
    <col min="15" max="15" width="13.5546875" customWidth="1"/>
    <col min="16" max="16" width="14.5546875" customWidth="1"/>
    <col min="17" max="17" width="12.88671875" customWidth="1"/>
  </cols>
  <sheetData>
    <row r="1" spans="1:17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x14ac:dyDescent="0.3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</row>
    <row r="3" spans="1:17" x14ac:dyDescent="0.3">
      <c r="A3" s="7">
        <v>46112</v>
      </c>
      <c r="B3" s="4" t="s">
        <v>5</v>
      </c>
      <c r="C3" s="4" t="s">
        <v>174</v>
      </c>
      <c r="D3" s="4">
        <v>0.92</v>
      </c>
      <c r="E3" s="4">
        <v>0.92249999999999999</v>
      </c>
      <c r="F3" s="4">
        <v>1.377</v>
      </c>
      <c r="G3" s="4">
        <v>1.8244</v>
      </c>
      <c r="H3" s="4">
        <v>3.0257999999999998</v>
      </c>
      <c r="I3" s="4">
        <v>3.6556999999999999</v>
      </c>
      <c r="J3" s="4">
        <v>4.5693999999999999</v>
      </c>
      <c r="K3" s="5">
        <f t="shared" ref="K3:K16" si="0">IF(D3=0, 0, 100*(E3 - D3*1)/(D3*1))</f>
        <v>0.27173913043477682</v>
      </c>
      <c r="L3" s="5">
        <f t="shared" ref="L3:L16" si="1">IF(D3=0, 0, 100*(F3 - D3*1.5)/(D3*1.5))</f>
        <v>-0.2173913043478343</v>
      </c>
      <c r="M3" s="5">
        <f t="shared" ref="M3:M16" si="2">IF(D3=0, 0, 100*(G3 - D3*2)/(D3*2))</f>
        <v>-0.84782608695652484</v>
      </c>
      <c r="N3" s="5">
        <f t="shared" ref="N3:N16" si="3">IF(D3=0, 0, 100*(H3 - D3*3.3)/(D3*3.3))</f>
        <v>-0.3359683794466472</v>
      </c>
      <c r="O3" s="5">
        <f t="shared" ref="O3:O16" si="4">IF(D3=0, 0, 100*(I3 - D3*4)/(D3*4))</f>
        <v>-0.66032608695652739</v>
      </c>
      <c r="P3" s="5">
        <f t="shared" ref="P3:P16" si="5">IF(D3=0, 0, 100*(J3 - D3*5)/(D3*5))</f>
        <v>-0.66521739130436142</v>
      </c>
      <c r="Q3" s="4" t="str">
        <f>IF(AND(K3&gt;=0.11,K3&lt;=0.27,L3&gt;=-0.36,L3&lt;=-0.22,M3&gt;=-0.92,M3&lt;=-0.82,N3&gt;=-0.4,N3&lt;=-0.3,O3&gt;=-0.79,O3&lt;=-0.64,P3&gt;=-0.76,P3&lt;=-0.61), "Yes", IF(AND(K3=0,L3=0,M3=0,N3=0,O3=0,P3=0), "Ready to test", "No"))</f>
        <v>No</v>
      </c>
    </row>
    <row r="4" spans="1:17" x14ac:dyDescent="0.3">
      <c r="A4" s="16">
        <v>46212</v>
      </c>
      <c r="B4" s="6" t="s">
        <v>5</v>
      </c>
      <c r="C4" s="6" t="s">
        <v>140</v>
      </c>
      <c r="D4" s="6">
        <v>0.92</v>
      </c>
      <c r="E4" s="6">
        <v>0.92190000000000005</v>
      </c>
      <c r="F4" s="6">
        <v>1.3761000000000001</v>
      </c>
      <c r="G4" s="17">
        <v>1.8238000000000001</v>
      </c>
      <c r="H4" s="6">
        <v>3.0253999999999999</v>
      </c>
      <c r="I4" s="6">
        <v>3.6543000000000001</v>
      </c>
      <c r="J4" s="6">
        <v>4.5693000000000001</v>
      </c>
      <c r="K4" s="15">
        <f t="shared" si="0"/>
        <v>0.20652173913043617</v>
      </c>
      <c r="L4" s="15">
        <f t="shared" si="1"/>
        <v>-0.28260869565217495</v>
      </c>
      <c r="M4" s="15">
        <f t="shared" si="2"/>
        <v>-0.88043478260869523</v>
      </c>
      <c r="N4" s="15">
        <f t="shared" si="3"/>
        <v>-0.34914361001318067</v>
      </c>
      <c r="O4" s="15">
        <f t="shared" si="4"/>
        <v>-0.6983695652173928</v>
      </c>
      <c r="P4" s="15">
        <f t="shared" si="5"/>
        <v>-0.66739130434783456</v>
      </c>
      <c r="Q4" s="6" t="str">
        <f>IF(AND(K4&gt;=0.11,K4&lt;=0.27,L4&gt;=-0.36,L4&lt;=-0.22,M4&gt;=-0.92,M4&lt;=-0.82,N4&gt;=-0.4,N4&lt;=-0.3,O4&gt;=-0.79,O4&lt;=-0.64,P4&gt;=-0.76,P4&lt;=-0.61), "Yes", IF(AND(K4=0,L4=0,M4=0,N4=0,O4=0,P4=0), "Ready to test", "No"))</f>
        <v>Yes</v>
      </c>
    </row>
    <row r="5" spans="1:17" x14ac:dyDescent="0.3">
      <c r="A5" s="16"/>
      <c r="B5" s="6"/>
      <c r="C5" s="6"/>
      <c r="D5" s="6"/>
      <c r="E5" s="6"/>
      <c r="F5" s="6"/>
      <c r="G5" s="6"/>
      <c r="H5" s="6"/>
      <c r="I5" s="6"/>
      <c r="J5" s="6"/>
      <c r="K5" s="15">
        <f t="shared" si="0"/>
        <v>0</v>
      </c>
      <c r="L5" s="15">
        <f t="shared" si="1"/>
        <v>0</v>
      </c>
      <c r="M5" s="15">
        <f t="shared" si="2"/>
        <v>0</v>
      </c>
      <c r="N5" s="15">
        <f t="shared" si="3"/>
        <v>0</v>
      </c>
      <c r="O5" s="15">
        <f t="shared" si="4"/>
        <v>0</v>
      </c>
      <c r="P5" s="15">
        <f t="shared" si="5"/>
        <v>0</v>
      </c>
      <c r="Q5" s="6" t="str">
        <f>IF(AND(K5&gt;=0.11,K5&lt;=0.27,L5&gt;=-0.38,L5&lt;=-0.22,M5&gt;=-0.94,M5&lt;=-0.82,N5&gt;=-0.41,N5&lt;=-0.3,O5&gt;=-0.79,O5&lt;=-0.64,P5&gt;=-0.76,P5&lt;=-0.61), "Yes", IF(AND(K5=0,L5=0,M5=0,N5=0,O5=0,P5=0), "Ready to test", "No"))</f>
        <v>Ready to test</v>
      </c>
    </row>
    <row r="6" spans="1:17" x14ac:dyDescent="0.3">
      <c r="A6" s="16"/>
      <c r="B6" s="6"/>
      <c r="C6" s="6"/>
      <c r="D6" s="6"/>
      <c r="E6" s="6"/>
      <c r="F6" s="6"/>
      <c r="G6" s="17"/>
      <c r="H6" s="6"/>
      <c r="I6" s="6"/>
      <c r="J6" s="6"/>
      <c r="K6" s="15">
        <f t="shared" si="0"/>
        <v>0</v>
      </c>
      <c r="L6" s="15">
        <f t="shared" si="1"/>
        <v>0</v>
      </c>
      <c r="M6" s="15">
        <f t="shared" si="2"/>
        <v>0</v>
      </c>
      <c r="N6" s="15">
        <f t="shared" si="3"/>
        <v>0</v>
      </c>
      <c r="O6" s="15">
        <f t="shared" si="4"/>
        <v>0</v>
      </c>
      <c r="P6" s="15">
        <f t="shared" si="5"/>
        <v>0</v>
      </c>
      <c r="Q6" s="6" t="str">
        <f t="shared" ref="Q6:Q16" si="6">IF(AND(K6&gt;=0.11,K6&lt;=0.27,L6&gt;=-0.36,L6&lt;=-0.22,M6&gt;=-0.92,M6&lt;=-0.82,N6&gt;=-0.4,N6&lt;=-0.3,O6&gt;=-0.79,O6&lt;=-0.64,P6&gt;=-0.76,P6&lt;=-0.61), "Yes", IF(AND(K6=0,L6=0,M6=0,N6=0,O6=0,P6=0), "Ready to test", "No"))</f>
        <v>Ready to test</v>
      </c>
    </row>
    <row r="7" spans="1:17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15">
        <f t="shared" si="0"/>
        <v>0</v>
      </c>
      <c r="L7" s="15">
        <f t="shared" si="1"/>
        <v>0</v>
      </c>
      <c r="M7" s="15">
        <f t="shared" si="2"/>
        <v>0</v>
      </c>
      <c r="N7" s="15">
        <f t="shared" si="3"/>
        <v>0</v>
      </c>
      <c r="O7" s="15">
        <f t="shared" si="4"/>
        <v>0</v>
      </c>
      <c r="P7" s="15">
        <f t="shared" si="5"/>
        <v>0</v>
      </c>
      <c r="Q7" s="6" t="str">
        <f t="shared" si="6"/>
        <v>Ready to test</v>
      </c>
    </row>
    <row r="8" spans="1:17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15">
        <f t="shared" si="0"/>
        <v>0</v>
      </c>
      <c r="L8" s="15">
        <f t="shared" si="1"/>
        <v>0</v>
      </c>
      <c r="M8" s="15">
        <f t="shared" si="2"/>
        <v>0</v>
      </c>
      <c r="N8" s="15">
        <f t="shared" si="3"/>
        <v>0</v>
      </c>
      <c r="O8" s="15">
        <f t="shared" si="4"/>
        <v>0</v>
      </c>
      <c r="P8" s="15">
        <f t="shared" si="5"/>
        <v>0</v>
      </c>
      <c r="Q8" s="6" t="str">
        <f t="shared" si="6"/>
        <v>Ready to test</v>
      </c>
    </row>
    <row r="9" spans="1:17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15">
        <f t="shared" si="0"/>
        <v>0</v>
      </c>
      <c r="L9" s="15">
        <f t="shared" si="1"/>
        <v>0</v>
      </c>
      <c r="M9" s="15">
        <f t="shared" si="2"/>
        <v>0</v>
      </c>
      <c r="N9" s="15">
        <f t="shared" si="3"/>
        <v>0</v>
      </c>
      <c r="O9" s="15">
        <f t="shared" si="4"/>
        <v>0</v>
      </c>
      <c r="P9" s="15">
        <f t="shared" si="5"/>
        <v>0</v>
      </c>
      <c r="Q9" s="6" t="str">
        <f t="shared" si="6"/>
        <v>Ready to test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15">
        <f t="shared" si="0"/>
        <v>0</v>
      </c>
      <c r="L10" s="15">
        <f t="shared" si="1"/>
        <v>0</v>
      </c>
      <c r="M10" s="15">
        <f t="shared" si="2"/>
        <v>0</v>
      </c>
      <c r="N10" s="15">
        <f t="shared" si="3"/>
        <v>0</v>
      </c>
      <c r="O10" s="15">
        <f t="shared" si="4"/>
        <v>0</v>
      </c>
      <c r="P10" s="15">
        <f t="shared" si="5"/>
        <v>0</v>
      </c>
      <c r="Q10" s="6" t="str">
        <f t="shared" si="6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15">
        <f t="shared" si="0"/>
        <v>0</v>
      </c>
      <c r="L11" s="15">
        <f t="shared" si="1"/>
        <v>0</v>
      </c>
      <c r="M11" s="15">
        <f t="shared" si="2"/>
        <v>0</v>
      </c>
      <c r="N11" s="15">
        <f t="shared" si="3"/>
        <v>0</v>
      </c>
      <c r="O11" s="15">
        <f t="shared" si="4"/>
        <v>0</v>
      </c>
      <c r="P11" s="15">
        <f t="shared" si="5"/>
        <v>0</v>
      </c>
      <c r="Q11" s="6" t="str">
        <f t="shared" si="6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15">
        <f t="shared" si="0"/>
        <v>0</v>
      </c>
      <c r="L12" s="15">
        <f t="shared" si="1"/>
        <v>0</v>
      </c>
      <c r="M12" s="15">
        <f t="shared" si="2"/>
        <v>0</v>
      </c>
      <c r="N12" s="15">
        <f t="shared" si="3"/>
        <v>0</v>
      </c>
      <c r="O12" s="15">
        <f t="shared" si="4"/>
        <v>0</v>
      </c>
      <c r="P12" s="15">
        <f t="shared" si="5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15">
        <f t="shared" si="0"/>
        <v>0</v>
      </c>
      <c r="L13" s="15">
        <f t="shared" si="1"/>
        <v>0</v>
      </c>
      <c r="M13" s="15">
        <f t="shared" si="2"/>
        <v>0</v>
      </c>
      <c r="N13" s="15">
        <f t="shared" si="3"/>
        <v>0</v>
      </c>
      <c r="O13" s="15">
        <f t="shared" si="4"/>
        <v>0</v>
      </c>
      <c r="P13" s="15">
        <f t="shared" si="5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15">
        <f t="shared" si="0"/>
        <v>0</v>
      </c>
      <c r="L14" s="15">
        <f t="shared" si="1"/>
        <v>0</v>
      </c>
      <c r="M14" s="15">
        <f t="shared" si="2"/>
        <v>0</v>
      </c>
      <c r="N14" s="15">
        <f t="shared" si="3"/>
        <v>0</v>
      </c>
      <c r="O14" s="15">
        <f t="shared" si="4"/>
        <v>0</v>
      </c>
      <c r="P14" s="15">
        <f t="shared" si="5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15">
        <f t="shared" si="0"/>
        <v>0</v>
      </c>
      <c r="L15" s="15">
        <f t="shared" si="1"/>
        <v>0</v>
      </c>
      <c r="M15" s="15">
        <f t="shared" si="2"/>
        <v>0</v>
      </c>
      <c r="N15" s="15">
        <f t="shared" si="3"/>
        <v>0</v>
      </c>
      <c r="O15" s="15">
        <f t="shared" si="4"/>
        <v>0</v>
      </c>
      <c r="P15" s="15">
        <f t="shared" si="5"/>
        <v>0</v>
      </c>
      <c r="Q15" s="6" t="str">
        <f t="shared" si="6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15">
        <f t="shared" si="0"/>
        <v>0</v>
      </c>
      <c r="L16" s="15">
        <f t="shared" si="1"/>
        <v>0</v>
      </c>
      <c r="M16" s="15">
        <f t="shared" si="2"/>
        <v>0</v>
      </c>
      <c r="N16" s="15">
        <f t="shared" si="3"/>
        <v>0</v>
      </c>
      <c r="O16" s="15">
        <f t="shared" si="4"/>
        <v>0</v>
      </c>
      <c r="P16" s="15">
        <f t="shared" si="5"/>
        <v>0</v>
      </c>
      <c r="Q16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6">
    <cfRule type="expression" dxfId="14" priority="1">
      <formula>Q3="Alert"</formula>
    </cfRule>
    <cfRule type="expression" dxfId="13" priority="2">
      <formula>Q3="Yes"</formula>
    </cfRule>
    <cfRule type="expression" dxfId="12" priority="3">
      <formula>Q3="No"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74B5-91BA-493E-86AE-F50A9736B28E}">
  <dimension ref="A1:Q16"/>
  <sheetViews>
    <sheetView topLeftCell="J1" workbookViewId="0">
      <selection activeCell="K4" sqref="K4:P4"/>
    </sheetView>
  </sheetViews>
  <sheetFormatPr defaultRowHeight="14.4" x14ac:dyDescent="0.3"/>
  <cols>
    <col min="1" max="1" width="15" customWidth="1"/>
    <col min="2" max="2" width="9" bestFit="1" customWidth="1"/>
    <col min="3" max="3" width="12" bestFit="1" customWidth="1"/>
    <col min="4" max="4" width="17.44140625" bestFit="1" customWidth="1"/>
    <col min="5" max="5" width="12" customWidth="1"/>
    <col min="6" max="6" width="11.5546875" customWidth="1"/>
    <col min="7" max="7" width="12.33203125" customWidth="1"/>
    <col min="8" max="8" width="12" customWidth="1"/>
    <col min="9" max="9" width="11.109375" customWidth="1"/>
    <col min="10" max="10" width="11.33203125" customWidth="1"/>
    <col min="11" max="11" width="11.44140625" customWidth="1"/>
    <col min="12" max="12" width="13.44140625" customWidth="1"/>
    <col min="13" max="13" width="11.44140625" customWidth="1"/>
    <col min="14" max="14" width="18.33203125" bestFit="1" customWidth="1"/>
    <col min="15" max="15" width="13.5546875" customWidth="1"/>
    <col min="16" max="16" width="14.5546875" customWidth="1"/>
    <col min="17" max="17" width="12.88671875" customWidth="1"/>
  </cols>
  <sheetData>
    <row r="1" spans="1:17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x14ac:dyDescent="0.3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</row>
    <row r="3" spans="1:17" x14ac:dyDescent="0.3">
      <c r="A3" s="7">
        <v>46112</v>
      </c>
      <c r="B3" s="4" t="s">
        <v>5</v>
      </c>
      <c r="C3" s="4"/>
      <c r="D3" s="4">
        <v>0.92</v>
      </c>
      <c r="E3" s="4">
        <v>0.92220000000000002</v>
      </c>
      <c r="F3" s="4">
        <v>1.3768</v>
      </c>
      <c r="G3" s="4">
        <v>1.8247</v>
      </c>
      <c r="H3" s="4">
        <v>3.0261999999999998</v>
      </c>
      <c r="I3" s="4">
        <v>3.6547999999999998</v>
      </c>
      <c r="J3" s="4">
        <v>4.5702999999999996</v>
      </c>
      <c r="K3" s="5">
        <f t="shared" ref="K3:K16" si="0">IF(D3=0, 0, 100*(E3 - D3*1)/(D3*1))</f>
        <v>0.23913043478260648</v>
      </c>
      <c r="L3" s="5">
        <f t="shared" ref="L3:L16" si="1">IF(D3=0, 0, 100*(F3 - D3*1.5)/(D3*1.5))</f>
        <v>-0.23188405797102113</v>
      </c>
      <c r="M3" s="5">
        <f t="shared" ref="M3:M16" si="2">IF(D3=0, 0, 100*(G3 - D3*2)/(D3*2))</f>
        <v>-0.8315217391304397</v>
      </c>
      <c r="N3" s="5">
        <f t="shared" ref="N3:N16" si="3">IF(D3=0, 0, 100*(H3 - D3*3.3)/(D3*3.3))</f>
        <v>-0.32279314888011373</v>
      </c>
      <c r="O3" s="5">
        <f t="shared" ref="O3:O16" si="4">IF(D3=0, 0, 100*(I3 - D3*4)/(D3*4))</f>
        <v>-0.68478260869566121</v>
      </c>
      <c r="P3" s="5">
        <f t="shared" ref="P3:P16" si="5">IF(D3=0, 0, 100*(J3 - D3*5)/(D3*5))</f>
        <v>-0.64565217391306406</v>
      </c>
      <c r="Q3" s="4" t="str">
        <f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>
        <v>46212</v>
      </c>
      <c r="B4" s="6" t="s">
        <v>5</v>
      </c>
      <c r="C4" s="6" t="s">
        <v>140</v>
      </c>
      <c r="D4" s="6">
        <v>0.92</v>
      </c>
      <c r="E4" s="6">
        <v>0.92210000000000003</v>
      </c>
      <c r="F4" s="6">
        <v>1.3764000000000001</v>
      </c>
      <c r="G4" s="17">
        <v>1.8242</v>
      </c>
      <c r="H4" s="6">
        <v>3.0257999999999998</v>
      </c>
      <c r="I4" s="6">
        <v>3.6549</v>
      </c>
      <c r="J4" s="6">
        <v>4.5697000000000001</v>
      </c>
      <c r="K4" s="15">
        <f t="shared" si="0"/>
        <v>0.22826086956521638</v>
      </c>
      <c r="L4" s="15">
        <f t="shared" si="1"/>
        <v>-0.26086956521739474</v>
      </c>
      <c r="M4" s="15">
        <f t="shared" si="2"/>
        <v>-0.85869565217391497</v>
      </c>
      <c r="N4" s="15">
        <f t="shared" si="3"/>
        <v>-0.3359683794466472</v>
      </c>
      <c r="O4" s="15">
        <f t="shared" si="4"/>
        <v>-0.68206521739130765</v>
      </c>
      <c r="P4" s="15">
        <f t="shared" si="5"/>
        <v>-0.65869565217392245</v>
      </c>
      <c r="Q4" s="6" t="str">
        <f>IF(AND(K4&gt;=0.11,K4&lt;=0.27,L4&gt;=-0.36,L4&lt;=-0.22,M4&gt;=-0.92,M4&lt;=-0.82,N4&gt;=-0.4,N4&lt;=-0.3,O4&gt;=-0.79,O4&lt;=-0.64,P4&gt;=-0.76,P4&lt;=-0.61), "Yes", IF(AND(K4=0,L4=0,M4=0,N4=0,O4=0,P4=0), "Ready to test", "No"))</f>
        <v>Yes</v>
      </c>
    </row>
    <row r="5" spans="1:17" x14ac:dyDescent="0.3">
      <c r="A5" s="16"/>
      <c r="B5" s="6"/>
      <c r="C5" s="6"/>
      <c r="D5" s="6"/>
      <c r="E5" s="6"/>
      <c r="F5" s="6"/>
      <c r="G5" s="6"/>
      <c r="H5" s="6"/>
      <c r="I5" s="6"/>
      <c r="J5" s="6"/>
      <c r="K5" s="15">
        <f t="shared" si="0"/>
        <v>0</v>
      </c>
      <c r="L5" s="15">
        <f t="shared" si="1"/>
        <v>0</v>
      </c>
      <c r="M5" s="15">
        <f t="shared" si="2"/>
        <v>0</v>
      </c>
      <c r="N5" s="15">
        <f t="shared" si="3"/>
        <v>0</v>
      </c>
      <c r="O5" s="15">
        <f t="shared" si="4"/>
        <v>0</v>
      </c>
      <c r="P5" s="15">
        <f t="shared" si="5"/>
        <v>0</v>
      </c>
      <c r="Q5" s="6" t="str">
        <f>IF(AND(K5&gt;=0.11,K5&lt;=0.27,L5&gt;=-0.38,L5&lt;=-0.22,M5&gt;=-0.94,M5&lt;=-0.82,N5&gt;=-0.41,N5&lt;=-0.3,O5&gt;=-0.79,O5&lt;=-0.64,P5&gt;=-0.76,P5&lt;=-0.61), "Yes", IF(AND(K5=0,L5=0,M5=0,N5=0,O5=0,P5=0), "Ready to test", "No"))</f>
        <v>Ready to test</v>
      </c>
    </row>
    <row r="6" spans="1:17" x14ac:dyDescent="0.3">
      <c r="A6" s="16"/>
      <c r="B6" s="6"/>
      <c r="C6" s="6"/>
      <c r="D6" s="6"/>
      <c r="E6" s="6"/>
      <c r="F6" s="6"/>
      <c r="G6" s="17"/>
      <c r="H6" s="6"/>
      <c r="I6" s="6"/>
      <c r="J6" s="6"/>
      <c r="K6" s="15">
        <f t="shared" si="0"/>
        <v>0</v>
      </c>
      <c r="L6" s="15">
        <f t="shared" si="1"/>
        <v>0</v>
      </c>
      <c r="M6" s="15">
        <f t="shared" si="2"/>
        <v>0</v>
      </c>
      <c r="N6" s="15">
        <f t="shared" si="3"/>
        <v>0</v>
      </c>
      <c r="O6" s="15">
        <f t="shared" si="4"/>
        <v>0</v>
      </c>
      <c r="P6" s="15">
        <f t="shared" si="5"/>
        <v>0</v>
      </c>
      <c r="Q6" s="6" t="str">
        <f t="shared" ref="Q6:Q16" si="6">IF(AND(K6&gt;=0.11,K6&lt;=0.27,L6&gt;=-0.36,L6&lt;=-0.22,M6&gt;=-0.92,M6&lt;=-0.82,N6&gt;=-0.4,N6&lt;=-0.3,O6&gt;=-0.79,O6&lt;=-0.64,P6&gt;=-0.76,P6&lt;=-0.61), "Yes", IF(AND(K6=0,L6=0,M6=0,N6=0,O6=0,P6=0), "Ready to test", "No"))</f>
        <v>Ready to test</v>
      </c>
    </row>
    <row r="7" spans="1:17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15">
        <f t="shared" si="0"/>
        <v>0</v>
      </c>
      <c r="L7" s="15">
        <f t="shared" si="1"/>
        <v>0</v>
      </c>
      <c r="M7" s="15">
        <f t="shared" si="2"/>
        <v>0</v>
      </c>
      <c r="N7" s="15">
        <f t="shared" si="3"/>
        <v>0</v>
      </c>
      <c r="O7" s="15">
        <f t="shared" si="4"/>
        <v>0</v>
      </c>
      <c r="P7" s="15">
        <f t="shared" si="5"/>
        <v>0</v>
      </c>
      <c r="Q7" s="6" t="str">
        <f t="shared" si="6"/>
        <v>Ready to test</v>
      </c>
    </row>
    <row r="8" spans="1:17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15">
        <f t="shared" si="0"/>
        <v>0</v>
      </c>
      <c r="L8" s="15">
        <f t="shared" si="1"/>
        <v>0</v>
      </c>
      <c r="M8" s="15">
        <f t="shared" si="2"/>
        <v>0</v>
      </c>
      <c r="N8" s="15">
        <f t="shared" si="3"/>
        <v>0</v>
      </c>
      <c r="O8" s="15">
        <f t="shared" si="4"/>
        <v>0</v>
      </c>
      <c r="P8" s="15">
        <f t="shared" si="5"/>
        <v>0</v>
      </c>
      <c r="Q8" s="6" t="str">
        <f t="shared" si="6"/>
        <v>Ready to test</v>
      </c>
    </row>
    <row r="9" spans="1:17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15">
        <f t="shared" si="0"/>
        <v>0</v>
      </c>
      <c r="L9" s="15">
        <f t="shared" si="1"/>
        <v>0</v>
      </c>
      <c r="M9" s="15">
        <f t="shared" si="2"/>
        <v>0</v>
      </c>
      <c r="N9" s="15">
        <f t="shared" si="3"/>
        <v>0</v>
      </c>
      <c r="O9" s="15">
        <f t="shared" si="4"/>
        <v>0</v>
      </c>
      <c r="P9" s="15">
        <f t="shared" si="5"/>
        <v>0</v>
      </c>
      <c r="Q9" s="6" t="str">
        <f t="shared" si="6"/>
        <v>Ready to test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15">
        <f t="shared" si="0"/>
        <v>0</v>
      </c>
      <c r="L10" s="15">
        <f t="shared" si="1"/>
        <v>0</v>
      </c>
      <c r="M10" s="15">
        <f t="shared" si="2"/>
        <v>0</v>
      </c>
      <c r="N10" s="15">
        <f t="shared" si="3"/>
        <v>0</v>
      </c>
      <c r="O10" s="15">
        <f t="shared" si="4"/>
        <v>0</v>
      </c>
      <c r="P10" s="15">
        <f t="shared" si="5"/>
        <v>0</v>
      </c>
      <c r="Q10" s="6" t="str">
        <f t="shared" si="6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15">
        <f t="shared" si="0"/>
        <v>0</v>
      </c>
      <c r="L11" s="15">
        <f t="shared" si="1"/>
        <v>0</v>
      </c>
      <c r="M11" s="15">
        <f t="shared" si="2"/>
        <v>0</v>
      </c>
      <c r="N11" s="15">
        <f t="shared" si="3"/>
        <v>0</v>
      </c>
      <c r="O11" s="15">
        <f t="shared" si="4"/>
        <v>0</v>
      </c>
      <c r="P11" s="15">
        <f t="shared" si="5"/>
        <v>0</v>
      </c>
      <c r="Q11" s="6" t="str">
        <f t="shared" si="6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15">
        <f t="shared" si="0"/>
        <v>0</v>
      </c>
      <c r="L12" s="15">
        <f t="shared" si="1"/>
        <v>0</v>
      </c>
      <c r="M12" s="15">
        <f t="shared" si="2"/>
        <v>0</v>
      </c>
      <c r="N12" s="15">
        <f t="shared" si="3"/>
        <v>0</v>
      </c>
      <c r="O12" s="15">
        <f t="shared" si="4"/>
        <v>0</v>
      </c>
      <c r="P12" s="15">
        <f t="shared" si="5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15">
        <f t="shared" si="0"/>
        <v>0</v>
      </c>
      <c r="L13" s="15">
        <f t="shared" si="1"/>
        <v>0</v>
      </c>
      <c r="M13" s="15">
        <f t="shared" si="2"/>
        <v>0</v>
      </c>
      <c r="N13" s="15">
        <f t="shared" si="3"/>
        <v>0</v>
      </c>
      <c r="O13" s="15">
        <f t="shared" si="4"/>
        <v>0</v>
      </c>
      <c r="P13" s="15">
        <f t="shared" si="5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15">
        <f t="shared" si="0"/>
        <v>0</v>
      </c>
      <c r="L14" s="15">
        <f t="shared" si="1"/>
        <v>0</v>
      </c>
      <c r="M14" s="15">
        <f t="shared" si="2"/>
        <v>0</v>
      </c>
      <c r="N14" s="15">
        <f t="shared" si="3"/>
        <v>0</v>
      </c>
      <c r="O14" s="15">
        <f t="shared" si="4"/>
        <v>0</v>
      </c>
      <c r="P14" s="15">
        <f t="shared" si="5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15">
        <f t="shared" si="0"/>
        <v>0</v>
      </c>
      <c r="L15" s="15">
        <f t="shared" si="1"/>
        <v>0</v>
      </c>
      <c r="M15" s="15">
        <f t="shared" si="2"/>
        <v>0</v>
      </c>
      <c r="N15" s="15">
        <f t="shared" si="3"/>
        <v>0</v>
      </c>
      <c r="O15" s="15">
        <f t="shared" si="4"/>
        <v>0</v>
      </c>
      <c r="P15" s="15">
        <f t="shared" si="5"/>
        <v>0</v>
      </c>
      <c r="Q15" s="6" t="str">
        <f t="shared" si="6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15">
        <f t="shared" si="0"/>
        <v>0</v>
      </c>
      <c r="L16" s="15">
        <f t="shared" si="1"/>
        <v>0</v>
      </c>
      <c r="M16" s="15">
        <f t="shared" si="2"/>
        <v>0</v>
      </c>
      <c r="N16" s="15">
        <f t="shared" si="3"/>
        <v>0</v>
      </c>
      <c r="O16" s="15">
        <f t="shared" si="4"/>
        <v>0</v>
      </c>
      <c r="P16" s="15">
        <f t="shared" si="5"/>
        <v>0</v>
      </c>
      <c r="Q16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6">
    <cfRule type="expression" dxfId="11" priority="1">
      <formula>Q3="Alert"</formula>
    </cfRule>
    <cfRule type="expression" dxfId="10" priority="2">
      <formula>Q3="Yes"</formula>
    </cfRule>
    <cfRule type="expression" dxfId="9" priority="3">
      <formula>Q3="No"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F708E-AD80-4C29-A72A-47691BFADF15}">
  <dimension ref="A1:Q16"/>
  <sheetViews>
    <sheetView topLeftCell="D1" workbookViewId="0">
      <selection activeCell="L8" sqref="L8"/>
    </sheetView>
  </sheetViews>
  <sheetFormatPr defaultRowHeight="14.4" x14ac:dyDescent="0.3"/>
  <cols>
    <col min="1" max="1" width="15" customWidth="1"/>
    <col min="2" max="2" width="9" bestFit="1" customWidth="1"/>
    <col min="3" max="3" width="12" bestFit="1" customWidth="1"/>
    <col min="4" max="4" width="17.44140625" bestFit="1" customWidth="1"/>
    <col min="5" max="5" width="12" customWidth="1"/>
    <col min="6" max="6" width="11.5546875" customWidth="1"/>
    <col min="7" max="7" width="12.33203125" customWidth="1"/>
    <col min="8" max="8" width="12" customWidth="1"/>
    <col min="9" max="9" width="11.109375" customWidth="1"/>
    <col min="10" max="10" width="11.33203125" customWidth="1"/>
    <col min="11" max="11" width="11.44140625" customWidth="1"/>
    <col min="12" max="12" width="13.44140625" customWidth="1"/>
    <col min="13" max="13" width="11.44140625" customWidth="1"/>
    <col min="14" max="14" width="18.33203125" bestFit="1" customWidth="1"/>
    <col min="15" max="15" width="13.5546875" customWidth="1"/>
    <col min="16" max="16" width="14.5546875" customWidth="1"/>
    <col min="17" max="17" width="12.88671875" customWidth="1"/>
  </cols>
  <sheetData>
    <row r="1" spans="1:17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x14ac:dyDescent="0.3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</row>
    <row r="3" spans="1:17" x14ac:dyDescent="0.3">
      <c r="A3" s="7">
        <v>46112</v>
      </c>
      <c r="B3" s="4" t="s">
        <v>5</v>
      </c>
      <c r="C3" s="4" t="s">
        <v>183</v>
      </c>
      <c r="D3" s="4">
        <v>0.92</v>
      </c>
      <c r="E3" s="4">
        <v>0.9224</v>
      </c>
      <c r="F3" s="4">
        <v>1.377</v>
      </c>
      <c r="G3" s="4">
        <v>1.8246</v>
      </c>
      <c r="H3" s="4">
        <v>3.0255999999999998</v>
      </c>
      <c r="I3" s="4">
        <v>3.6566000000000001</v>
      </c>
      <c r="J3" s="4">
        <v>4.5693999999999999</v>
      </c>
      <c r="K3" s="5">
        <f t="shared" ref="K3:K16" si="0">IF(D3=0, 0, 100*(E3 - D3*1)/(D3*1))</f>
        <v>0.26086956521738669</v>
      </c>
      <c r="L3" s="5">
        <f t="shared" ref="L3:L16" si="1">IF(D3=0, 0, 100*(F3 - D3*1.5)/(D3*1.5))</f>
        <v>-0.2173913043478343</v>
      </c>
      <c r="M3" s="5">
        <f t="shared" ref="M3:M16" si="2">IF(D3=0, 0, 100*(G3 - D3*2)/(D3*2))</f>
        <v>-0.83695652173913471</v>
      </c>
      <c r="N3" s="5">
        <f>IF(D3=0, 0, 100*(H3 - D3*3.3)/(D3*3.3))</f>
        <v>-0.34255599472991394</v>
      </c>
      <c r="O3" s="5">
        <f>IF(D3=0, 0, 100*(I3 - D3*4)/(D3*4))</f>
        <v>-0.63586956521739368</v>
      </c>
      <c r="P3" s="5">
        <f t="shared" ref="P3:P16" si="3">IF(D3=0, 0, 100*(J3 - D3*5)/(D3*5))</f>
        <v>-0.66521739130436142</v>
      </c>
      <c r="Q3" s="4" t="str">
        <f>IF(AND(K3&gt;=0.11,K3&lt;=0.27,L3&gt;=-0.36,L3&lt;=-0.22,M3&gt;=-0.92,M3&lt;=-0.82,N3&gt;=-0.4,N3&lt;=-0.3,O3&gt;=-0.79,O3&lt;=-0.64,P3&gt;=-0.76,P3&lt;=-0.61), "Yes", IF(AND(K3=0,L3=0,M3=0,N3=0,O3=0,P3=0), "Ready to test", "No"))</f>
        <v>No</v>
      </c>
    </row>
    <row r="4" spans="1:17" x14ac:dyDescent="0.3">
      <c r="A4" s="16">
        <v>46212</v>
      </c>
      <c r="B4" s="6" t="s">
        <v>5</v>
      </c>
      <c r="C4" s="6" t="s">
        <v>140</v>
      </c>
      <c r="D4" s="6">
        <v>0.92</v>
      </c>
      <c r="E4" s="6">
        <v>0.92220000000000002</v>
      </c>
      <c r="F4" s="6">
        <v>1.3759999999999999</v>
      </c>
      <c r="G4" s="17">
        <v>1.8239000000000001</v>
      </c>
      <c r="H4" s="6">
        <v>3.0253000000000001</v>
      </c>
      <c r="I4" s="6">
        <v>3.6545000000000001</v>
      </c>
      <c r="J4" s="6">
        <v>4.5693999999999999</v>
      </c>
      <c r="K4" s="15">
        <f t="shared" si="0"/>
        <v>0.23913043478260648</v>
      </c>
      <c r="L4" s="15">
        <f t="shared" si="1"/>
        <v>-0.28985507246378445</v>
      </c>
      <c r="M4" s="15">
        <f t="shared" si="2"/>
        <v>-0.87500000000000011</v>
      </c>
      <c r="N4" s="15">
        <f t="shared" ref="N4:N16" si="4">IF(D4=0, 0, 100*(H4 - D4*3.3)/(D4*3.3))</f>
        <v>-0.35243741765480668</v>
      </c>
      <c r="O4" s="15">
        <f t="shared" ref="O4:O16" si="5">IF(D4=0, 0, 100*(I4 - D4*4)/(D4*4))</f>
        <v>-0.69293478260869779</v>
      </c>
      <c r="P4" s="15">
        <f t="shared" si="3"/>
        <v>-0.66521739130436142</v>
      </c>
      <c r="Q4" s="6" t="str">
        <f>IF(AND(K4&gt;=0.11,K4&lt;=0.27,L4&gt;=-0.36,L4&lt;=-0.22,M4&gt;=-0.92,M4&lt;=-0.82,N4&gt;=-0.4,N4&lt;=-0.3,O4&gt;=-0.79,O4&lt;=-0.64,P4&gt;=-0.76,P4&lt;=-0.61), "Yes", IF(AND(K4=0,L4=0,M4=0,N4=0,O4=0,P4=0), "Ready to test", "No"))</f>
        <v>Yes</v>
      </c>
    </row>
    <row r="5" spans="1:17" x14ac:dyDescent="0.3">
      <c r="A5" s="16"/>
      <c r="B5" s="6"/>
      <c r="C5" s="6"/>
      <c r="D5" s="6"/>
      <c r="E5" s="6"/>
      <c r="F5" s="6"/>
      <c r="G5" s="6"/>
      <c r="H5" s="6"/>
      <c r="I5" s="6"/>
      <c r="J5" s="6"/>
      <c r="K5" s="15">
        <f t="shared" si="0"/>
        <v>0</v>
      </c>
      <c r="L5" s="15">
        <f t="shared" si="1"/>
        <v>0</v>
      </c>
      <c r="M5" s="15">
        <f t="shared" si="2"/>
        <v>0</v>
      </c>
      <c r="N5" s="15">
        <f t="shared" si="4"/>
        <v>0</v>
      </c>
      <c r="O5" s="15">
        <f t="shared" si="5"/>
        <v>0</v>
      </c>
      <c r="P5" s="15">
        <f t="shared" si="3"/>
        <v>0</v>
      </c>
      <c r="Q5" s="6" t="str">
        <f>IF(AND(K5&gt;=0.11,K5&lt;=0.27,L5&gt;=-0.38,L5&lt;=-0.22,M5&gt;=-0.94,M5&lt;=-0.82,N5&gt;=-0.41,N5&lt;=-0.3,O5&gt;=-0.79,O5&lt;=-0.64,P5&gt;=-0.76,P5&lt;=-0.61), "Yes", IF(AND(K5=0,L5=0,M5=0,N5=0,O5=0,P5=0), "Ready to test", "No"))</f>
        <v>Ready to test</v>
      </c>
    </row>
    <row r="6" spans="1:17" x14ac:dyDescent="0.3">
      <c r="A6" s="16"/>
      <c r="B6" s="6"/>
      <c r="C6" s="6"/>
      <c r="D6" s="6"/>
      <c r="E6" s="6"/>
      <c r="F6" s="6"/>
      <c r="G6" s="17"/>
      <c r="H6" s="6"/>
      <c r="I6" s="6"/>
      <c r="J6" s="6"/>
      <c r="K6" s="15">
        <f t="shared" si="0"/>
        <v>0</v>
      </c>
      <c r="L6" s="15">
        <f t="shared" si="1"/>
        <v>0</v>
      </c>
      <c r="M6" s="15">
        <f t="shared" si="2"/>
        <v>0</v>
      </c>
      <c r="N6" s="15">
        <f t="shared" si="4"/>
        <v>0</v>
      </c>
      <c r="O6" s="15">
        <f t="shared" si="5"/>
        <v>0</v>
      </c>
      <c r="P6" s="15">
        <f t="shared" si="3"/>
        <v>0</v>
      </c>
      <c r="Q6" s="6" t="str">
        <f t="shared" ref="Q6:Q16" si="6">IF(AND(K6&gt;=0.11,K6&lt;=0.27,L6&gt;=-0.36,L6&lt;=-0.22,M6&gt;=-0.92,M6&lt;=-0.82,N6&gt;=-0.4,N6&lt;=-0.3,O6&gt;=-0.79,O6&lt;=-0.64,P6&gt;=-0.76,P6&lt;=-0.61), "Yes", IF(AND(K6=0,L6=0,M6=0,N6=0,O6=0,P6=0), "Ready to test", "No"))</f>
        <v>Ready to test</v>
      </c>
    </row>
    <row r="7" spans="1:17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15">
        <f t="shared" si="0"/>
        <v>0</v>
      </c>
      <c r="L7" s="15">
        <f t="shared" si="1"/>
        <v>0</v>
      </c>
      <c r="M7" s="15">
        <f t="shared" si="2"/>
        <v>0</v>
      </c>
      <c r="N7" s="15">
        <f t="shared" si="4"/>
        <v>0</v>
      </c>
      <c r="O7" s="15">
        <f t="shared" si="5"/>
        <v>0</v>
      </c>
      <c r="P7" s="15">
        <f t="shared" si="3"/>
        <v>0</v>
      </c>
      <c r="Q7" s="6" t="str">
        <f t="shared" si="6"/>
        <v>Ready to test</v>
      </c>
    </row>
    <row r="8" spans="1:17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15">
        <f t="shared" si="0"/>
        <v>0</v>
      </c>
      <c r="L8" s="15">
        <f t="shared" si="1"/>
        <v>0</v>
      </c>
      <c r="M8" s="15">
        <f t="shared" si="2"/>
        <v>0</v>
      </c>
      <c r="N8" s="15">
        <f t="shared" si="4"/>
        <v>0</v>
      </c>
      <c r="O8" s="15">
        <f t="shared" si="5"/>
        <v>0</v>
      </c>
      <c r="P8" s="15">
        <f t="shared" si="3"/>
        <v>0</v>
      </c>
      <c r="Q8" s="6" t="str">
        <f t="shared" si="6"/>
        <v>Ready to test</v>
      </c>
    </row>
    <row r="9" spans="1:17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15">
        <f t="shared" si="0"/>
        <v>0</v>
      </c>
      <c r="L9" s="15">
        <f t="shared" si="1"/>
        <v>0</v>
      </c>
      <c r="M9" s="15">
        <f t="shared" si="2"/>
        <v>0</v>
      </c>
      <c r="N9" s="15">
        <f t="shared" si="4"/>
        <v>0</v>
      </c>
      <c r="O9" s="15">
        <f t="shared" si="5"/>
        <v>0</v>
      </c>
      <c r="P9" s="15">
        <f t="shared" si="3"/>
        <v>0</v>
      </c>
      <c r="Q9" s="6" t="str">
        <f t="shared" si="6"/>
        <v>Ready to test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15">
        <f t="shared" si="0"/>
        <v>0</v>
      </c>
      <c r="L10" s="15">
        <f t="shared" si="1"/>
        <v>0</v>
      </c>
      <c r="M10" s="15">
        <f t="shared" si="2"/>
        <v>0</v>
      </c>
      <c r="N10" s="15">
        <f t="shared" si="4"/>
        <v>0</v>
      </c>
      <c r="O10" s="15">
        <f t="shared" si="5"/>
        <v>0</v>
      </c>
      <c r="P10" s="15">
        <f t="shared" si="3"/>
        <v>0</v>
      </c>
      <c r="Q10" s="6" t="str">
        <f t="shared" si="6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15">
        <f t="shared" si="0"/>
        <v>0</v>
      </c>
      <c r="L11" s="15">
        <f t="shared" si="1"/>
        <v>0</v>
      </c>
      <c r="M11" s="15">
        <f t="shared" si="2"/>
        <v>0</v>
      </c>
      <c r="N11" s="15">
        <f t="shared" si="4"/>
        <v>0</v>
      </c>
      <c r="O11" s="15">
        <f t="shared" si="5"/>
        <v>0</v>
      </c>
      <c r="P11" s="15">
        <f t="shared" si="3"/>
        <v>0</v>
      </c>
      <c r="Q11" s="6" t="str">
        <f t="shared" si="6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15">
        <f t="shared" si="0"/>
        <v>0</v>
      </c>
      <c r="L12" s="15">
        <f t="shared" si="1"/>
        <v>0</v>
      </c>
      <c r="M12" s="15">
        <f t="shared" si="2"/>
        <v>0</v>
      </c>
      <c r="N12" s="15">
        <f t="shared" si="4"/>
        <v>0</v>
      </c>
      <c r="O12" s="15">
        <f t="shared" si="5"/>
        <v>0</v>
      </c>
      <c r="P12" s="15">
        <f t="shared" si="3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15">
        <f t="shared" si="0"/>
        <v>0</v>
      </c>
      <c r="L13" s="15">
        <f t="shared" si="1"/>
        <v>0</v>
      </c>
      <c r="M13" s="15">
        <f t="shared" si="2"/>
        <v>0</v>
      </c>
      <c r="N13" s="15">
        <f t="shared" si="4"/>
        <v>0</v>
      </c>
      <c r="O13" s="15">
        <f t="shared" si="5"/>
        <v>0</v>
      </c>
      <c r="P13" s="15">
        <f t="shared" si="3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15">
        <f t="shared" si="0"/>
        <v>0</v>
      </c>
      <c r="L14" s="15">
        <f t="shared" si="1"/>
        <v>0</v>
      </c>
      <c r="M14" s="15">
        <f t="shared" si="2"/>
        <v>0</v>
      </c>
      <c r="N14" s="15">
        <f t="shared" si="4"/>
        <v>0</v>
      </c>
      <c r="O14" s="15">
        <f t="shared" si="5"/>
        <v>0</v>
      </c>
      <c r="P14" s="15">
        <f t="shared" si="3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15">
        <f t="shared" si="0"/>
        <v>0</v>
      </c>
      <c r="L15" s="15">
        <f t="shared" si="1"/>
        <v>0</v>
      </c>
      <c r="M15" s="15">
        <f t="shared" si="2"/>
        <v>0</v>
      </c>
      <c r="N15" s="15">
        <f t="shared" si="4"/>
        <v>0</v>
      </c>
      <c r="O15" s="15">
        <f t="shared" si="5"/>
        <v>0</v>
      </c>
      <c r="P15" s="15">
        <f t="shared" si="3"/>
        <v>0</v>
      </c>
      <c r="Q15" s="6" t="str">
        <f t="shared" si="6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15">
        <f t="shared" si="0"/>
        <v>0</v>
      </c>
      <c r="L16" s="15">
        <f t="shared" si="1"/>
        <v>0</v>
      </c>
      <c r="M16" s="15">
        <f t="shared" si="2"/>
        <v>0</v>
      </c>
      <c r="N16" s="15">
        <f t="shared" si="4"/>
        <v>0</v>
      </c>
      <c r="O16" s="15">
        <f t="shared" si="5"/>
        <v>0</v>
      </c>
      <c r="P16" s="15">
        <f t="shared" si="3"/>
        <v>0</v>
      </c>
      <c r="Q16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6">
    <cfRule type="expression" dxfId="8" priority="1">
      <formula>Q3="Alert"</formula>
    </cfRule>
    <cfRule type="expression" dxfId="7" priority="2">
      <formula>Q3="Yes"</formula>
    </cfRule>
    <cfRule type="expression" dxfId="6" priority="3">
      <formula>Q3="No"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A4C39-0ADC-4BB5-A7CF-459F553893C9}">
  <dimension ref="A1:Q16"/>
  <sheetViews>
    <sheetView topLeftCell="I1" workbookViewId="0">
      <selection activeCell="K4" sqref="K4:P4"/>
    </sheetView>
  </sheetViews>
  <sheetFormatPr defaultRowHeight="14.4" x14ac:dyDescent="0.3"/>
  <cols>
    <col min="1" max="1" width="15" customWidth="1"/>
    <col min="2" max="2" width="9" bestFit="1" customWidth="1"/>
    <col min="3" max="3" width="12" bestFit="1" customWidth="1"/>
    <col min="4" max="4" width="17.44140625" bestFit="1" customWidth="1"/>
    <col min="5" max="5" width="12" customWidth="1"/>
    <col min="6" max="6" width="11.5546875" customWidth="1"/>
    <col min="7" max="7" width="12.33203125" customWidth="1"/>
    <col min="8" max="8" width="12" customWidth="1"/>
    <col min="9" max="9" width="11.109375" customWidth="1"/>
    <col min="10" max="10" width="11.33203125" customWidth="1"/>
    <col min="11" max="11" width="11.44140625" customWidth="1"/>
    <col min="12" max="12" width="13.44140625" customWidth="1"/>
    <col min="13" max="13" width="11.44140625" customWidth="1"/>
    <col min="14" max="14" width="18.33203125" bestFit="1" customWidth="1"/>
    <col min="15" max="15" width="13.5546875" customWidth="1"/>
    <col min="16" max="16" width="14.5546875" customWidth="1"/>
    <col min="17" max="17" width="12.88671875" customWidth="1"/>
  </cols>
  <sheetData>
    <row r="1" spans="1:17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5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</row>
    <row r="3" spans="1:17" x14ac:dyDescent="0.3">
      <c r="A3" s="7">
        <v>46112</v>
      </c>
      <c r="B3" s="4" t="s">
        <v>5</v>
      </c>
      <c r="C3" s="4"/>
      <c r="D3" s="4">
        <v>0.92</v>
      </c>
      <c r="E3" s="4">
        <v>0.9224</v>
      </c>
      <c r="F3" s="4">
        <v>1.3765000000000001</v>
      </c>
      <c r="G3" s="4">
        <v>1.8246</v>
      </c>
      <c r="H3" s="4">
        <v>3.0265</v>
      </c>
      <c r="I3" s="4">
        <v>3.6568000000000001</v>
      </c>
      <c r="J3" s="4">
        <v>4.5707000000000004</v>
      </c>
      <c r="K3" s="5">
        <f t="shared" ref="K3:K16" si="0">IF(D3=0, 0, 100*(E3 - D3*1)/(D3*1))</f>
        <v>0.26086956521738669</v>
      </c>
      <c r="L3" s="5">
        <f t="shared" ref="L3:L16" si="1">IF(D3=0, 0, 100*(F3 - D3*1.5)/(D3*1.5))</f>
        <v>-0.25362318840580134</v>
      </c>
      <c r="M3" s="5">
        <f t="shared" ref="M3:M16" si="2">IF(D3=0, 0, 100*(G3 - D3*2)/(D3*2))</f>
        <v>-0.83695652173913471</v>
      </c>
      <c r="N3" s="5">
        <f t="shared" ref="N3:N16" si="3">IF(D3=0, 0, 100*(H3 - D3*3.3)/(D3*3.3))</f>
        <v>-0.31291172595520633</v>
      </c>
      <c r="O3" s="5">
        <f t="shared" ref="O3:O16" si="4">IF(D3=0, 0, 100*(I3 - D3*4)/(D3*4))</f>
        <v>-0.63043478260869856</v>
      </c>
      <c r="P3" s="5">
        <f t="shared" ref="P3:P16" si="5">IF(D3=0, 0, 100*(J3 - D3*5)/(D3*5))</f>
        <v>-0.63695652173913264</v>
      </c>
      <c r="Q3" s="4" t="str">
        <f t="shared" ref="Q3:Q16" si="6">IF(AND(K3&gt;=0.11,K3&lt;=0.27,L3&gt;=-0.36,L3&lt;=-0.21,M3&gt;=-0.92,M3&lt;=-0.82,N3&gt;=-0.4,N3&lt;=-0.3,O3&gt;=-0.79,O3&lt;=-0.62,P3&gt;=-0.76,P3&lt;=-0.61), "Yes", IF(AND(K3=0,L3=0,M3=0,N3=0,O3=0,P3=0), "Ready to test", "No"))</f>
        <v>Yes</v>
      </c>
    </row>
    <row r="4" spans="1:17" x14ac:dyDescent="0.3">
      <c r="A4" s="16">
        <v>46212</v>
      </c>
      <c r="B4" s="6" t="s">
        <v>5</v>
      </c>
      <c r="C4" s="6" t="s">
        <v>140</v>
      </c>
      <c r="D4" s="6">
        <v>0.92</v>
      </c>
      <c r="E4" s="6">
        <v>0</v>
      </c>
      <c r="F4" s="6">
        <v>0</v>
      </c>
      <c r="G4" s="17">
        <v>0</v>
      </c>
      <c r="H4" s="6">
        <v>0</v>
      </c>
      <c r="I4" s="6">
        <v>0</v>
      </c>
      <c r="J4" s="6">
        <v>0</v>
      </c>
      <c r="K4" s="15">
        <f t="shared" si="0"/>
        <v>-100</v>
      </c>
      <c r="L4" s="15">
        <f t="shared" si="1"/>
        <v>-99.999999999999986</v>
      </c>
      <c r="M4" s="15">
        <f t="shared" si="2"/>
        <v>-100</v>
      </c>
      <c r="N4" s="15">
        <f t="shared" si="3"/>
        <v>-100</v>
      </c>
      <c r="O4" s="15">
        <f t="shared" si="4"/>
        <v>-100</v>
      </c>
      <c r="P4" s="15">
        <f t="shared" si="5"/>
        <v>-100</v>
      </c>
      <c r="Q4" s="4" t="str">
        <f t="shared" si="6"/>
        <v>No</v>
      </c>
    </row>
    <row r="5" spans="1:17" x14ac:dyDescent="0.3">
      <c r="A5" s="16"/>
      <c r="B5" s="6"/>
      <c r="C5" s="6"/>
      <c r="D5" s="6"/>
      <c r="E5" s="6"/>
      <c r="F5" s="6"/>
      <c r="G5" s="6"/>
      <c r="H5" s="6"/>
      <c r="I5" s="6"/>
      <c r="J5" s="6"/>
      <c r="K5" s="15">
        <f t="shared" si="0"/>
        <v>0</v>
      </c>
      <c r="L5" s="15">
        <f t="shared" si="1"/>
        <v>0</v>
      </c>
      <c r="M5" s="15">
        <f t="shared" si="2"/>
        <v>0</v>
      </c>
      <c r="N5" s="15">
        <f t="shared" si="3"/>
        <v>0</v>
      </c>
      <c r="O5" s="15">
        <f t="shared" si="4"/>
        <v>0</v>
      </c>
      <c r="P5" s="15">
        <f t="shared" si="5"/>
        <v>0</v>
      </c>
      <c r="Q5" s="4" t="str">
        <f t="shared" si="6"/>
        <v>Ready to test</v>
      </c>
    </row>
    <row r="6" spans="1:17" x14ac:dyDescent="0.3">
      <c r="A6" s="16"/>
      <c r="B6" s="6"/>
      <c r="C6" s="6"/>
      <c r="D6" s="6"/>
      <c r="E6" s="6"/>
      <c r="F6" s="6"/>
      <c r="G6" s="17"/>
      <c r="H6" s="6"/>
      <c r="I6" s="6"/>
      <c r="J6" s="6"/>
      <c r="K6" s="15">
        <f t="shared" si="0"/>
        <v>0</v>
      </c>
      <c r="L6" s="15">
        <f t="shared" si="1"/>
        <v>0</v>
      </c>
      <c r="M6" s="15">
        <f t="shared" si="2"/>
        <v>0</v>
      </c>
      <c r="N6" s="15">
        <f t="shared" si="3"/>
        <v>0</v>
      </c>
      <c r="O6" s="15">
        <f t="shared" si="4"/>
        <v>0</v>
      </c>
      <c r="P6" s="15">
        <f t="shared" si="5"/>
        <v>0</v>
      </c>
      <c r="Q6" s="4" t="str">
        <f t="shared" si="6"/>
        <v>Ready to test</v>
      </c>
    </row>
    <row r="7" spans="1:17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15">
        <f t="shared" si="0"/>
        <v>0</v>
      </c>
      <c r="L7" s="15">
        <f t="shared" si="1"/>
        <v>0</v>
      </c>
      <c r="M7" s="15">
        <f t="shared" si="2"/>
        <v>0</v>
      </c>
      <c r="N7" s="15">
        <f t="shared" si="3"/>
        <v>0</v>
      </c>
      <c r="O7" s="15">
        <f t="shared" si="4"/>
        <v>0</v>
      </c>
      <c r="P7" s="15">
        <f t="shared" si="5"/>
        <v>0</v>
      </c>
      <c r="Q7" s="4" t="str">
        <f t="shared" si="6"/>
        <v>Ready to test</v>
      </c>
    </row>
    <row r="8" spans="1:17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15">
        <f t="shared" si="0"/>
        <v>0</v>
      </c>
      <c r="L8" s="15">
        <f t="shared" si="1"/>
        <v>0</v>
      </c>
      <c r="M8" s="15">
        <f t="shared" si="2"/>
        <v>0</v>
      </c>
      <c r="N8" s="15">
        <f t="shared" si="3"/>
        <v>0</v>
      </c>
      <c r="O8" s="15">
        <f t="shared" si="4"/>
        <v>0</v>
      </c>
      <c r="P8" s="15">
        <f t="shared" si="5"/>
        <v>0</v>
      </c>
      <c r="Q8" s="4" t="str">
        <f t="shared" si="6"/>
        <v>Ready to test</v>
      </c>
    </row>
    <row r="9" spans="1:17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15">
        <f t="shared" si="0"/>
        <v>0</v>
      </c>
      <c r="L9" s="15">
        <f t="shared" si="1"/>
        <v>0</v>
      </c>
      <c r="M9" s="15">
        <f t="shared" si="2"/>
        <v>0</v>
      </c>
      <c r="N9" s="15">
        <f t="shared" si="3"/>
        <v>0</v>
      </c>
      <c r="O9" s="15">
        <f t="shared" si="4"/>
        <v>0</v>
      </c>
      <c r="P9" s="15">
        <f t="shared" si="5"/>
        <v>0</v>
      </c>
      <c r="Q9" s="4" t="str">
        <f t="shared" si="6"/>
        <v>Ready to test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15">
        <f t="shared" si="0"/>
        <v>0</v>
      </c>
      <c r="L10" s="15">
        <f t="shared" si="1"/>
        <v>0</v>
      </c>
      <c r="M10" s="15">
        <f t="shared" si="2"/>
        <v>0</v>
      </c>
      <c r="N10" s="15">
        <f t="shared" si="3"/>
        <v>0</v>
      </c>
      <c r="O10" s="15">
        <f t="shared" si="4"/>
        <v>0</v>
      </c>
      <c r="P10" s="15">
        <f t="shared" si="5"/>
        <v>0</v>
      </c>
      <c r="Q10" s="4" t="str">
        <f t="shared" si="6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15">
        <f t="shared" si="0"/>
        <v>0</v>
      </c>
      <c r="L11" s="15">
        <f t="shared" si="1"/>
        <v>0</v>
      </c>
      <c r="M11" s="15">
        <f t="shared" si="2"/>
        <v>0</v>
      </c>
      <c r="N11" s="15">
        <f t="shared" si="3"/>
        <v>0</v>
      </c>
      <c r="O11" s="15">
        <f t="shared" si="4"/>
        <v>0</v>
      </c>
      <c r="P11" s="15">
        <f t="shared" si="5"/>
        <v>0</v>
      </c>
      <c r="Q11" s="4" t="str">
        <f t="shared" si="6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15">
        <f t="shared" si="0"/>
        <v>0</v>
      </c>
      <c r="L12" s="15">
        <f t="shared" si="1"/>
        <v>0</v>
      </c>
      <c r="M12" s="15">
        <f t="shared" si="2"/>
        <v>0</v>
      </c>
      <c r="N12" s="15">
        <f t="shared" si="3"/>
        <v>0</v>
      </c>
      <c r="O12" s="15">
        <f t="shared" si="4"/>
        <v>0</v>
      </c>
      <c r="P12" s="15">
        <f t="shared" si="5"/>
        <v>0</v>
      </c>
      <c r="Q12" s="4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15">
        <f t="shared" si="0"/>
        <v>0</v>
      </c>
      <c r="L13" s="15">
        <f t="shared" si="1"/>
        <v>0</v>
      </c>
      <c r="M13" s="15">
        <f t="shared" si="2"/>
        <v>0</v>
      </c>
      <c r="N13" s="15">
        <f t="shared" si="3"/>
        <v>0</v>
      </c>
      <c r="O13" s="15">
        <f t="shared" si="4"/>
        <v>0</v>
      </c>
      <c r="P13" s="15">
        <f t="shared" si="5"/>
        <v>0</v>
      </c>
      <c r="Q13" s="4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15">
        <f t="shared" si="0"/>
        <v>0</v>
      </c>
      <c r="L14" s="15">
        <f t="shared" si="1"/>
        <v>0</v>
      </c>
      <c r="M14" s="15">
        <f t="shared" si="2"/>
        <v>0</v>
      </c>
      <c r="N14" s="15">
        <f t="shared" si="3"/>
        <v>0</v>
      </c>
      <c r="O14" s="15">
        <f t="shared" si="4"/>
        <v>0</v>
      </c>
      <c r="P14" s="15">
        <f t="shared" si="5"/>
        <v>0</v>
      </c>
      <c r="Q14" s="4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15">
        <f t="shared" si="0"/>
        <v>0</v>
      </c>
      <c r="L15" s="15">
        <f t="shared" si="1"/>
        <v>0</v>
      </c>
      <c r="M15" s="15">
        <f t="shared" si="2"/>
        <v>0</v>
      </c>
      <c r="N15" s="15">
        <f t="shared" si="3"/>
        <v>0</v>
      </c>
      <c r="O15" s="15">
        <f t="shared" si="4"/>
        <v>0</v>
      </c>
      <c r="P15" s="15">
        <f t="shared" si="5"/>
        <v>0</v>
      </c>
      <c r="Q15" s="4" t="str">
        <f t="shared" si="6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15">
        <f t="shared" si="0"/>
        <v>0</v>
      </c>
      <c r="L16" s="15">
        <f t="shared" si="1"/>
        <v>0</v>
      </c>
      <c r="M16" s="15">
        <f t="shared" si="2"/>
        <v>0</v>
      </c>
      <c r="N16" s="15">
        <f t="shared" si="3"/>
        <v>0</v>
      </c>
      <c r="O16" s="15">
        <f t="shared" si="4"/>
        <v>0</v>
      </c>
      <c r="P16" s="15">
        <f t="shared" si="5"/>
        <v>0</v>
      </c>
      <c r="Q16" s="4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16">
    <cfRule type="expression" dxfId="5" priority="1">
      <formula>Q3="Alert"</formula>
    </cfRule>
    <cfRule type="expression" dxfId="4" priority="2">
      <formula>Q3="Yes"</formula>
    </cfRule>
    <cfRule type="expression" dxfId="3" priority="3">
      <formula>Q3="No"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CF8AC-3485-41CA-957B-5E1AC170155D}">
  <dimension ref="A1:Q16"/>
  <sheetViews>
    <sheetView topLeftCell="J1" workbookViewId="0">
      <selection activeCell="K4" sqref="K4:P4"/>
    </sheetView>
  </sheetViews>
  <sheetFormatPr defaultRowHeight="14.4" x14ac:dyDescent="0.3"/>
  <cols>
    <col min="1" max="1" width="15" customWidth="1"/>
    <col min="2" max="2" width="9" bestFit="1" customWidth="1"/>
    <col min="3" max="3" width="12" bestFit="1" customWidth="1"/>
    <col min="4" max="4" width="17.44140625" bestFit="1" customWidth="1"/>
    <col min="5" max="5" width="12" customWidth="1"/>
    <col min="6" max="6" width="11.5546875" customWidth="1"/>
    <col min="7" max="7" width="12.33203125" customWidth="1"/>
    <col min="8" max="8" width="12" customWidth="1"/>
    <col min="9" max="9" width="11.109375" customWidth="1"/>
    <col min="10" max="10" width="11.33203125" customWidth="1"/>
    <col min="11" max="11" width="11.44140625" customWidth="1"/>
    <col min="12" max="12" width="13.44140625" customWidth="1"/>
    <col min="13" max="13" width="11.44140625" customWidth="1"/>
    <col min="14" max="14" width="18.33203125" bestFit="1" customWidth="1"/>
    <col min="15" max="15" width="13.5546875" customWidth="1"/>
    <col min="16" max="16" width="14.5546875" customWidth="1"/>
    <col min="17" max="17" width="12.88671875" customWidth="1"/>
  </cols>
  <sheetData>
    <row r="1" spans="1:17" x14ac:dyDescent="0.3">
      <c r="A1" s="68" t="s">
        <v>0</v>
      </c>
      <c r="B1" s="70" t="s">
        <v>85</v>
      </c>
      <c r="C1" s="70" t="s">
        <v>86</v>
      </c>
      <c r="D1" s="70" t="s">
        <v>87</v>
      </c>
      <c r="E1" s="70" t="s">
        <v>88</v>
      </c>
      <c r="F1" s="72"/>
      <c r="G1" s="72"/>
      <c r="H1" s="72"/>
      <c r="I1" s="72"/>
      <c r="J1" s="73"/>
      <c r="K1" s="74" t="s">
        <v>89</v>
      </c>
      <c r="L1" s="72"/>
      <c r="M1" s="72"/>
      <c r="N1" s="72"/>
      <c r="O1" s="72"/>
      <c r="P1" s="73"/>
      <c r="Q1" s="66" t="s">
        <v>90</v>
      </c>
    </row>
    <row r="2" spans="1:17" ht="15" thickBot="1" x14ac:dyDescent="0.35">
      <c r="A2" s="69"/>
      <c r="B2" s="71"/>
      <c r="C2" s="71"/>
      <c r="D2" s="71"/>
      <c r="E2" s="2">
        <v>1</v>
      </c>
      <c r="F2" s="2">
        <v>1.5</v>
      </c>
      <c r="G2" s="2">
        <v>2</v>
      </c>
      <c r="H2" s="2">
        <v>3.3</v>
      </c>
      <c r="I2" s="2">
        <v>4</v>
      </c>
      <c r="J2" s="2">
        <v>5</v>
      </c>
      <c r="K2" s="3" t="s">
        <v>91</v>
      </c>
      <c r="L2" s="2" t="s">
        <v>92</v>
      </c>
      <c r="M2" s="2" t="s">
        <v>93</v>
      </c>
      <c r="N2" s="8" t="s">
        <v>94</v>
      </c>
      <c r="O2" s="8" t="s">
        <v>95</v>
      </c>
      <c r="P2" s="8" t="s">
        <v>96</v>
      </c>
      <c r="Q2" s="67"/>
    </row>
    <row r="3" spans="1:17" x14ac:dyDescent="0.3">
      <c r="A3" s="7">
        <v>46103</v>
      </c>
      <c r="B3" s="4" t="s">
        <v>5</v>
      </c>
      <c r="C3" s="4"/>
      <c r="D3" s="4">
        <v>0.92</v>
      </c>
      <c r="E3" s="4">
        <v>0.92230000000000001</v>
      </c>
      <c r="F3" s="4">
        <v>1.3766</v>
      </c>
      <c r="G3" s="4">
        <v>1.8243</v>
      </c>
      <c r="H3" s="4">
        <v>3.0247999999999999</v>
      </c>
      <c r="I3" s="4">
        <v>3.6545999999999998</v>
      </c>
      <c r="J3" s="4">
        <v>4.5698999999999996</v>
      </c>
      <c r="K3" s="5">
        <f t="shared" ref="K3:K16" si="0">IF(D3=0, 0, 100*(E3 - D3*1)/(D3*1))</f>
        <v>0.24999999999999659</v>
      </c>
      <c r="L3" s="5">
        <f t="shared" ref="L3:L16" si="1">IF(D3=0, 0, 100*(F3 - D3*1.5)/(D3*1.5))</f>
        <v>-0.24637681159420793</v>
      </c>
      <c r="M3" s="5">
        <f t="shared" ref="M3:M16" si="2">IF(D3=0, 0, 100*(G3 - D3*2)/(D3*2))</f>
        <v>-0.85326086956521996</v>
      </c>
      <c r="N3" s="5">
        <f t="shared" ref="N3:N16" si="3">IF(D3=0, 0, 100*(H3 - D3*3.3)/(D3*3.3))</f>
        <v>-0.36890645586298088</v>
      </c>
      <c r="O3" s="5">
        <f t="shared" ref="O3:O16" si="4">IF(D3=0, 0, 100*(I3 - D3*4)/(D3*4))</f>
        <v>-0.69021739130435622</v>
      </c>
      <c r="P3" s="5">
        <f t="shared" ref="P3:P16" si="5">IF(D3=0, 0, 100*(J3 - D3*5)/(D3*5))</f>
        <v>-0.65434782608697606</v>
      </c>
      <c r="Q3" s="4" t="str">
        <f>IF(AND(K3&gt;=0.11,K3&lt;=0.27,L3&gt;=-0.36,L3&lt;=-0.22,M3&gt;=-0.92,M3&lt;=-0.82,N3&gt;=-0.4,N3&lt;=-0.3,O3&gt;=-0.79,O3&lt;=-0.64,P3&gt;=-0.76,P3&lt;=-0.61), "Yes", IF(AND(K3=0,L3=0,M3=0,N3=0,O3=0,P3=0), "Ready to test", "No"))</f>
        <v>Yes</v>
      </c>
    </row>
    <row r="4" spans="1:17" x14ac:dyDescent="0.3">
      <c r="A4" s="16">
        <v>46212</v>
      </c>
      <c r="B4" s="6" t="s">
        <v>5</v>
      </c>
      <c r="C4" s="6" t="s">
        <v>140</v>
      </c>
      <c r="D4" s="6">
        <v>0.92</v>
      </c>
      <c r="E4" s="6">
        <v>0.92190000000000005</v>
      </c>
      <c r="F4" s="6">
        <v>1.3758999999999999</v>
      </c>
      <c r="G4" s="17">
        <v>1.8240000000000001</v>
      </c>
      <c r="H4" s="6">
        <v>3.0255000000000001</v>
      </c>
      <c r="I4" s="6">
        <v>3.6539000000000001</v>
      </c>
      <c r="J4" s="6">
        <v>4.5692000000000004</v>
      </c>
      <c r="K4" s="15">
        <f t="shared" si="0"/>
        <v>0.20652173913043617</v>
      </c>
      <c r="L4" s="15">
        <f t="shared" si="1"/>
        <v>-0.29710144927537785</v>
      </c>
      <c r="M4" s="15">
        <f t="shared" si="2"/>
        <v>-0.8695652173913051</v>
      </c>
      <c r="N4" s="15">
        <f t="shared" si="3"/>
        <v>-0.34584980237153995</v>
      </c>
      <c r="O4" s="15">
        <f t="shared" si="4"/>
        <v>-0.70923913043478293</v>
      </c>
      <c r="P4" s="15">
        <f t="shared" si="5"/>
        <v>-0.66956521739130781</v>
      </c>
      <c r="Q4" s="6" t="str">
        <f>IF(AND(K4&gt;=0.11,K4&lt;=0.27,L4&gt;=-0.36,L4&lt;=-0.22,M4&gt;=-0.92,M4&lt;=-0.82,N4&gt;=-0.4,N4&lt;=-0.3,O4&gt;=-0.79,O4&lt;=-0.64,P4&gt;=-0.76,P4&lt;=-0.61), "Yes", IF(AND(K4=0,L4=0,M4=0,N4=0,O4=0,P4=0), "Ready to test", "No"))</f>
        <v>Yes</v>
      </c>
    </row>
    <row r="5" spans="1:17" x14ac:dyDescent="0.3">
      <c r="A5" s="16"/>
      <c r="B5" s="6"/>
      <c r="C5" s="6"/>
      <c r="D5" s="6"/>
      <c r="E5" s="6"/>
      <c r="F5" s="6"/>
      <c r="G5" s="6"/>
      <c r="H5" s="6"/>
      <c r="I5" s="6"/>
      <c r="J5" s="6"/>
      <c r="K5" s="15">
        <f t="shared" si="0"/>
        <v>0</v>
      </c>
      <c r="L5" s="15">
        <f t="shared" si="1"/>
        <v>0</v>
      </c>
      <c r="M5" s="15">
        <f t="shared" si="2"/>
        <v>0</v>
      </c>
      <c r="N5" s="15">
        <f t="shared" si="3"/>
        <v>0</v>
      </c>
      <c r="O5" s="15">
        <f t="shared" si="4"/>
        <v>0</v>
      </c>
      <c r="P5" s="15">
        <f t="shared" si="5"/>
        <v>0</v>
      </c>
      <c r="Q5" s="6" t="str">
        <f>IF(AND(K5&gt;=0.11,K5&lt;=0.27,L5&gt;=-0.38,L5&lt;=-0.22,M5&gt;=-0.94,M5&lt;=-0.82,N5&gt;=-0.41,N5&lt;=-0.3,O5&gt;=-0.79,O5&lt;=-0.64,P5&gt;=-0.76,P5&lt;=-0.61), "Yes", IF(AND(K5=0,L5=0,M5=0,N5=0,O5=0,P5=0), "Ready to test", "No"))</f>
        <v>Ready to test</v>
      </c>
    </row>
    <row r="6" spans="1:17" x14ac:dyDescent="0.3">
      <c r="A6" s="16"/>
      <c r="B6" s="6"/>
      <c r="C6" s="6"/>
      <c r="D6" s="6"/>
      <c r="E6" s="6"/>
      <c r="F6" s="6"/>
      <c r="G6" s="17"/>
      <c r="H6" s="6"/>
      <c r="I6" s="6"/>
      <c r="J6" s="6"/>
      <c r="K6" s="15">
        <f t="shared" si="0"/>
        <v>0</v>
      </c>
      <c r="L6" s="15">
        <f t="shared" si="1"/>
        <v>0</v>
      </c>
      <c r="M6" s="15">
        <f t="shared" si="2"/>
        <v>0</v>
      </c>
      <c r="N6" s="15">
        <f t="shared" si="3"/>
        <v>0</v>
      </c>
      <c r="O6" s="15">
        <f t="shared" si="4"/>
        <v>0</v>
      </c>
      <c r="P6" s="15">
        <f t="shared" si="5"/>
        <v>0</v>
      </c>
      <c r="Q6" s="6" t="str">
        <f t="shared" ref="Q6:Q16" si="6">IF(AND(K6&gt;=0.11,K6&lt;=0.27,L6&gt;=-0.36,L6&lt;=-0.22,M6&gt;=-0.92,M6&lt;=-0.82,N6&gt;=-0.4,N6&lt;=-0.3,O6&gt;=-0.79,O6&lt;=-0.64,P6&gt;=-0.76,P6&lt;=-0.61), "Yes", IF(AND(K6=0,L6=0,M6=0,N6=0,O6=0,P6=0), "Ready to test", "No"))</f>
        <v>Ready to test</v>
      </c>
    </row>
    <row r="7" spans="1:17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15">
        <f t="shared" si="0"/>
        <v>0</v>
      </c>
      <c r="L7" s="15">
        <f t="shared" si="1"/>
        <v>0</v>
      </c>
      <c r="M7" s="15">
        <f t="shared" si="2"/>
        <v>0</v>
      </c>
      <c r="N7" s="15">
        <f t="shared" si="3"/>
        <v>0</v>
      </c>
      <c r="O7" s="15">
        <f t="shared" si="4"/>
        <v>0</v>
      </c>
      <c r="P7" s="15">
        <f t="shared" si="5"/>
        <v>0</v>
      </c>
      <c r="Q7" s="6" t="str">
        <f t="shared" si="6"/>
        <v>Ready to test</v>
      </c>
    </row>
    <row r="8" spans="1:17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15">
        <f t="shared" si="0"/>
        <v>0</v>
      </c>
      <c r="L8" s="15">
        <f t="shared" si="1"/>
        <v>0</v>
      </c>
      <c r="M8" s="15">
        <f t="shared" si="2"/>
        <v>0</v>
      </c>
      <c r="N8" s="15">
        <f t="shared" si="3"/>
        <v>0</v>
      </c>
      <c r="O8" s="15">
        <f t="shared" si="4"/>
        <v>0</v>
      </c>
      <c r="P8" s="15">
        <f t="shared" si="5"/>
        <v>0</v>
      </c>
      <c r="Q8" s="6" t="str">
        <f t="shared" si="6"/>
        <v>Ready to test</v>
      </c>
    </row>
    <row r="9" spans="1:17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15">
        <f t="shared" si="0"/>
        <v>0</v>
      </c>
      <c r="L9" s="15">
        <f t="shared" si="1"/>
        <v>0</v>
      </c>
      <c r="M9" s="15">
        <f t="shared" si="2"/>
        <v>0</v>
      </c>
      <c r="N9" s="15">
        <f t="shared" si="3"/>
        <v>0</v>
      </c>
      <c r="O9" s="15">
        <f t="shared" si="4"/>
        <v>0</v>
      </c>
      <c r="P9" s="15">
        <f t="shared" si="5"/>
        <v>0</v>
      </c>
      <c r="Q9" s="6" t="str">
        <f t="shared" si="6"/>
        <v>Ready to test</v>
      </c>
    </row>
    <row r="10" spans="1:17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15">
        <f t="shared" si="0"/>
        <v>0</v>
      </c>
      <c r="L10" s="15">
        <f t="shared" si="1"/>
        <v>0</v>
      </c>
      <c r="M10" s="15">
        <f t="shared" si="2"/>
        <v>0</v>
      </c>
      <c r="N10" s="15">
        <f t="shared" si="3"/>
        <v>0</v>
      </c>
      <c r="O10" s="15">
        <f t="shared" si="4"/>
        <v>0</v>
      </c>
      <c r="P10" s="15">
        <f t="shared" si="5"/>
        <v>0</v>
      </c>
      <c r="Q10" s="6" t="str">
        <f t="shared" si="6"/>
        <v>Ready to test</v>
      </c>
    </row>
    <row r="11" spans="1:17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15">
        <f t="shared" si="0"/>
        <v>0</v>
      </c>
      <c r="L11" s="15">
        <f t="shared" si="1"/>
        <v>0</v>
      </c>
      <c r="M11" s="15">
        <f t="shared" si="2"/>
        <v>0</v>
      </c>
      <c r="N11" s="15">
        <f t="shared" si="3"/>
        <v>0</v>
      </c>
      <c r="O11" s="15">
        <f t="shared" si="4"/>
        <v>0</v>
      </c>
      <c r="P11" s="15">
        <f t="shared" si="5"/>
        <v>0</v>
      </c>
      <c r="Q11" s="6" t="str">
        <f t="shared" si="6"/>
        <v>Ready to test</v>
      </c>
    </row>
    <row r="12" spans="1:17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15">
        <f t="shared" si="0"/>
        <v>0</v>
      </c>
      <c r="L12" s="15">
        <f t="shared" si="1"/>
        <v>0</v>
      </c>
      <c r="M12" s="15">
        <f t="shared" si="2"/>
        <v>0</v>
      </c>
      <c r="N12" s="15">
        <f t="shared" si="3"/>
        <v>0</v>
      </c>
      <c r="O12" s="15">
        <f t="shared" si="4"/>
        <v>0</v>
      </c>
      <c r="P12" s="15">
        <f t="shared" si="5"/>
        <v>0</v>
      </c>
      <c r="Q12" s="6" t="str">
        <f t="shared" si="6"/>
        <v>Ready to test</v>
      </c>
    </row>
    <row r="13" spans="1:17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15">
        <f t="shared" si="0"/>
        <v>0</v>
      </c>
      <c r="L13" s="15">
        <f t="shared" si="1"/>
        <v>0</v>
      </c>
      <c r="M13" s="15">
        <f t="shared" si="2"/>
        <v>0</v>
      </c>
      <c r="N13" s="15">
        <f t="shared" si="3"/>
        <v>0</v>
      </c>
      <c r="O13" s="15">
        <f t="shared" si="4"/>
        <v>0</v>
      </c>
      <c r="P13" s="15">
        <f t="shared" si="5"/>
        <v>0</v>
      </c>
      <c r="Q13" s="6" t="str">
        <f t="shared" si="6"/>
        <v>Ready to test</v>
      </c>
    </row>
    <row r="14" spans="1:17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15">
        <f t="shared" si="0"/>
        <v>0</v>
      </c>
      <c r="L14" s="15">
        <f t="shared" si="1"/>
        <v>0</v>
      </c>
      <c r="M14" s="15">
        <f t="shared" si="2"/>
        <v>0</v>
      </c>
      <c r="N14" s="15">
        <f t="shared" si="3"/>
        <v>0</v>
      </c>
      <c r="O14" s="15">
        <f t="shared" si="4"/>
        <v>0</v>
      </c>
      <c r="P14" s="15">
        <f t="shared" si="5"/>
        <v>0</v>
      </c>
      <c r="Q14" s="6" t="str">
        <f t="shared" si="6"/>
        <v>Ready to test</v>
      </c>
    </row>
    <row r="15" spans="1:17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15">
        <f t="shared" si="0"/>
        <v>0</v>
      </c>
      <c r="L15" s="15">
        <f t="shared" si="1"/>
        <v>0</v>
      </c>
      <c r="M15" s="15">
        <f t="shared" si="2"/>
        <v>0</v>
      </c>
      <c r="N15" s="15">
        <f t="shared" si="3"/>
        <v>0</v>
      </c>
      <c r="O15" s="15">
        <f t="shared" si="4"/>
        <v>0</v>
      </c>
      <c r="P15" s="15">
        <f t="shared" si="5"/>
        <v>0</v>
      </c>
      <c r="Q15" s="6" t="str">
        <f t="shared" si="6"/>
        <v>Ready to test</v>
      </c>
    </row>
    <row r="16" spans="1:17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15">
        <f t="shared" si="0"/>
        <v>0</v>
      </c>
      <c r="L16" s="15">
        <f t="shared" si="1"/>
        <v>0</v>
      </c>
      <c r="M16" s="15">
        <f t="shared" si="2"/>
        <v>0</v>
      </c>
      <c r="N16" s="15">
        <f t="shared" si="3"/>
        <v>0</v>
      </c>
      <c r="O16" s="15">
        <f t="shared" si="4"/>
        <v>0</v>
      </c>
      <c r="P16" s="15">
        <f t="shared" si="5"/>
        <v>0</v>
      </c>
      <c r="Q16" s="6" t="str">
        <f t="shared" si="6"/>
        <v>Ready to test</v>
      </c>
    </row>
  </sheetData>
  <mergeCells count="7">
    <mergeCell ref="Q1:Q2"/>
    <mergeCell ref="A1:A2"/>
    <mergeCell ref="B1:B2"/>
    <mergeCell ref="C1:C2"/>
    <mergeCell ref="D1:D2"/>
    <mergeCell ref="E1:J1"/>
    <mergeCell ref="K1:P1"/>
  </mergeCells>
  <conditionalFormatting sqref="Q3:Q6">
    <cfRule type="expression" dxfId="2" priority="1">
      <formula>Q3="Alert"</formula>
    </cfRule>
    <cfRule type="expression" dxfId="1" priority="2">
      <formula>Q3="Yes"</formula>
    </cfRule>
    <cfRule type="expression" dxfId="0" priority="3">
      <formula>Q3="No"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141CC-89AF-4A34-AC47-813593FA78B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0B7169E98E5041B6DB237CF3381447" ma:contentTypeVersion="20" ma:contentTypeDescription="Create a new document." ma:contentTypeScope="" ma:versionID="bd26a47e57be36b5142f6f55b22894ac">
  <xsd:schema xmlns:xsd="http://www.w3.org/2001/XMLSchema" xmlns:xs="http://www.w3.org/2001/XMLSchema" xmlns:p="http://schemas.microsoft.com/office/2006/metadata/properties" xmlns:ns2="1865e7f1-b0f4-461f-bd23-e8d5b6692e52" xmlns:ns3="10ae87f9-6a18-4e46-aee5-87e3cf467f6e" targetNamespace="http://schemas.microsoft.com/office/2006/metadata/properties" ma:root="true" ma:fieldsID="aa176d0b93275a37607f841fcbfe3c53" ns2:_="" ns3:_="">
    <xsd:import namespace="1865e7f1-b0f4-461f-bd23-e8d5b6692e52"/>
    <xsd:import namespace="10ae87f9-6a18-4e46-aee5-87e3cf467f6e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65e7f1-b0f4-461f-bd23-e8d5b6692e52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Image Tags_0" ma:hidden="true" ma:internalName="lcf76f155ced4ddcb4097134ff3c332f0" ma:readOnly="fals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269fab1-e72c-48ff-88b7-6329738e10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ae87f9-6a18-4e46-aee5-87e3cf467f6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2160e36-75ea-4142-ba62-6a69d5d59f24}" ma:internalName="TaxCatchAll" ma:showField="CatchAllData" ma:web="10ae87f9-6a18-4e46-aee5-87e3cf467f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Version xmlns="1865e7f1-b0f4-461f-bd23-e8d5b6692e52" xsi:nil="true"/>
    <lcf76f155ced4ddcb4097134ff3c332f xmlns="1865e7f1-b0f4-461f-bd23-e8d5b6692e52">
      <Terms xmlns="http://schemas.microsoft.com/office/infopath/2007/PartnerControls"/>
    </lcf76f155ced4ddcb4097134ff3c332f>
    <MigrationWizId xmlns="1865e7f1-b0f4-461f-bd23-e8d5b6692e52" xsi:nil="true"/>
    <TaxCatchAll xmlns="10ae87f9-6a18-4e46-aee5-87e3cf467f6e" xsi:nil="true"/>
    <lcf76f155ced4ddcb4097134ff3c332f0 xmlns="1865e7f1-b0f4-461f-bd23-e8d5b6692e52" xsi:nil="true"/>
    <MigrationWizIdPermissions xmlns="1865e7f1-b0f4-461f-bd23-e8d5b6692e5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A3D53B-3520-4807-BEAF-4802DFDC5F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65e7f1-b0f4-461f-bd23-e8d5b6692e52"/>
    <ds:schemaRef ds:uri="10ae87f9-6a18-4e46-aee5-87e3cf467f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BD4F2A-32D7-4393-95BD-654BD645B121}">
  <ds:schemaRefs>
    <ds:schemaRef ds:uri="http://schemas.microsoft.com/office/2006/metadata/properties"/>
    <ds:schemaRef ds:uri="http://schemas.microsoft.com/office/infopath/2007/PartnerControls"/>
    <ds:schemaRef ds:uri="1865e7f1-b0f4-461f-bd23-e8d5b6692e52"/>
    <ds:schemaRef ds:uri="10ae87f9-6a18-4e46-aee5-87e3cf467f6e"/>
  </ds:schemaRefs>
</ds:datastoreItem>
</file>

<file path=customXml/itemProps3.xml><?xml version="1.0" encoding="utf-8"?>
<ds:datastoreItem xmlns:ds="http://schemas.openxmlformats.org/officeDocument/2006/customXml" ds:itemID="{5B8785B3-DD6A-41A1-8F6F-89D340D268E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69</vt:i4>
      </vt:variant>
    </vt:vector>
  </HeadingPairs>
  <TitlesOfParts>
    <vt:vector size="69" baseType="lpstr">
      <vt:lpstr>Recent state</vt:lpstr>
      <vt:lpstr>1-1</vt:lpstr>
      <vt:lpstr>1-2</vt:lpstr>
      <vt:lpstr>1-3</vt:lpstr>
      <vt:lpstr>1-6</vt:lpstr>
      <vt:lpstr>1-5</vt:lpstr>
      <vt:lpstr>1-7</vt:lpstr>
      <vt:lpstr>1-8</vt:lpstr>
      <vt:lpstr>2-1</vt:lpstr>
      <vt:lpstr>2-2</vt:lpstr>
      <vt:lpstr>2-3</vt:lpstr>
      <vt:lpstr>2-4</vt:lpstr>
      <vt:lpstr>2-5</vt:lpstr>
      <vt:lpstr>2-6</vt:lpstr>
      <vt:lpstr>2-7</vt:lpstr>
      <vt:lpstr>2-8</vt:lpstr>
      <vt:lpstr>3-1</vt:lpstr>
      <vt:lpstr>3-2</vt:lpstr>
      <vt:lpstr>3-3</vt:lpstr>
      <vt:lpstr>3-4</vt:lpstr>
      <vt:lpstr>3-5</vt:lpstr>
      <vt:lpstr>3-6</vt:lpstr>
      <vt:lpstr>3-7</vt:lpstr>
      <vt:lpstr>3-8</vt:lpstr>
      <vt:lpstr>4-1</vt:lpstr>
      <vt:lpstr>4-2</vt:lpstr>
      <vt:lpstr>4-3</vt:lpstr>
      <vt:lpstr>4-4</vt:lpstr>
      <vt:lpstr>4-5</vt:lpstr>
      <vt:lpstr>4-6</vt:lpstr>
      <vt:lpstr>5-1</vt:lpstr>
      <vt:lpstr>5-3</vt:lpstr>
      <vt:lpstr>5-4</vt:lpstr>
      <vt:lpstr>5-5</vt:lpstr>
      <vt:lpstr>5-7</vt:lpstr>
      <vt:lpstr>5-8</vt:lpstr>
      <vt:lpstr>6-1</vt:lpstr>
      <vt:lpstr>6-2</vt:lpstr>
      <vt:lpstr>6-3</vt:lpstr>
      <vt:lpstr>6-4</vt:lpstr>
      <vt:lpstr>6-5</vt:lpstr>
      <vt:lpstr>6-6</vt:lpstr>
      <vt:lpstr>6-7</vt:lpstr>
      <vt:lpstr>6-8</vt:lpstr>
      <vt:lpstr>7-1</vt:lpstr>
      <vt:lpstr>7-2</vt:lpstr>
      <vt:lpstr>7-3</vt:lpstr>
      <vt:lpstr>7-4</vt:lpstr>
      <vt:lpstr>7-5</vt:lpstr>
      <vt:lpstr>7-6</vt:lpstr>
      <vt:lpstr>7-7</vt:lpstr>
      <vt:lpstr>7-8</vt:lpstr>
      <vt:lpstr>8-1</vt:lpstr>
      <vt:lpstr>8-2</vt:lpstr>
      <vt:lpstr>8-3</vt:lpstr>
      <vt:lpstr>8-4</vt:lpstr>
      <vt:lpstr>8-5</vt:lpstr>
      <vt:lpstr>8-6</vt:lpstr>
      <vt:lpstr>8-7</vt:lpstr>
      <vt:lpstr>8-8</vt:lpstr>
      <vt:lpstr>Lab 1-1</vt:lpstr>
      <vt:lpstr>Lab 1-2</vt:lpstr>
      <vt:lpstr>Lab 1-3</vt:lpstr>
      <vt:lpstr>Lab 1-4</vt:lpstr>
      <vt:lpstr>Lab 1-5</vt:lpstr>
      <vt:lpstr>Lab 1-6</vt:lpstr>
      <vt:lpstr>Lab 1-7</vt:lpstr>
      <vt:lpstr>Lab 1-8 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Balázs Izbéki</dc:creator>
  <cp:keywords/>
  <dc:description/>
  <cp:lastModifiedBy>Csenger Molnár</cp:lastModifiedBy>
  <cp:revision/>
  <dcterms:created xsi:type="dcterms:W3CDTF">2015-06-05T18:19:34Z</dcterms:created>
  <dcterms:modified xsi:type="dcterms:W3CDTF">2026-07-14T08:35:06Z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0x010100A40B7169E98E5041B6DB237CF3381447</vt:lpwstr>
  </property>
  <property fmtid="{D5CDD505-2E9C-101B-9397-08002B2CF9AE}" pid="3" name="MediaServiceImageTags">
    <vt:lpwstr/>
  </property>
</Properties>
</file>