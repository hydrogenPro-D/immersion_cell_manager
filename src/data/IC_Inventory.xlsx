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hydrogenpro.sharepoint.com/sites/AdvancedSurfacePlatingApS/Shared Documents/General/Immersion cells/"/>
    </mc:Choice>
  </mc:AlternateContent>
  <xr:revisionPtr revIDLastSave="123" documentId="11_1EE1960B17D6D7440C0D2CFF3ED8031D94850920" xr6:coauthVersionLast="47" xr6:coauthVersionMax="47" xr10:uidLastSave="{00CECD92-6A09-4758-A35E-54DFC14F13BA}"/>
  <bookViews>
    <workbookView xWindow="-6030" yWindow="-21720" windowWidth="38640" windowHeight="21120" xr2:uid="{00000000-000D-0000-FFFF-FFFF00000000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F5" i="1"/>
  <c r="F2" i="1"/>
  <c r="E5" i="1"/>
  <c r="E2" i="1"/>
  <c r="B5" i="1"/>
  <c r="I9" i="1"/>
  <c r="F8" i="1"/>
  <c r="E8" i="1"/>
  <c r="B9" i="1"/>
  <c r="E9" i="1" l="1"/>
  <c r="F9" i="1"/>
</calcChain>
</file>

<file path=xl/sharedStrings.xml><?xml version="1.0" encoding="utf-8"?>
<sst xmlns="http://schemas.openxmlformats.org/spreadsheetml/2006/main" count="14" uniqueCount="14">
  <si>
    <t>Lids</t>
  </si>
  <si>
    <t>Screws</t>
  </si>
  <si>
    <t>nuts</t>
  </si>
  <si>
    <t>Beaker</t>
  </si>
  <si>
    <t>New</t>
  </si>
  <si>
    <t>In bag</t>
  </si>
  <si>
    <t>Good ones</t>
  </si>
  <si>
    <t>Damaged (unrepairable)</t>
  </si>
  <si>
    <t>SUM of usable</t>
  </si>
  <si>
    <t>SUM</t>
  </si>
  <si>
    <t>Total</t>
  </si>
  <si>
    <t>broken</t>
  </si>
  <si>
    <t>For 70 cells</t>
  </si>
  <si>
    <t>Need to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</si>
</sst>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topLeftCell="A7" workbookViewId="0">
      <selection activeCell="Q13" sqref="Q13"/>
    </sheetView>
  </sheetViews>
  <sheetFormatPr defaultRowHeight="14.5" x14ac:dyDescent="0.35"/>
  <cols>
    <col min="1" max="1" width="14" bestFit="1" customWidth="1"/>
    <col min="2" max="2" width="22.54296875" bestFit="1" customWidth="1"/>
    <col min="8" max="8" width="21.90625" bestFit="1" customWidth="1"/>
  </cols>
  <sheetData>
    <row r="1" spans="1:9" x14ac:dyDescent="0.35">
      <c r="B1" s="1" t="s">
        <v>0</v>
      </c>
      <c r="E1" s="2" t="s">
        <v>1</v>
      </c>
      <c r="F1" s="7" t="s">
        <v>2</v>
      </c>
      <c r="I1" s="6" t="s">
        <v>3</v>
      </c>
    </row>
    <row r="2" spans="1:9" x14ac:dyDescent="0.35">
      <c r="A2" t="s">
        <v>4</v>
      </c>
      <c r="B2">
        <v>63</v>
      </c>
      <c r="D2" t="s">
        <v>5</v>
      </c>
      <c r="E2" s="2">
        <f>5*6+3+53*6</f>
        <v>351</v>
      </c>
      <c r="F2" s="7">
        <f>5*6+2+53*6</f>
        <v>350</v>
      </c>
      <c r="H2" s="3" t="s">
        <v>6</v>
      </c>
      <c r="I2">
        <v>66</v>
      </c>
    </row>
    <row r="3" spans="1:9" x14ac:dyDescent="0.35">
      <c r="E3" s="2">
        <v>325</v>
      </c>
      <c r="F3" s="7">
        <v>277</v>
      </c>
    </row>
    <row r="4" spans="1:9" x14ac:dyDescent="0.35">
      <c r="E4" s="2"/>
      <c r="F4" s="7"/>
      <c r="H4" s="4" t="s">
        <v>7</v>
      </c>
      <c r="I4">
        <v>13</v>
      </c>
    </row>
    <row r="5" spans="1:9" x14ac:dyDescent="0.35">
      <c r="A5" t="s">
        <v>8</v>
      </c>
      <c r="B5">
        <f>B2</f>
        <v>63</v>
      </c>
      <c r="D5" t="s">
        <v>9</v>
      </c>
      <c r="E5" s="2">
        <f>SUM(E2:E4)</f>
        <v>676</v>
      </c>
      <c r="F5" s="7">
        <f>SUM(F2:F4)</f>
        <v>627</v>
      </c>
      <c r="H5" s="5" t="s">
        <v>10</v>
      </c>
      <c r="I5">
        <f>SUM(I2:I4)</f>
        <v>79</v>
      </c>
    </row>
    <row r="6" spans="1:9" x14ac:dyDescent="0.35">
      <c r="A6" t="s">
        <v>11</v>
      </c>
    </row>
    <row r="8" spans="1:9" x14ac:dyDescent="0.35">
      <c r="A8" t="s">
        <v>12</v>
      </c>
      <c r="B8">
        <v>70</v>
      </c>
      <c r="E8">
        <f>70*6</f>
        <v>420</v>
      </c>
      <c r="F8">
        <f>70*6</f>
        <v>420</v>
      </c>
      <c r="I8">
        <v>70</v>
      </c>
    </row>
    <row r="9" spans="1:9" x14ac:dyDescent="0.35">
      <c r="A9" s="8" t="s">
        <v>13</v>
      </c>
      <c r="B9" s="8">
        <f>B8-B5</f>
        <v>7</v>
      </c>
      <c r="C9" s="8"/>
      <c r="D9" s="8"/>
      <c r="E9" s="8">
        <f>E8-E5</f>
        <v>-256</v>
      </c>
      <c r="F9" s="8">
        <f>F8-F5</f>
        <v>-207</v>
      </c>
      <c r="G9" s="8"/>
      <c r="H9" s="8"/>
      <c r="I9" s="8">
        <f>I8-(I3+I2)</f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0B7169E98E5041B6DB237CF3381447" ma:contentTypeVersion="20" ma:contentTypeDescription="Create a new document." ma:contentTypeScope="" ma:versionID="bd26a47e57be36b5142f6f55b22894ac">
  <xsd:schema xmlns:xsd="http://www.w3.org/2001/XMLSchema" xmlns:xs="http://www.w3.org/2001/XMLSchema" xmlns:p="http://schemas.microsoft.com/office/2006/metadata/properties" xmlns:ns2="1865e7f1-b0f4-461f-bd23-e8d5b6692e52" xmlns:ns3="10ae87f9-6a18-4e46-aee5-87e3cf467f6e" targetNamespace="http://schemas.microsoft.com/office/2006/metadata/properties" ma:root="true" ma:fieldsID="aa176d0b93275a37607f841fcbfe3c53" ns2:_="" ns3:_="">
    <xsd:import namespace="1865e7f1-b0f4-461f-bd23-e8d5b6692e52"/>
    <xsd:import namespace="10ae87f9-6a18-4e46-aee5-87e3cf467f6e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65e7f1-b0f4-461f-bd23-e8d5b6692e52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Image Tags_0" ma:hidden="true" ma:internalName="lcf76f155ced4ddcb4097134ff3c332f0" ma:readOnly="fals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269fab1-e72c-48ff-88b7-6329738e10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ae87f9-6a18-4e46-aee5-87e3cf467f6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2160e36-75ea-4142-ba62-6a69d5d59f24}" ma:internalName="TaxCatchAll" ma:showField="CatchAllData" ma:web="10ae87f9-6a18-4e46-aee5-87e3cf467f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Version xmlns="1865e7f1-b0f4-461f-bd23-e8d5b6692e52" xsi:nil="true"/>
    <lcf76f155ced4ddcb4097134ff3c332f xmlns="1865e7f1-b0f4-461f-bd23-e8d5b6692e52">
      <Terms xmlns="http://schemas.microsoft.com/office/infopath/2007/PartnerControls"/>
    </lcf76f155ced4ddcb4097134ff3c332f>
    <MigrationWizId xmlns="1865e7f1-b0f4-461f-bd23-e8d5b6692e52" xsi:nil="true"/>
    <TaxCatchAll xmlns="10ae87f9-6a18-4e46-aee5-87e3cf467f6e" xsi:nil="true"/>
    <lcf76f155ced4ddcb4097134ff3c332f0 xmlns="1865e7f1-b0f4-461f-bd23-e8d5b6692e52" xsi:nil="true"/>
    <MigrationWizIdPermissions xmlns="1865e7f1-b0f4-461f-bd23-e8d5b6692e5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1BAFA1-5957-468C-B8D4-58F6A32236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65e7f1-b0f4-461f-bd23-e8d5b6692e52"/>
    <ds:schemaRef ds:uri="10ae87f9-6a18-4e46-aee5-87e3cf467f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BB0B1B9-D562-4F1F-8C82-6712750F6823}">
  <ds:schemaRefs>
    <ds:schemaRef ds:uri="http://schemas.microsoft.com/office/2006/metadata/properties"/>
    <ds:schemaRef ds:uri="http://schemas.microsoft.com/office/infopath/2007/PartnerControls"/>
    <ds:schemaRef ds:uri="1865e7f1-b0f4-461f-bd23-e8d5b6692e52"/>
    <ds:schemaRef ds:uri="10ae87f9-6a18-4e46-aee5-87e3cf467f6e"/>
  </ds:schemaRefs>
</ds:datastoreItem>
</file>

<file path=customXml/itemProps3.xml><?xml version="1.0" encoding="utf-8"?>
<ds:datastoreItem xmlns:ds="http://schemas.openxmlformats.org/officeDocument/2006/customXml" ds:itemID="{7A265126-32AC-4495-9750-3EEA1DEBAC9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DK Lab3 | HydrogenPro</dc:creator>
  <cp:keywords/>
  <dc:description/>
  <cp:lastModifiedBy>DK Lab3 | HydrogenPro</cp:lastModifiedBy>
  <cp:revision/>
  <dcterms:created xsi:type="dcterms:W3CDTF">2015-06-05T18:19:34Z</dcterms:created>
  <dcterms:modified xsi:type="dcterms:W3CDTF">2026-08-11T11:36:13Z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0x010100A40B7169E98E5041B6DB237CF3381447</vt:lpwstr>
  </property>
  <property fmtid="{D5CDD505-2E9C-101B-9397-08002B2CF9AE}" pid="3" name="MediaServiceImageTags">
    <vt:lpwstr/>
  </property>
</Properties>
</file>