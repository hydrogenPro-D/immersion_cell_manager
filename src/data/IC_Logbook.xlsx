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hydrogenpro-my.sharepoint.com/personal/csenger_molnar_hydrogenpro_com/Documents/Dokumenter/GitHub/immersion_cell_manager/src/data/"/>
    </mc:Choice>
  </mc:AlternateContent>
  <xr:revisionPtr revIDLastSave="19454" documentId="11_C18DBB52BD6D0715A33DF9F837C39810F03E8CBF" xr6:coauthVersionLast="47" xr6:coauthVersionMax="47" xr10:uidLastSave="{09DB1998-AA34-4547-9948-AD9C57288F3E}"/>
  <bookViews>
    <workbookView xWindow="-28920" yWindow="-120" windowWidth="29040" windowHeight="15720" activeTab="4" xr2:uid="{00000000-000D-0000-FFFF-FFFF00000000}"/>
  </bookViews>
  <sheets>
    <sheet name="1. Summary" sheetId="20" r:id="rId1"/>
    <sheet name="Gen2-Gen2" sheetId="2" r:id="rId2"/>
    <sheet name="Gen3-Gen3 " sheetId="1" r:id="rId3"/>
    <sheet name="Gen2-Gen3Ano" sheetId="4" r:id="rId4"/>
    <sheet name="Gen3Cat-Gen2" sheetId="3" r:id="rId5"/>
    <sheet name="Gen4Cat-Gen2" sheetId="23" r:id="rId6"/>
    <sheet name="Accelerated" sheetId="17" r:id="rId7"/>
    <sheet name="H2-FOAM" sheetId="15" r:id="rId8"/>
    <sheet name="LC-H2" sheetId="11" r:id="rId9"/>
    <sheet name="H2-Electrode" sheetId="7" r:id="rId10"/>
    <sheet name="H2-SAF" sheetId="12" r:id="rId11"/>
    <sheet name="H2-Giga" sheetId="19" r:id="rId12"/>
    <sheet name="MLF" sheetId="10" r:id="rId13"/>
    <sheet name="Sulfidized" sheetId="5" r:id="rId14"/>
    <sheet name="Substrate tests" sheetId="13" r:id="rId15"/>
    <sheet name="External | Meshes" sheetId="22" r:id="rId16"/>
    <sheet name="Production R&amp;D" sheetId="14" r:id="rId17"/>
    <sheet name="Long term testing" sheetId="18" r:id="rId18"/>
    <sheet name="Iron tests" sheetId="24" r:id="rId19"/>
    <sheet name="Other" sheetId="16" r:id="rId20"/>
  </sheets>
  <definedNames>
    <definedName name="_xlnm._FilterDatabase" localSheetId="3" hidden="1">'Gen2-Gen3Ano'!$B:$B</definedName>
    <definedName name="_xlnm._FilterDatabase" localSheetId="4" hidden="1">'Gen3Cat-Gen2'!$A$1:$K$10</definedName>
    <definedName name="_xlnm._FilterDatabase" localSheetId="2" hidden="1">'Gen3-Gen3 '!$A$1:$K$25</definedName>
    <definedName name="_xlnm._FilterDatabase" localSheetId="16" hidden="1">'Production R&amp;D'!$H$81:$H$81</definedName>
    <definedName name="_xlnm._FilterDatabase" localSheetId="13" hidden="1">Sulfidized!$A$1:$I$57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20" l="1"/>
  <c r="B18" i="20"/>
  <c r="D3" i="20" l="1" a="1"/>
  <c r="D3" i="20" s="1"/>
  <c r="D2" i="20"/>
  <c r="D14" i="20" l="1"/>
  <c r="B14" i="20"/>
  <c r="O2" i="20"/>
  <c r="N2" i="20"/>
  <c r="B2" i="20"/>
  <c r="B17" i="20"/>
  <c r="O3" i="20"/>
  <c r="Q2" i="20"/>
  <c r="P2" i="20"/>
  <c r="B16" i="20"/>
  <c r="C2" i="20"/>
  <c r="B15" i="20"/>
  <c r="Q3" i="20"/>
  <c r="P3" i="20"/>
  <c r="N3" i="20"/>
  <c r="M3" i="20"/>
  <c r="L3" i="20"/>
  <c r="K3" i="20"/>
  <c r="J3" i="20"/>
  <c r="I3" i="20"/>
  <c r="H3" i="20"/>
  <c r="G3" i="20"/>
  <c r="F3" i="20"/>
  <c r="E3" i="20"/>
  <c r="C3" i="20"/>
  <c r="B3" i="20"/>
  <c r="M2" i="20"/>
  <c r="L2" i="20"/>
  <c r="K2" i="20"/>
  <c r="J2" i="20"/>
  <c r="I2" i="20"/>
  <c r="H2" i="20"/>
  <c r="G2" i="20"/>
  <c r="F2" i="20"/>
  <c r="E2" i="20"/>
  <c r="C7" i="20" l="1"/>
  <c r="B7" i="20"/>
</calcChain>
</file>

<file path=xl/sharedStrings.xml><?xml version="1.0" encoding="utf-8"?>
<sst xmlns="http://schemas.openxmlformats.org/spreadsheetml/2006/main" count="14699" uniqueCount="3558">
  <si>
    <t>Gen3 I Gen3</t>
  </si>
  <si>
    <t>Gen2 I Gen3</t>
  </si>
  <si>
    <t>Gen3 I Gen2</t>
  </si>
  <si>
    <t>Gen2 I Gen2</t>
  </si>
  <si>
    <t>Accelerated</t>
  </si>
  <si>
    <t>H2-FOAM</t>
  </si>
  <si>
    <t>LC-H2</t>
  </si>
  <si>
    <t>H2-Electrode</t>
  </si>
  <si>
    <t xml:space="preserve">MLF </t>
  </si>
  <si>
    <t>Sulfidized</t>
  </si>
  <si>
    <t>Substrate test</t>
  </si>
  <si>
    <t>H2-SAF</t>
  </si>
  <si>
    <t>Production R&amp;D</t>
  </si>
  <si>
    <t>Long-term test</t>
  </si>
  <si>
    <t>H2-Giga</t>
  </si>
  <si>
    <t>Other</t>
  </si>
  <si>
    <t>Overall testing time [h]</t>
  </si>
  <si>
    <t>Number of IC's</t>
  </si>
  <si>
    <t>Still running tests cummulated length [h]</t>
  </si>
  <si>
    <t>Total testing time [h]</t>
  </si>
  <si>
    <t>Live counter</t>
  </si>
  <si>
    <t>First registered IC_ID in the new system</t>
  </si>
  <si>
    <t>IC0058_CatPNF_AnoPNF_T90_rho1287_AUX1Cat_AUX2Ano_3-7</t>
  </si>
  <si>
    <t>Introduction date of the new IC_ID system</t>
  </si>
  <si>
    <t>Scoreboard</t>
  </si>
  <si>
    <t>Date</t>
  </si>
  <si>
    <t>Days elapsed since ID introduction</t>
  </si>
  <si>
    <t>-</t>
  </si>
  <si>
    <t>IC_ID</t>
  </si>
  <si>
    <t>Owner</t>
  </si>
  <si>
    <t>Assembled by</t>
  </si>
  <si>
    <t>Disassembled by</t>
  </si>
  <si>
    <t>Test length [h]</t>
  </si>
  <si>
    <t>Protocol</t>
  </si>
  <si>
    <t>Format</t>
  </si>
  <si>
    <t>Experiment finished on</t>
  </si>
  <si>
    <t>Notes</t>
  </si>
  <si>
    <t>Archived in</t>
  </si>
  <si>
    <t>Plot</t>
  </si>
  <si>
    <t>IC0132_CatNNF_AnoNNF_rho1287_AUX1Cat_AUX2Ano_3-3</t>
  </si>
  <si>
    <t>Balázs</t>
  </si>
  <si>
    <t>QC_IC_168h</t>
  </si>
  <si>
    <t>31/10/2024</t>
  </si>
  <si>
    <t>Production #2</t>
  </si>
  <si>
    <t>IC0132_CatNNF_AnoNNF_rho1287_AUX1Cat_AUX2Ano_3-3.png</t>
  </si>
  <si>
    <t>IC0130_CatNNF_AnoNNF_rho1287_AUX1Cat_AUX2Ano_1-3</t>
  </si>
  <si>
    <t>IC0130_CatNNF_AnoNNF_rho1287_AUX1Cat_AUX2Ano_1-3.png</t>
  </si>
  <si>
    <t>IC0134_CatNNF_AnoNNF_rho1287_AUX1Cat_AUX2Ano_1-8</t>
  </si>
  <si>
    <t>QC_IC_168h_v1</t>
  </si>
  <si>
    <t>It stopped alone while doing a polarization curve and the water level was too low when disassembling it - BUT fitting for baseline</t>
  </si>
  <si>
    <t>IC0134_CatNNF_AnoNNF_rho1287_AUX1Cat_AUX2Ano_1-8.png</t>
  </si>
  <si>
    <t>IC0146_CatNNF_AnoNNF_rho1287_AUX1Cat_AUX2Ano_1-3</t>
  </si>
  <si>
    <t>Both</t>
  </si>
  <si>
    <t>Missing data :(</t>
  </si>
  <si>
    <t>IC0146_CatNNF_AnoNNF_rho1287_AUX1Cat_AUX2Ano_1-3.png</t>
  </si>
  <si>
    <t>IC0067_CatNF_AnoNF_oldprocedure_T90_rho1287_AUX1Cat_AUX2Ano_3-4</t>
  </si>
  <si>
    <t>0_ImmersionCellStandardProcedure_DN</t>
  </si>
  <si>
    <t>Too low potential - 1,8V: not fitting for baseline</t>
  </si>
  <si>
    <t>Production #1</t>
  </si>
  <si>
    <t>IC0067_CatNF_AnoNF_oldprocedure_T90_rho1287_AUX1Cat_AUX2Ano_3-4.png</t>
  </si>
  <si>
    <t>IC0068_CatNF_AnoNF_oldprocedure_T90_rho1287_AUX1Cat_AUX2Ano_3-1</t>
  </si>
  <si>
    <t>Dropping temperature: not fitting for baseline</t>
  </si>
  <si>
    <t>IC0068_CatNF_AnoNF_oldprocedure_T90_rho1287_AUX1Cat_AUX2Ano_3-1.png</t>
  </si>
  <si>
    <t>IC0070_CatNF_AnoNF_newQC_T90_rho1287_AUX1Ano_AUX2Cat_2-3</t>
  </si>
  <si>
    <t>QC_IC_1000h</t>
  </si>
  <si>
    <t>IC0070_CatNF_AnoNF_newQC_T90_rho1287_AUX1Ano_AUX2Cat_2-3.png</t>
  </si>
  <si>
    <t>IC0071_CatNF_AnoNF_newQC_T90_rho1287_AUX1Ano_AUX2Cat_2-4</t>
  </si>
  <si>
    <t>IC0071_CatNF_AnoNF_newQC_T90_rho1287_AUX1Ano_AUX2Cat_2-4.png</t>
  </si>
  <si>
    <t>IC0072_CatNF_AnoNF_oldprocedure_T90_rho1287_AUX1Ano_AUX2Cat_2-1</t>
  </si>
  <si>
    <t>IC0072_CatNF_AnoNF_oldprocedure_T90_rho1287_AUX1Ano_AUX2Cat_2-1.png</t>
  </si>
  <si>
    <t>IC0073_CatNF_AnoNF_newQC_T90_rho1287_AUX1Ano_AUX2Cat_2-2</t>
  </si>
  <si>
    <t>Irregular temperature - do not use for baseline</t>
  </si>
  <si>
    <t>IC0073_CatNF_AnoNF_newQC_T90_rho1287_AUX1Ano_AUX2Cat_2-2.png</t>
  </si>
  <si>
    <t>IC0075_CatNF_AnoNF_T90_rho1287_AUX1Ano_AUX2Cat_Mn_inpurity1_1-6</t>
  </si>
  <si>
    <t>Anders</t>
  </si>
  <si>
    <t>Regular</t>
  </si>
  <si>
    <t>16/8/2024</t>
  </si>
  <si>
    <t>IC0075_CatNF_AnoNF_T90_rho1287_AUX1Ano_AUX2Cat_Mn_inpurity1_1-6.png</t>
  </si>
  <si>
    <t>IC0076_CatNF_AnoNF_T90_rho1287_AUX1Ano_AUX2Cat_Mn_inpurity2_1-7</t>
  </si>
  <si>
    <t>IC0076_CatNF_AnoNF_T90_rho1287_AUX1Ano_AUX2Cat_Mn_inpurity2_1-7.png</t>
  </si>
  <si>
    <t>IC0077_CatNF_AnoNF_T90_rho1287_AUX1Ano_AUX2Cat_Mn_inpurity3_1-8</t>
  </si>
  <si>
    <t>IC0077_CatNF_AnoNF_T90_rho1287_AUX1Ano_AUX2Cat_Mn_inpurity3_1-8.png</t>
  </si>
  <si>
    <t>IC0025_CatNNFsesojab_AnoNNF_T90_rho1287_AUX1Cat_AUX2Ano</t>
  </si>
  <si>
    <t>Soffi</t>
  </si>
  <si>
    <t>missing</t>
  </si>
  <si>
    <t>super old measurement, with only anode type foam
ONLY the first 90 hours were recorded!</t>
  </si>
  <si>
    <t>IC0025_CatNNFsesojab_AnoNNF_T90_rho1287_AUX1Cat_AUX2Ano.png</t>
  </si>
  <si>
    <t>IC0170_CatNNF_AnoNNF_rho1287_AUX1Cat_AUX2_Ano_3-3</t>
  </si>
  <si>
    <t>28/11/2024</t>
  </si>
  <si>
    <t>1 of the 5 NNF samples from the same piece of anode and cathode</t>
  </si>
  <si>
    <t>IC0170_CatNNF_AnoNNF_rho1287_AUX1Cat_AUX2_Ano_3-3.png</t>
  </si>
  <si>
    <t>IC0181_CatNNF_AnoNNF_rho1287_AUX1Cat_AUX2Ano_1-6</t>
  </si>
  <si>
    <t>IC0181_CatNNF_AnoNNF_rho1287_AUX1Cat_AUX2Ano_1-6.png</t>
  </si>
  <si>
    <t>IC0182_CatNNF_AnoNNF_T90_rho1287_AUX1Cat_AUX2Ano_2-5</t>
  </si>
  <si>
    <t>IC0182_CatNNF_AnoNNF_T90_rho1287_AUX1Cat_AUX2Ano_2-5.png</t>
  </si>
  <si>
    <t>IC0183_CatNNF_AnoNNF_T90_rho1287_AUX1Cat_AUX2Ano_3-4</t>
  </si>
  <si>
    <t>IC0183_CatNNF_AnoNNF_T90_rho1287_AUX1Cat_AUX2Ano_3-4.png</t>
  </si>
  <si>
    <t>IC0184_CatNNF_AnoNNF_T90_rho1287_AUX1Cat_AUX2Ano_2-7</t>
  </si>
  <si>
    <t>IC0184_CatNNF_AnoNNF_T90_rho1287_AUX1Cat_AUX2Ano_2-7.png</t>
  </si>
  <si>
    <t>IC0136_CatNNF_AnoNNF_rho1287_AUX1Cat_AUX2Ano_1-5</t>
  </si>
  <si>
    <t>old protocol baseline</t>
  </si>
  <si>
    <t>IC0136_CatNNF_AnoNNF_rho1287_AUX1Cat_AUX2Ano_1-5.png</t>
  </si>
  <si>
    <t>IC0135_CatNNF_AnoNNF_rho1287_AUX1Cat_AUX2Ano_1-7</t>
  </si>
  <si>
    <t>IC0135_CatNNF_AnoNNF_rho1287_AUX1Cat_AUX2Ano_1-7.png</t>
  </si>
  <si>
    <t>IC0205_CatNNF_AnoNNF_rho1287_AUX1Cat_AUX2Ano_2-4</t>
  </si>
  <si>
    <t>Mario</t>
  </si>
  <si>
    <t>18/12/24</t>
  </si>
  <si>
    <t>new protocol baseline (same piece)</t>
  </si>
  <si>
    <t>IC0205_CatNNF_AnoNNF_rho1287_AUX1Cat_AUX2Ano_2-4.png</t>
  </si>
  <si>
    <t>IC0204_CatNNF_AnoNNF_rho1287_AUX1Cat_AUX2Ano_2-3</t>
  </si>
  <si>
    <t>IC0204_CatNNF_AnoNNF_rho1287_AUX1Cat_AUX2Ano_2-3.png</t>
  </si>
  <si>
    <t>IC0206_CatNNF_AnoNNF_rho1287_AUX1Cat_AUX2Ano_2-1</t>
  </si>
  <si>
    <t>new protocol baseline, running at 2,5 V - do not use for baseline</t>
  </si>
  <si>
    <t>IC0206_CatNNF_AnoNNF_rho1287_AUX1Cat_AUX2Ano_2-1.png</t>
  </si>
  <si>
    <t>IC0207_CatNNF_AnoNNF_rho1287_AUX1Cat_AUX2Ano_1-6</t>
  </si>
  <si>
    <t>20/12/24</t>
  </si>
  <si>
    <t>IC0207_CatNNF_AnoNNF_rho1287_AUX1Cat_AUX2Ano_1-6.png</t>
  </si>
  <si>
    <t>IC0227_CatNNF_AnoNNF_rho1287_AUX1Cat_AUX2Ano_1-5</t>
  </si>
  <si>
    <t>IC0227_CatNNF_AnoNNF_rho1287_AUX1Cat_AUX2Ano_1-5.png</t>
  </si>
  <si>
    <t>IC0225_CatNNF_AnoNNF_rho1287_AUX1Cat_AUX2Ano_2-1</t>
  </si>
  <si>
    <t>new protocol baseline (same piece) - battery tester problems at around 100 h - don't use</t>
  </si>
  <si>
    <t>IC0226_CatNNF_AnoNNF_rho1287_AUX1Cat_AUX2Ano_2-3</t>
  </si>
  <si>
    <t>IC0242_CatNNF_AnoNNF_rho1287_AUX1Cat_AUX2Ano_2-1</t>
  </si>
  <si>
    <t>16/1/2025</t>
  </si>
  <si>
    <t>IC0242_CatNNF_AnoNNF_rho1287_AUX1Cat_AUX2Ano_2-1.png</t>
  </si>
  <si>
    <t>IC0243_CatNNF_AnoNNF_rho1287_AUX1Cat_AUX2Ano_1-5</t>
  </si>
  <si>
    <t>IC0243_CatNNF_AnoNNF_rho1287_AUX1Cat_AUX2Ano_1-5.png</t>
  </si>
  <si>
    <t>IC0253_CatNNF_AnoNNF_rho1287_AUX1Cat_AUX2Ano_new_58,5hours_protocol_tempconditioning_3-2</t>
  </si>
  <si>
    <t>QC_IC_58.5h_temp_cond_v1_TEST_PHASE</t>
  </si>
  <si>
    <t>20/1/2025</t>
  </si>
  <si>
    <t>new protocol baseline (same piece). New "Step file"</t>
  </si>
  <si>
    <t>IC0253_CatNNF_AnoNNF_rho1287_AUX1Cat_AUX2Ano_new_58,5hours_protocol_tempconditioning_3-2.png</t>
  </si>
  <si>
    <t>IC0254_CatNNF_AnoNNF_rho1287_AUX1Cat_AUX2Ano_new_58,5hours_protocol_tempconditioning_3-4</t>
  </si>
  <si>
    <t>IC0254_CatNNF_AnoNNF_rho1287_AUX1Cat_AUX2Ano_new_58,5hours_protocol_tempconditioning_3-4.png</t>
  </si>
  <si>
    <t>IC0258_CatNNF_AnoNNF_rho1287_AUX1Cat_AUX2Ano_new_58,5hours_protocol_tempconditioning_1-1</t>
  </si>
  <si>
    <t>SAME piece - 58.5-hour-measurement</t>
  </si>
  <si>
    <t>IC0258_CatNNF_AnoNNF_rho1287_AUX1Cat_AUX2Ano_new_58,5hours_protocol_tempconditioning_1-1.png</t>
  </si>
  <si>
    <t>IC0259_CatNNF_AnoNNF_rho1287_AUX1Cat_AUX2Ano_new_58,5hours_protocol_tempconditioning_1-5</t>
  </si>
  <si>
    <t>IC0259_CatNNF_AnoNNF_rho1287_AUX1Cat_AUX2Ano_new_58,5hours_protocol_tempconditioning_1-5.png</t>
  </si>
  <si>
    <t>IC0260_CatNNF_AnoNNF_rho1287_AUX1Cat_AUX2Ano_new_58,5hours_protocol_tempconditioning_2-1</t>
  </si>
  <si>
    <t>IC0260_CatNNF_AnoNNF_rho1287_AUX1Cat_AUX2Ano_new_58,5hours_protocol_tempconditioning_2-1.png</t>
  </si>
  <si>
    <t>IC0208_CatNNF_AnoNNF_rho1287_AUX1Cat_AUX2Ano_1-7</t>
  </si>
  <si>
    <t>27/1/2025</t>
  </si>
  <si>
    <t>SAME piece 2 (old procedure)</t>
  </si>
  <si>
    <t>IC0208_CatNNF_AnoNNF_rho1287_AUX1Cat_AUX2Ano_1-7.png</t>
  </si>
  <si>
    <t>IC0209_CatNNF_AnoNNF_rho1287_AUX1Cat_AUX2Ano_1-8</t>
  </si>
  <si>
    <t>IC0209_CatNNF_AnoNNF_rho1287_AUX1Cat_AUX2Ano_1-8.png</t>
  </si>
  <si>
    <t>IC0273_CatNNF_AnoNNF_rho1287_AUX1Cat_AUX2Ano_58,5hours_tempconditioning_12hours_3-5</t>
  </si>
  <si>
    <t>QC_IC_58.5h_temp_cond_v1_TEST_PHASE_12_hours</t>
  </si>
  <si>
    <t>IC0273_CatNNF_AnoNNF_rho1287_AUX1Cat_AUX2Ano_58,5hours_tempconditioning_12hours_3-5.png</t>
  </si>
  <si>
    <t>IC0274_CatNNF_AnoNNF_rho1287_AUX1Cat_AUX2Ano_58,5hours_tempconditioning_12hours_3-6</t>
  </si>
  <si>
    <t>IC0274_CatNNF_AnoNNF_rho1287_AUX1Cat_AUX2Ano_58,5hours_tempconditioning_12hours_3-6.png</t>
  </si>
  <si>
    <t>IC0277_CatNNF_AnoNNF_rho1276_AUX1Cat_AUX2Anonew_58,5hours_tempconditioning_12hours_2-1</t>
  </si>
  <si>
    <t>IC0277_CatNNF_AnoNNF_rho1276_AUX1Cat_AUX2Anonew_58,5hours_tempconditioning_12hours_2-1.png</t>
  </si>
  <si>
    <t>IC0287_CatNNF_AnoNNF_rho1287_AUX1Cat_AUX2Ano_1-1_58.5hour-protocol-6hour-rest-pretreated</t>
  </si>
  <si>
    <t>Gergo</t>
  </si>
  <si>
    <t>QC_IC_58.5h_temp_cond_v1_TEST_PHASE_6_hours</t>
  </si>
  <si>
    <t>SAME piece - 58.5 hour (6 hour rest)
With preheated KOH (60 deg)
Pretreated samples (3x15 min in ultrasonic bath in 2M HCl then in acetone then in water)</t>
  </si>
  <si>
    <t>IC0287_CatNNF_AnoNNF_rho1287_AUX1Cat_AUX2Ano_1-1_58.5hour-protocol-6hour-rest-pretreated.png</t>
  </si>
  <si>
    <t>IC0288_CatNNF_AnoNNF_rho1287_AUX1Cat_AUX2Ano_2-4_58.5hour-protocol-6hour-rest-pretreated</t>
  </si>
  <si>
    <t>IC0288_CatNNF_AnoNNF_rho1287_AUX1Cat_AUX2Ano_2-4_58.5hour-protocol-6hour-rest-pretreated.png</t>
  </si>
  <si>
    <t>IC0289_CatNNF_AnoNNF_rho1287_AUX1Cat_AUX2Ano_2-5_58.5hour-protocol-6hour-rest-pretreated</t>
  </si>
  <si>
    <t>IC0289_CatNNF_AnoNNF_rho1287_AUX1Cat_AUX2Ano_2-5_58.5hour-protocol-6hour-rest-pretreated.png</t>
  </si>
  <si>
    <t>IC0297_CatNNF_AnoNNF_rho1276_AUX1Cat_AUX2Ano_48h-preheatedKOH70_2-3</t>
  </si>
  <si>
    <t>QC_IC_48h...2_hours</t>
  </si>
  <si>
    <t>With preheated KOH(70 deg) and pretreated electrodes. QC_IC_48h...2h
Thermoregulator adjusted to 80 deg, then when reached the overshoot value, change it to 90 deg.</t>
  </si>
  <si>
    <t>IC0297_CatNNF_AnoNNF_rho1276_AUX1Cat_AUX2Ano_48h-preheatedKOH70_2-3.png</t>
  </si>
  <si>
    <t>IC0298_CatNNF_AnoNNF_rho1276_AUX1Cat_AUX2Ano_48h-preheatedKOH70_2-4</t>
  </si>
  <si>
    <t>IC0298_CatNNF_AnoNNF_rho1276_AUX1Cat_AUX2Ano_48h-preheatedKOH70_2-4.png</t>
  </si>
  <si>
    <t>IC0299_CatNNF_AnoNNF_rho1276_AUX1Cat_AUX2Ano_48h-preheatedKOH70_2-5</t>
  </si>
  <si>
    <t>IC0299_CatNNF_AnoNNF_rho1276_AUX1Cat_AUX2Ano_48h-preheatedKOH70_2-5.png</t>
  </si>
  <si>
    <t>IC0228_CatNNF_AnoNNF_rho1287_AUX1Cat_AUX2Ano_1-6</t>
  </si>
  <si>
    <t>baseline for old protocol, same piece 2</t>
  </si>
  <si>
    <t>IC0228_CatNNF_AnoNNF_rho1287_AUX1Cat_AUX2Ano_1-6.png</t>
  </si>
  <si>
    <t>IC0229_CatNNF_AnoNNF_rho1287_AUX1Cat_AUX2Ano_3-1</t>
  </si>
  <si>
    <t xml:space="preserve">baseline for old protocol </t>
  </si>
  <si>
    <t>IC0229_CatNNF_AnoNNF_rho1287_AUX1Cat_AUX2Ano_3-1.png</t>
  </si>
  <si>
    <t>IC0313_CatNNF_AnoNNF_rho1276_AUX1Cat_AUX2Ano_48h-exp_ONLY-acetone_3-3</t>
  </si>
  <si>
    <t>Nerea</t>
  </si>
  <si>
    <t>Electrodes were only cleaned in acetone for 15 minutes, then water in 15 minutes in the ultrasonic bath.
Preheated KOH (70deg) was used.</t>
  </si>
  <si>
    <t>IC0313_CatNNF_AnoNNF_rho1276_AUX1Cat_AUX2Ano_48h-exp_ONLY-acetone_3-3.png</t>
  </si>
  <si>
    <t>IC0314_CatNNF_AnoNNF_rho1276_AUX1Cat_AUX2Ano_48h-exp_ONLY-acetone_3-2</t>
  </si>
  <si>
    <t>IC0314_CatNNF_AnoNNF_rho1276_AUX1Cat_AUX2Ano_48h-exp_ONLY-acetone_3-2.png</t>
  </si>
  <si>
    <t>IC0312_CatNNF_AnoNNF_rho1276_AUX1Cat_AUX2Ano_48h-exp_ONLY-acetone_3-4</t>
  </si>
  <si>
    <t>IC0312_CatNNF_AnoNNF_rho1276_AUX1Cat_AUX2Ano_48h-exp_ONLY-acetone_3-4.png</t>
  </si>
  <si>
    <t>IC0333_CatNNF_AnoNNF_rho1279_AUX1Cat_AUXAno_2-1</t>
  </si>
  <si>
    <t>QC_IC_48h...3_hours</t>
  </si>
  <si>
    <t>Acetone + water pretreatment, preheated (80 deg) KOH</t>
  </si>
  <si>
    <t>IC0333_CatNNF_AnoNNF_rho1279_AUX1Cat_AUXAno_2-1.png</t>
  </si>
  <si>
    <t>IC0332_CatNNF_AnoNNF_rho1279_AUX1Cat_AUXAno_2-3</t>
  </si>
  <si>
    <t>IC0332_CatNNF_AnoNNF_rho1279_AUX1Cat_AUXAno_2-3.png</t>
  </si>
  <si>
    <t>IC0331_CatNNF_AnoNNF_rho1279_AUX1Cat_AUXAno_2-4</t>
  </si>
  <si>
    <t>IC0331_CatNNF_AnoNNF_rho1279_AUX1Cat_AUXAno_2-4.png</t>
  </si>
  <si>
    <t>IC0374_CatNNF_AnoNNF_rho1276_AUX1Cat_AUX2Ano_1.8mmTB_3-6</t>
  </si>
  <si>
    <t>Akos</t>
  </si>
  <si>
    <t>1.8 mm TEFLON BRACKETS 70 degrees KOH Pretreated anode and cathode</t>
  </si>
  <si>
    <t>Production #3</t>
  </si>
  <si>
    <t>IC0374_CatNNF_AnoNNF_rho1276_AUX1Cat_AUX2Ano_1.8mmTB_3-6.png</t>
  </si>
  <si>
    <t>IC0375_CatNNF_AnoNNF_rho1276_AUX1Cat_AUX2Ano_1.8mmTB_3-7</t>
  </si>
  <si>
    <t>IC0375_CatNNF_AnoNNF_rho1276_AUX1Cat_AUX2Ano_1.8mmTB_3-7.png</t>
  </si>
  <si>
    <t>IC0376_CatNNF_AnoNNF_rho1276_AUX1Cat_AUX2Ano_1.8mmTB_3-8</t>
  </si>
  <si>
    <t>IC0376_CatNNF_AnoNNF_rho1276_AUX1Cat_AUX2Ano_1.8mmTB_3-8.png</t>
  </si>
  <si>
    <t>IC0394_CatNNF_AnoNNF_rho1276_AUX1Cat_AUX2Ano_3-5</t>
  </si>
  <si>
    <t>Andrea</t>
  </si>
  <si>
    <t>70 degrees KOH
Pretreated anode and cathode
Started a day after it was assembled because of fire</t>
  </si>
  <si>
    <t>IC0394_CatNNF_AnoNNF_rho1276_AUX1Cat_AUX2Ano_3-5.png</t>
  </si>
  <si>
    <t>IC0393_CatNNF_AnoNNF_rho1276_AUX1Cat_AUX2Ano_3-2</t>
  </si>
  <si>
    <t>70 degrees KOH</t>
  </si>
  <si>
    <t>IC0393_CatNNF_AnoNNF_rho1276_AUX1Cat_AUX2Ano_3-2.png</t>
  </si>
  <si>
    <t>IC0398_CatNNF_AnoNNF_rho1276_AUX1Cat_AUX2Ano_2-5</t>
  </si>
  <si>
    <t>Pretreated anode and cathode and 70 degrees KOH - no temp on, unsuable</t>
  </si>
  <si>
    <t>IC0398_CatNNF_AnoNNF_rho1276_AUX1Cat_AUX2Ano_2-5.png</t>
  </si>
  <si>
    <t>IC0399_CatNNF_AnoNNF_rho1276_AUX1Cat_AUX2Ano_2-7</t>
  </si>
  <si>
    <r>
      <rPr>
        <sz val="11"/>
        <color rgb="FF000000"/>
        <rFont val="Calibri"/>
        <family val="2"/>
        <scheme val="minor"/>
      </rPr>
      <t xml:space="preserve">Pretreated anode and cathode and 70 degrees KOH </t>
    </r>
    <r>
      <rPr>
        <b/>
        <sz val="11"/>
        <color rgb="FF000000"/>
        <rFont val="Calibri"/>
        <family val="2"/>
        <scheme val="minor"/>
      </rPr>
      <t xml:space="preserve">- declared as non-reliable </t>
    </r>
  </si>
  <si>
    <t>IC0399_CatNNF_AnoNNF_rho1276_AUX1Cat_AUX2Ano_2-7.png</t>
  </si>
  <si>
    <t>IC0400_CatNNF_AnoNNF_rho1276_AUX1Cat_AUX2Ano_2-8</t>
  </si>
  <si>
    <t>Pretreated anode and cathode and 70 degrees KOH</t>
  </si>
  <si>
    <t>IC0400_CatNNF_AnoNNF_rho1276_AUX1Cat_AUX2Ano_2-8.png</t>
  </si>
  <si>
    <t>IC0426_CatNNF_AnoNNF_rho1276_AUX1Cat_AUX2Ano_GEN4_Membrane_3-1</t>
  </si>
  <si>
    <t>Gen 4 membrane was used.</t>
  </si>
  <si>
    <t>IC0426_CatNNF_AnoNNF_rho1276_AUX1Cat_AUX2Ano_GEN4_Membrane_3-1.png</t>
  </si>
  <si>
    <t>IC0427_CatNNF_AnoNNF_rho1276_AUX1Cat_AUX2Ano_GEN4_Membrane_3-2</t>
  </si>
  <si>
    <t>IC0427_CatNNF_AnoNNF_rho1276_AUX1Cat_AUX2Ano_GEN4_Membrane_3-2.png</t>
  </si>
  <si>
    <t>IC0428_CatNNF_AnoNNF_rho1276_AUX1Cat_AUX2Ano_GEN4_Membrane_3-3</t>
  </si>
  <si>
    <t>IC0428_CatNNF_AnoNNF_rho1276_AUX1Cat_AUX2Ano_GEN4_Membrane_3-3.png</t>
  </si>
  <si>
    <t>IC0423_CatNNF_AnoNNF_rho1276_AUX1Cat_AUX2Ano_1.8mmTB_3-5</t>
  </si>
  <si>
    <r>
      <rPr>
        <sz val="11"/>
        <color rgb="FF000000"/>
        <rFont val="Calibri"/>
        <family val="2"/>
      </rPr>
      <t xml:space="preserve">1.8 mm TB (Teflon brackets) - </t>
    </r>
    <r>
      <rPr>
        <b/>
        <sz val="11"/>
        <color rgb="FF000000"/>
        <rFont val="Calibri"/>
        <family val="2"/>
      </rPr>
      <t xml:space="preserve">declared as non-reliable </t>
    </r>
  </si>
  <si>
    <t>IC0423_CatNNF_AnoNNF_rho1276_AUX1Cat_AUX2Ano_1.8mmTB_3-5.png</t>
  </si>
  <si>
    <t>IC0424_CatNNF_AnoNNF_rho1276_AUX1Cat_AUX2Ano_1.8mmTB_3-7</t>
  </si>
  <si>
    <t>1.8 mm TB (Teflon brackets)</t>
  </si>
  <si>
    <t>IC0424_CatNNF_AnoNNF_rho1276_AUX1Cat_AUX2Ano_1.8mmTB_3-7.png</t>
  </si>
  <si>
    <t>IC0425_CatNNF_AnoNNF_rho1276_AUX1Cat_AUX2Ano_1.8mmTB_3-8</t>
  </si>
  <si>
    <t>IC0425_CatNNF_AnoNNF_rho1276_AUX1Cat_AUX2Ano_1.8mmTB_3-8.png</t>
  </si>
  <si>
    <t>IC0432_CatNNF_AnoNNF_rho1276_AUX1Cat_AUX2Ano_GEN3_Membrane_3-4</t>
  </si>
  <si>
    <r>
      <rPr>
        <sz val="11"/>
        <color rgb="FF000000"/>
        <rFont val="Calibri"/>
        <family val="2"/>
        <scheme val="minor"/>
      </rPr>
      <t xml:space="preserve">70C KOH, 1. HCl, 2. acetone pretreatment - </t>
    </r>
    <r>
      <rPr>
        <b/>
        <sz val="11"/>
        <color rgb="FF000000"/>
        <rFont val="Calibri"/>
        <family val="2"/>
        <scheme val="minor"/>
      </rPr>
      <t xml:space="preserve">declared as non-reliable </t>
    </r>
  </si>
  <si>
    <t>IC0432_CatNNF_AnoNNF_rho1276_AUX1Cat_AUX2Ano_GEN3_Membrane_3-4.png</t>
  </si>
  <si>
    <t>IC0431_CatNNF_AnoNNF_rho1276_AUX1Cat_AUX2Ano_GEN4_Membrane_2-1</t>
  </si>
  <si>
    <t>70C KOH, 1. HCl, 2. acetone pretreatment</t>
  </si>
  <si>
    <t>IC0431_CatNNF_AnoNNF_rho1276_AUX1Cat_AUX2Ano_GEN4_Membrane_2-1.png</t>
  </si>
  <si>
    <t>IC0433_CatNNF_AnoNNF_rho1276_AUX1Cat_AUX2Ano_GEN4_Membrane_3-6</t>
  </si>
  <si>
    <t>IC0433_CatNNF_AnoNNF_rho1276_AUX1Cat_AUX2Ano_GEN4_Membrane_3-6.xlsx.png</t>
  </si>
  <si>
    <t>IC0501_CatNNF_AnoNNF_rho1276_AUX1Cat_AUX2Ano_2-1</t>
  </si>
  <si>
    <r>
      <rPr>
        <sz val="11"/>
        <color rgb="FF000000"/>
        <rFont val="Calibri"/>
        <family val="2"/>
        <scheme val="minor"/>
      </rPr>
      <t xml:space="preserve">1.8mm TB, preheated KOH, beaker (70 C) - </t>
    </r>
    <r>
      <rPr>
        <b/>
        <sz val="11"/>
        <color rgb="FF000000"/>
        <rFont val="Calibri"/>
        <family val="2"/>
        <scheme val="minor"/>
      </rPr>
      <t xml:space="preserve">declared as non-reliable </t>
    </r>
  </si>
  <si>
    <t>IC0501_CatNNF_AnoNNF_rho1276_AUX1Cat_AUX2Ano_2-1.png</t>
  </si>
  <si>
    <t>IC0533_CatNNF_AnoNNF_rho1276_AUX1Cat_AUX2Ano_2mmTB_4-3</t>
  </si>
  <si>
    <t>Aleksandra</t>
  </si>
  <si>
    <t>Custom format</t>
  </si>
  <si>
    <t>2mm TB</t>
  </si>
  <si>
    <t>IC0533_CatNNF_AnoNNF_rho1276_AUX1Cat_AUX2Ano_2mmTB_4-3.png</t>
  </si>
  <si>
    <t>IC0534_CatNNF_AnoNNF_rho1276_AUX1Cat_AUX2Ano_2mmTB_5-6</t>
  </si>
  <si>
    <t>IC0534_CatNNF_AnoNNF_rho1276_AUX1Cat_AUX2Ano_2mmTB_5-6.png</t>
  </si>
  <si>
    <t>IC0549_CatNNF_AnoNNF_rho1276_AUX1Cat_AUX2Ano_2-8</t>
  </si>
  <si>
    <t>IC0549_CatNNF_AnoNNF_rho1276_AUX1Cat_AUX2Ano_2-8.png</t>
  </si>
  <si>
    <t>IC0550_CatNNF_AnoNNF_rho1276_AUX1Cat_AUX2Ano_4-2</t>
  </si>
  <si>
    <t>NEW batch of Gen3 membrane test. 2 of 3. Experiment was stopped due to unexpected/wrong potential values (Channel 4-2). Experiment is continued on channel 3-7 as IC0571.</t>
  </si>
  <si>
    <t>IC0550_CatNNF_AnoNNF_rho1276_AUX1Cat_AUX2Ano_4-2.png</t>
  </si>
  <si>
    <t>IC0539_CatNNF_AnoNNF_rho1276_AUX1Cat_AUX2Ano_5-7_2MM</t>
  </si>
  <si>
    <t>Carmine</t>
  </si>
  <si>
    <t>Peter Hilt</t>
  </si>
  <si>
    <t>pretreated cathode and anode, 2mm brackets</t>
  </si>
  <si>
    <t>IC0539_CatNNF_AnoNNF_rho1276_AUX1Cat_AUX2Ano_5-7_2MM.png</t>
  </si>
  <si>
    <t>IC0541_CatNNF_AnoNNF_rho1276_AUX1Cat_AUX2Ano_5-8_2MM</t>
  </si>
  <si>
    <t>pretreated, preheated,2mm brackets</t>
  </si>
  <si>
    <t>IC0541_CatNNF_AnoNNF_rho1276_AUX1Cat_AUX2Ano_5-8_2MM.png</t>
  </si>
  <si>
    <t>IC0571_CatNNF_AnoNNF_rho1276_AUX1Cat_AUX2Ano_3-7</t>
  </si>
  <si>
    <t>NEW batch of Gen3 membrane test. Pretreated electrodes, preheated beaker and KOH. 2 of 3. Continued measurement of IC0550 (Channel 4-2) due to unexpected values. Experiment is continued on channel 5-7 as IC0573</t>
  </si>
  <si>
    <t>IC0571_CatNNF_AnoNNF_rho1276_AUX1Cat_AUX2Ano_3-7.png</t>
  </si>
  <si>
    <t>IC0570_CatNNF_AnoNNF_rho1276_AUX1Cat_AUX2Ano_3-8</t>
  </si>
  <si>
    <t>NEW batch of Gen3 membrane test. 1 of 3. Pretreated electrodes, preheated beaker and KOH. Continued measurement of IC0549 (Channel 2-8) due to unexpected values. Experiment is continued on channel 5-8 as IC0574</t>
  </si>
  <si>
    <t>IC0570_CatNNF_AnoNNF_rho1276_AUX1Cat_AUX2Ano_3-8.png</t>
  </si>
  <si>
    <t>IC0574_CatNNF_AnoNNF_rho1276_AUX1Cat_AUX2Ano_5-8</t>
  </si>
  <si>
    <t>_QC_IC_168h_v1.xml</t>
  </si>
  <si>
    <t>NEW batch of Gen3 membrane test. 1 of 3. Pretreated electrodes, preheated beaker and KOH. Originally IC0549 (Channel 2-8), then IC0570 (Channel 3-8). Stopped to test main in 4-7</t>
  </si>
  <si>
    <t>IC0574_CatNNF_AnoNNF_rho1276_AUX1Cat_AUX2Ano_5-8.png</t>
  </si>
  <si>
    <t>IC0551_CatNNF_AnoNNF_rho1276_AUX1Cat_AUX2Ano_4-6</t>
  </si>
  <si>
    <t>NEW batch of Gen3 membrane test. 3 of 3. Non-pretreated electrodes.</t>
  </si>
  <si>
    <t>IC0551_CatNNF_AnoNNF_rho1276_AUX1Cat_AUX2Ano_4-6.png</t>
  </si>
  <si>
    <t>IC0564_CatNNF_AnoNNF_rho1276_AUX1Cat_AUX2Ano_GEN4_5-6</t>
  </si>
  <si>
    <t>GEN4 "gray bag" test, non-pretreated anode and cathode</t>
  </si>
  <si>
    <t>IC0564_CatNNF_AnoNNF_rho1276_AUX1Cat_AUX2Ano_GEN4_5-6.png</t>
  </si>
  <si>
    <t>IC0563_CatNNF_AnoNNF_rho1276_AUX1Cat_AUX2Ano_GEN4_4-3</t>
  </si>
  <si>
    <t>IC0563_CatNNF_AnoNNF_rho1276_AUX1Cat_AUX2Ano_GEN4_4-3.png</t>
  </si>
  <si>
    <t>IC0573_CatNNF_AnoNNF_rho1276_AUX1Cat_AUX2Ano_5-7</t>
  </si>
  <si>
    <t>NEW batch of Gen3 membrane test. 1 of 3. Pretreated electrodes, preheated beaker and KOH. Originally IC0550 (Channel 4-2), then IC0571 (Channel 3-7).</t>
  </si>
  <si>
    <t>IC0573_CatNNF_AnoNNF_rho1276_AUX1Cat_AUX2Ano_5-7.png</t>
  </si>
  <si>
    <t>IC0597_CatNNF_AnoNNF_rho1279_AUX1Cat_AUX2Ano_4-1</t>
  </si>
  <si>
    <t>'grey bag'' separator, pretreated anode + cathode, cut using the old stamp, preheated KOH - constantly increasing voltage values</t>
  </si>
  <si>
    <t>IC0597_CatNNF_AnoNNF_rho1279_AUX1Cat_AUX2Ano_4-1.png</t>
  </si>
  <si>
    <t>IC0578_CatNNF_AnoNNF_rho1276_AUX1Nan_AUX2Nan_4-7</t>
  </si>
  <si>
    <t>NEW batch of Gen3 membrane test. 1 of 3. Pretreated electrodes, preheated beaker and KOH. Originally IC0549 (Channel 2-8), then IC0570 (Channel 3-8) and then IC574 (from channel 5-8)</t>
  </si>
  <si>
    <t>IC0578_CatNNF_AnoNNF_rho1276_AUX1Nan_AUX2Nan_4-7.png</t>
  </si>
  <si>
    <t>IC0586_CatNNF_AnoNNF_rho1279_AUX1Cat_AUX2Ano_4-3</t>
  </si>
  <si>
    <r>
      <rPr>
        <b/>
        <sz val="11"/>
        <color rgb="FF000000"/>
        <rFont val="Calibri"/>
        <family val="2"/>
        <scheme val="minor"/>
      </rPr>
      <t xml:space="preserve">Data overwritten avter cable test </t>
    </r>
    <r>
      <rPr>
        <sz val="11"/>
        <color rgb="FF000000"/>
        <rFont val="Calibri"/>
        <family val="2"/>
        <scheme val="minor"/>
      </rPr>
      <t>NEW batch of Gen3 membrane test. 1 of 2. Pretreated electrodes, preheated beaker and KOH.</t>
    </r>
  </si>
  <si>
    <t>IC0584_CatNNF_AnoNNF_rho1276_AUX1Cat_AUX2Ano_5-8</t>
  </si>
  <si>
    <t>IC0584_CatNNF_AnoNNF_rho1276_AUX1Cat_AUX2Ano_5-8.png</t>
  </si>
  <si>
    <t>IC0602_CatNNF_AnoNNF_rho1279_AUX1Cat_AUX2Ano_4-1</t>
  </si>
  <si>
    <t>NEW batch of Gen3 membrane. 2 of 2. Pretreated electrodes, preheated beaker and KOH.</t>
  </si>
  <si>
    <t>IC0602_CatNNF_AnoNNF_rho1279_AUX1Cat_AUX2Ano_4-1.png</t>
  </si>
  <si>
    <t>IC0598_CatNNF_AnoNNF_rho1279_AUX1Cat_AUX2Ano_4-2</t>
  </si>
  <si>
    <t>NEW batch of Gen3 membrane. 1 of 2. Pretreated electrodes, preheated beaker and KOH.</t>
  </si>
  <si>
    <t>IC0598_CatNNF_AnoNNF_rho1279_AUX1Cat_AUX2Ano_4-2.png</t>
  </si>
  <si>
    <t>IC0610_CatNNF_AnoNNF_rho1279_AUX1NaN_AUX2NaN_5-8</t>
  </si>
  <si>
    <t>NEW backplates, wires and 4 wire connetions! 5 of 5</t>
  </si>
  <si>
    <t>IC0610_CatNNF_AnoNNF_rho1279_AUX1NaN_AUX2NaN_5-8.png</t>
  </si>
  <si>
    <t>IC0615_CatNNF_AnoNNF_rho1279_AUX1NaN_AUX2NaN_4-2</t>
  </si>
  <si>
    <t xml:space="preserve"> EXperiment terminated, Pretreated electrodes, preheated beaker and KOH.
</t>
  </si>
  <si>
    <t>IC0615_CatNNF_AnoNNF_rho1279_AUX1NaN_AUX2NaN_4-2.png</t>
  </si>
  <si>
    <t>IC0607_CatNNF_AnoNNF_rho1279_AUX1NaN_AUX2NaN_1-7</t>
  </si>
  <si>
    <t>NEW backplates, wires and 4 wire connetions! 2 of 5</t>
  </si>
  <si>
    <t>IC0607_CatNNF_AnoNNF_rho1279_AUX1NaN_AUX2NaN_1-7.png</t>
  </si>
  <si>
    <t>IC0606_CatNNF_AnoNNF_rho1279_AUX1NaN_AUX2NaN_1-6</t>
  </si>
  <si>
    <t>NEW backplates, wires and 4 wire connetions! 1 of 5</t>
  </si>
  <si>
    <t>IC0606_CatNNF_AnoNNF_rho1279_AUX1NaN_AUX2NaN_1-6.png</t>
  </si>
  <si>
    <t>IC0609_CatNNF_AnoNNF_rho1279_AUX1NaN_AUX2NaN_3-8</t>
  </si>
  <si>
    <t>NEW backplates, wires and 4 wire connetions! 4 of 5</t>
  </si>
  <si>
    <t>IC0609_CatNNF_AnoNNF_rho1279_AUX1NaN_AUX2NaN_3-8.png</t>
  </si>
  <si>
    <t>IC0608_CatNNF_AnoNNF_rho1279_AUX1NaN_AUX2NaN_2-7</t>
  </si>
  <si>
    <t>NEW backplates, wires and 4 wire connetions! 3 of 5</t>
  </si>
  <si>
    <t>IC0608_CatNNF_AnoNNF_rho1279_AUX1NaN_AUX2NaN_2-7.png</t>
  </si>
  <si>
    <t>IC0614_CatNNF_AnoNNF_rho1279_AUX1NaN_AUX2NaN_4-4</t>
  </si>
  <si>
    <t>Pretreated NNF anode and cathode ,and preheated beaker and KOH, test of Neware plastic gold plated clips.</t>
  </si>
  <si>
    <t>IC0614_CatNNF_AnoNNF_rho1279_AUX1NaN_AUX2NaN_4-4.png</t>
  </si>
  <si>
    <t>IC0613_CatNNF_AnoNNF_rho1279_AUX1NaN_AUX2NaN_5-1</t>
  </si>
  <si>
    <t>IC0613_CatNNF_AnoNNF_rho1279_AUX1NaN_AUX2NaN_5-1.png</t>
  </si>
  <si>
    <t>IC0611_CatNNF_AnoNNF_rho1279_AUX1NaN_AUX2NaN_1-3</t>
  </si>
  <si>
    <t>IC0611_CatNNF_AnoNNF_rho1279_AUX1NaN_AUX2NaN_1-3.png</t>
  </si>
  <si>
    <t>IC0612_CatNNF_AnoNNF_rho1279_AUX1NaN_AUX2NaN_2-4</t>
  </si>
  <si>
    <t>IC0612_CatNNF_AnoNNF_rho1279_AUX1NaN_AUX2NaN_2-4.png</t>
  </si>
  <si>
    <t>IC0616_CatNNF_AnoNNF_rho1279_AUX1NaN_AUX2NaN__5-6</t>
  </si>
  <si>
    <t>Pretreated electrodes, preheated beaker and KOH.</t>
  </si>
  <si>
    <t>IC0616_CatNNF_AnoNNF_rho1279_AUX1NaN_AUX2NaN__5-6.png</t>
  </si>
  <si>
    <t>IC0617_CatNNF_AnoNNF_rho1279_AUX1NaN_AUX2NaN_2-3</t>
  </si>
  <si>
    <t>pretreated electrodes, preheated KOH + beaker, new copper main cables</t>
  </si>
  <si>
    <t>IC0617_CatNNF_AnoNNF_rho1279_AUX1NaN_AUX2NaN_2-3.png</t>
  </si>
  <si>
    <t>IC0624_CatNNF_AnoNNF_rho1279_AUX1NaN_AUX2NaN_5-5</t>
  </si>
  <si>
    <t>preheated KOH and beaker (99-100), new copper main cables, gen3 membrane</t>
  </si>
  <si>
    <t>IC0624_CatNNF_AnoNNF_rho1279_AUX1NaN_AUX2NaN_5-5.png</t>
  </si>
  <si>
    <t>IC0625_CatNNF_AnoNNF_rho1279_AUX1NaN_AUX2NaN_5-7</t>
  </si>
  <si>
    <t>IC0625_CatNNF_AnoNNF_rho1279_AUX1NaN_AUX2NaN_5-7.png</t>
  </si>
  <si>
    <t>IC0660_CatNNF_AnoNNF_rho1279_AUX1NaN_AUX2Nan_5-5</t>
  </si>
  <si>
    <t>pretreated NNF electrodes, preheated beaker and cathode, for baseline measurement 1/3</t>
  </si>
  <si>
    <t>IC0660_CatNNF_AnoNNF_rho1279_AUX1NaN_AUX2Nan_5-5.png</t>
  </si>
  <si>
    <t>IC0661_CatNNF_AnoNNF_rho1279_AUX1NaN_AUX2Nan_5-6</t>
  </si>
  <si>
    <t>pretreated NNF electrodes, preheated beaker and cathode, for baseline measurement 2/3</t>
  </si>
  <si>
    <t>IC0661_CatNNF_AnoNNF_rho1279_AUX1NaN_AUX2Nan_5-6.png</t>
  </si>
  <si>
    <t>IC0662_CatNNF_AnoNNF_rho1279_AUX1NaN_AUX2Nan_5-7</t>
  </si>
  <si>
    <t>pretreated NNF electrodes, preheated beaker and cathode, for baseline measurement 3/3</t>
  </si>
  <si>
    <t>IC0662_CatNNF_AnoNNF_rho1279_AUX1NaN_AUX2Nan_5-7.png</t>
  </si>
  <si>
    <t>IC0694_CatNNF_AnoNNF_rho1279_AUX1NaN_AUX2NaN_2-3_1.8MM</t>
  </si>
  <si>
    <t>1.8 mm brackets</t>
  </si>
  <si>
    <t>IC0695_CatNNF_AnoNNF_rho1279_AUX1NaN_AUX2NaN_2-7_1.8MM</t>
  </si>
  <si>
    <t>IC0696_CatNNF_AnoNNF_rho1279_AUX1NaN_AUX2NaN_2-1_1.8TB</t>
  </si>
  <si>
    <t>IC0697_CatNNF_AnoNNF_rho1279_AUX1NaN_AUX2NaN_2-5_1.8TB</t>
  </si>
  <si>
    <t>IC0698_CatNNF_AnoNNF_rho1279_AUX1NaN_AUX2NaN_2-6_1.8TB</t>
  </si>
  <si>
    <t>1.8 mm TEFLON BRACKETS ARE BEING USED, DO NOT MIX WITH THE 2 mm WHEN DISASSEMBLING!!!!</t>
  </si>
  <si>
    <t>IC0733_CatNNF_AnoNNF_rho1279_AUX1NaN_AUX2NaN_2-3_1of3</t>
  </si>
  <si>
    <t>Mohammadreza</t>
  </si>
  <si>
    <t>_QC_IC_3000h_v1.xml</t>
  </si>
  <si>
    <t>Custom</t>
  </si>
  <si>
    <t>Test stopped early, after disassembling a black anode was spotted</t>
  </si>
  <si>
    <t>Production #4</t>
  </si>
  <si>
    <t>IC0734_CatNNF_AnoNNF_rho1279_AUX1NaN_AUX2NaN_2-4_2of3</t>
  </si>
  <si>
    <t>IC0909_CatNNF_AnoNNF_rho1279_3-5</t>
  </si>
  <si>
    <t>Oniel</t>
  </si>
  <si>
    <t xml:space="preserve">Cathodic Cleaned; 168h test - Part 3/6 
Stopped due to leakage. </t>
  </si>
  <si>
    <t>IC0912_CatNNF_AnoNNF_rho_1279_1-8</t>
  </si>
  <si>
    <t>Cathodic Cleaned; 168h test - Part 6/6</t>
  </si>
  <si>
    <t>IC0908_CatNNF_AnoNNF_rho_1279_3-4</t>
  </si>
  <si>
    <t>Cathodic Cleaned; 168 h test - Part 2/6</t>
  </si>
  <si>
    <t>IC0910_CatNNF_AnoNNF_rho1279_3-6</t>
  </si>
  <si>
    <t>Cathodic Cleaned; 168h test - Part 4/6</t>
  </si>
  <si>
    <t>IC0911_CatNNF_AnoNNF_rho1279_3-7</t>
  </si>
  <si>
    <t>Cathodic Cleaned; 168h test - Part 5/6</t>
  </si>
  <si>
    <t>IC0907_CatNNF_AnoNNF_rho_1279_2-2</t>
  </si>
  <si>
    <t>Cathodic Cleaned; 168h test - Part 1/6</t>
  </si>
  <si>
    <t>Production #5</t>
  </si>
  <si>
    <t>IC1138_CatNNF_AnoNNF_rho1281_3-7</t>
  </si>
  <si>
    <t>Tamas</t>
  </si>
  <si>
    <t>Daniel</t>
  </si>
  <si>
    <t>168 h, new electrolyte test, cathodic cleaning test</t>
  </si>
  <si>
    <t>Production #6</t>
  </si>
  <si>
    <t>IC1137_CatNNF_AnoNNF_rho1281_3-4</t>
  </si>
  <si>
    <t>_QC_IC_168h_v1</t>
  </si>
  <si>
    <t>Production #7</t>
  </si>
  <si>
    <t>IC1147_CatNNF_AnoNNF_rho1281_3-7</t>
  </si>
  <si>
    <t>168 h, new electrolyte test, cathodic cleaning test, retest.</t>
  </si>
  <si>
    <t>IC1546_CatNNF_AnoNNF_rho1282_6-8</t>
  </si>
  <si>
    <t>Gen2 vs Gen2 test (after cathodic cleaning); Stopped after 18,22 hours due to an overflowing beaker</t>
  </si>
  <si>
    <t>Production #9</t>
  </si>
  <si>
    <t>IC1580_CatNNF_AnoNNF_rho1282_4-4</t>
  </si>
  <si>
    <t>Newly cut NNF vs NNF test to determine whether the 1.282 g/dm3 electrolyte is the problem causing poor anode performance, 168h</t>
  </si>
  <si>
    <t>IC1545_CatNNF_AnoNNF_rho1282_6-7</t>
  </si>
  <si>
    <t>Marcus</t>
  </si>
  <si>
    <t>Gen2 vs Gen2 test (after cathodic cleaning)</t>
  </si>
  <si>
    <t>IC1583_CatNNF_AnoNNF_rhoLab-Grade_6-1</t>
  </si>
  <si>
    <t>NNF vs NNF to test new electrolyte, taken down early because of poor assembly</t>
  </si>
  <si>
    <t>IC1587_CatNNF_AnoNNF_rho1286_OldPretreatment_4-3</t>
  </si>
  <si>
    <t>_QC_IC_48h_v1.xml</t>
  </si>
  <si>
    <t>New NNF electrodes (both anode and cathode), old pretreatment (Acetone - HCl - water), SA Made Electrolyte (SA - Oniel Rhe Lauron) (1.286 g/ml).</t>
  </si>
  <si>
    <t>IC1588_CatNNF_AnoNNF_rho1282_OldPretreatment_4-4</t>
  </si>
  <si>
    <t>New NNF electrodes (both anode and cathode), old pretreatment (Acetone - HCl - water), Normal Electrolyte (1.282 g/ml).</t>
  </si>
  <si>
    <t>IC1581_CatNNF_AnoNNF_rho1282_4-5</t>
  </si>
  <si>
    <t>IC1582_CatNNF_AnoNNF_rhoLab-Grade_5-3</t>
  </si>
  <si>
    <t xml:space="preserve">Test to see Why Anodes are failing in QC, SA Made electrolyte (SA - Marcus Rodell) of 30w/v% KOH with 88% purity has been used </t>
  </si>
  <si>
    <t xml:space="preserve">
IC1570_CatNNF_AnoNNF_rho1282_3-6</t>
  </si>
  <si>
    <t>IC1584_CatNNF_AnoNNF_rho1286_6-1</t>
  </si>
  <si>
    <t>Test to see Why Anodes are failing in QC, SA Made (SA - Oniel Rhe Lauron)  electrolyte of 30w/v% KOH with 88% purity has been used as well as gen 3 membrane</t>
  </si>
  <si>
    <t>IC1585_CatnewNNF_AnonewNNF_rho1286_Gen4_4-6</t>
  </si>
  <si>
    <t>Anode and Cathode are  from new NNF, electrolyte used was prepared on 02-04-2026 and has a density of 1.286 g/ml. Gen 4 membrane</t>
  </si>
  <si>
    <t>IC1586_CatnewNNF_AnonewNNF_rho1282_Gen4_5-1</t>
  </si>
  <si>
    <t>Anode and Cathode are new NNF, uses gen 4 membrane.</t>
  </si>
  <si>
    <t>Production #10</t>
  </si>
  <si>
    <t>IC1620_CatNNF_AnoNNF_rho1282_4-3_newbackplate</t>
  </si>
  <si>
    <t>Péter</t>
  </si>
  <si>
    <t>Antonina</t>
  </si>
  <si>
    <t>New Ni backplate without iron.</t>
  </si>
  <si>
    <t>IC1619_CatNNF_AnoNNF_rho1282_1.565ppm_Fe_4-4_NewBackplates_Fe</t>
  </si>
  <si>
    <t>New Ni backplate with iron in electrolyte.</t>
  </si>
  <si>
    <t>IC1617_CatNNF_AnoNNF_rho1282_4-5_oldbackplate</t>
  </si>
  <si>
    <t>Old Ni backplates without iron.</t>
  </si>
  <si>
    <t>IC1618_CatNNF_AnoNNF_rho1282_4-6_OldBackplates_Fe</t>
  </si>
  <si>
    <t>Old Ni backplate with iron.</t>
  </si>
  <si>
    <t>IC1621_CatNNF_AnoNNF_rho1282_1.3ppm_Fe_1-3</t>
  </si>
  <si>
    <t>_QC_IC_24h_v1.xml</t>
  </si>
  <si>
    <t>24 h test, 1.3 ppm of Fe added</t>
  </si>
  <si>
    <t>IC1622_CatNNF_AnoNNF_rho1282_1.3ppm_Fe_1-5</t>
  </si>
  <si>
    <t>24 h test, 1.3 ppm Fe added</t>
  </si>
  <si>
    <t>IC1614_CatNNF_AnoNNF_rho1282_5-1_NewNiBackplates</t>
  </si>
  <si>
    <t>Paolo</t>
  </si>
  <si>
    <t>IC1616_CatNNF_AnoNNF_rho1282_5-3_OldNiBackplates</t>
  </si>
  <si>
    <t>IC1615_CatNNF_AnoNNF_rho1282_6-5_WithFe-OldNiBackplates</t>
  </si>
  <si>
    <t>IC1695_CatNNF_AnoNNF_rho1282_5ppm_Fe_6-5</t>
  </si>
  <si>
    <r>
      <rPr>
        <b/>
        <sz val="11"/>
        <color theme="1"/>
        <rFont val="Calibri"/>
        <family val="2"/>
        <scheme val="minor"/>
      </rPr>
      <t>Misscalcualted iron content, stopped due to this mistake</t>
    </r>
    <r>
      <rPr>
        <sz val="11"/>
        <color theme="1"/>
        <rFont val="Calibri"/>
        <family val="2"/>
        <scheme val="minor"/>
      </rPr>
      <t xml:space="preserve"> 3000h test. 5 ppm Fe added. denora cathode stopped because of poor Fe solution</t>
    </r>
  </si>
  <si>
    <t>IC1696_CatNNF_AnoNNF_rho1282_5ppm_Fe_8-1</t>
  </si>
  <si>
    <t>IC1697_CatNNF_AnoNNF_rho1282_20ppm_Fe_8-2</t>
  </si>
  <si>
    <r>
      <rPr>
        <b/>
        <sz val="11"/>
        <color theme="1"/>
        <rFont val="Calibri"/>
        <family val="2"/>
        <scheme val="minor"/>
      </rPr>
      <t>Misscalcualted iron content, stopped due to this mistake</t>
    </r>
    <r>
      <rPr>
        <sz val="11"/>
        <color theme="1"/>
        <rFont val="Calibri"/>
        <family val="2"/>
        <scheme val="minor"/>
      </rPr>
      <t xml:space="preserve"> 3000h test. 20 ppm Fe added. denora cathode stopped because of poor Fe solution</t>
    </r>
  </si>
  <si>
    <t>IC1698_CatNNF_AnoNNF_rho1282_20ppm_Fe_8-3</t>
  </si>
  <si>
    <t>IC1745_CatNNF_AnoNNF_rho1282_5.0ppm_Fe_8-1</t>
  </si>
  <si>
    <t>_QC_IC_3000h_v3.xml</t>
  </si>
  <si>
    <t>Stopped due to heating plate being turned off.</t>
  </si>
  <si>
    <t>Production #11</t>
  </si>
  <si>
    <t>IC1746_CatNNF_AnoNNF_rho1282_5.0ppm_Fe_8-2</t>
  </si>
  <si>
    <t>IC1747_CatNNF_AnoNNF_rho1282_20.0ppm_Fe_8-3</t>
  </si>
  <si>
    <t>IC1748_CatNNF_AnoNNF_rho1282_20.0ppm_Fe_8-4</t>
  </si>
  <si>
    <t xml:space="preserve">Archived in </t>
  </si>
  <si>
    <t>IC0057_CatPNF_AnoPNF_T90_rho1287_AUX1Cat_AUX2Ano_3-6</t>
  </si>
  <si>
    <t>24/08/2024</t>
  </si>
  <si>
    <t>IC0057_CatPNF_AnoPNF_T90_rho1287_AUX1Cat_AUX2Ano_3-6.png</t>
  </si>
  <si>
    <t>IC0057_CatPNF_AnoPNF_T90_rho1287_AUX1Cat_AUX2Ano_restart_3-6</t>
  </si>
  <si>
    <t>12/09/2024</t>
  </si>
  <si>
    <t>IC0057_CatPNF_AnoPNF_T90_rho1287_AUX1Cat_AUX2Ano_restart_3-6.png</t>
  </si>
  <si>
    <t>IC0058_CatPNF_AnoPNF_T90_rho1287_AUX1Cat_AUX2Ano_3-7.png</t>
  </si>
  <si>
    <t>IC0058_CatPNF_AnoPNF_T90_rho1287_AUX1Cat_AUX2Ano_restart_3-7</t>
  </si>
  <si>
    <t>IC0058_CatPNF_AnoPNF_T90_rho1287_AUX1Cat_AUX2Ano_restart_3-7.png</t>
  </si>
  <si>
    <t>IC0059_CatPNF_AnoPNF_T90_rho1287_AUX1Cat_AUX2Ano_3-8</t>
  </si>
  <si>
    <t>IC0059_CatPNF_AnoPNF_T90_rho1287_AUX1Cat_AUX2Ano_3-8.png</t>
  </si>
  <si>
    <t>IC0059_CatPNF_AnoPNF_T90_rho1287_AUX1Cat_AUX2Ano_restart_3-8</t>
  </si>
  <si>
    <t>IC0059_CatPNF_AnoPNF_T90_rho1287_AUX1Cat_AUX2Ano_restart_3-8.png</t>
  </si>
  <si>
    <t>IC0060_CatA001385_AnoA001385_T90_rho1287_AUX1Cat_AUX2Ano_3-5</t>
  </si>
  <si>
    <t>23/08/2024</t>
  </si>
  <si>
    <t>IC0060_CatA001385_AnoA001385_T90_rho1287_AUX1Cat_AUX2Ano_3-5.png</t>
  </si>
  <si>
    <t>IC0061_CatA001385_AnoA001385_T90_rho1287_AUX1Cat_AUX2Ano_2-8</t>
  </si>
  <si>
    <t>29/08/2024</t>
  </si>
  <si>
    <t>IC0061_CatA001385_AnoA001385_T90_rho1287_AUX1Cat_AUX2Ano_2-8.png</t>
  </si>
  <si>
    <t>IC0062_CatPNF_AnoPNF_T90_rho1287_AUX1Cat_AUX2Ano_1-3</t>
  </si>
  <si>
    <t>IC0062_CatPNF_AnoPNF_T90_rho1287_AUX1Cat_AUX2Ano_1-3.png</t>
  </si>
  <si>
    <t>IC0063_CatPNF_AnoPNF_T90_rho1287_AUX1Cat_AUX2Ano_1-5</t>
  </si>
  <si>
    <t>IC0063_CatPNF_AnoPNF_T90_rho1287_AUX1Cat_AUX2Ano_1-5.png</t>
  </si>
  <si>
    <t>IC0064_CatPNF_AnoPNF_T90_AUX1Ano_AUX2Cat_1-1</t>
  </si>
  <si>
    <t>IC0064_CatPNF_AnoPNF_T90_AUX1Ano_AUX2Cat_1-1.png</t>
  </si>
  <si>
    <t>IC0065_CatPNF_AnoPNF_T90_rho1287_AUX1Cat_AUX2Ano_1-8</t>
  </si>
  <si>
    <t>Constant 0,8A?</t>
  </si>
  <si>
    <t>Stored in two files, IC0065_..._1-8_1 continues just after IC0065_..._1-8 is finished (total time is the time of the two files)</t>
  </si>
  <si>
    <t>IC0066_CatPNF_AnoPNF_T90_rho1287_AUX1Cat_AUX2Ano_3-3</t>
  </si>
  <si>
    <t>13/06/2024</t>
  </si>
  <si>
    <t>Stored also in two files, confusion in time, data loss in the middle (141 hours in the beginning can be used)</t>
  </si>
  <si>
    <t>IC0066_CatPNF_AnoPNF_T90_rho1287_AUX1Cat_AUX2Ano_3-3.png</t>
  </si>
  <si>
    <t>IC0069_CatA1427_AnoA1950_T90_rho1287_AUX1Ano_AUX2Cat_2-7</t>
  </si>
  <si>
    <t>IC0069_CatA1427_AnoA1950_T90_rho1287_AUX1Ano_AUX2Cat_2-7.png</t>
  </si>
  <si>
    <t>IC0074_Cat2243_Ano2454_T90_rho1287_AUX1Ano_AUX2Cat_1-5</t>
  </si>
  <si>
    <t>19/9/2024</t>
  </si>
  <si>
    <t>IC0074_Cat2243_Ano2454_T90_rho1287_AUX1Ano_AUX2Cat_1-5.png</t>
  </si>
  <si>
    <t>IC0078_Cat2516_Ano2516_T90_rho1287_AUX1Ano_AUX2Cat_1-2</t>
  </si>
  <si>
    <t>Bad batch/patches on the electrode</t>
  </si>
  <si>
    <t>IC0078_Cat2516_Ano2516_T90_rho1287_AUX1Ano_AUX2Cat_1-2.png</t>
  </si>
  <si>
    <t>IC0084_CatA001022_AnoA002575_T90_rho1287_AUX1Cat_AUX2Ano_3-1</t>
  </si>
  <si>
    <t>Filippo</t>
  </si>
  <si>
    <t>11/09/2024</t>
  </si>
  <si>
    <t>IC0084_CatA001022_AnoA002575_T90_rho1287_AUX1Cat_AUX2Ano_3-1.png</t>
  </si>
  <si>
    <t>IC0087_Cat2875_Ano_2797_T90_rho1287_AUX1Ano_AUX2_Cat_2-3 - BAD</t>
  </si>
  <si>
    <t>17/09/2024</t>
  </si>
  <si>
    <t>IC0087_Cat2875_Ano_2797_T90_rho1287_AUX1Ano_AUX2_Cat_2-3 - BAD.png</t>
  </si>
  <si>
    <t>IC0088_Cat2800_Ano2500_T90_rho1287_AUX1Ano_AUX2_Cat_2-4</t>
  </si>
  <si>
    <t>IC0088_Cat2800_Ano2500_T90_rho1287_AUX1Ano_AUX2_Cat_2-4.png</t>
  </si>
  <si>
    <t>IC0089_Cat2218_Ano_2403_T90_rho1287_AUX1Ano_AUX2_Cat_2-8</t>
  </si>
  <si>
    <t>Stopped by voltage peak</t>
  </si>
  <si>
    <t>IC0089_Cat2218_Ano_2403_T90_rho1287_AUX1Ano_AUX2_Cat_2-8.png</t>
  </si>
  <si>
    <t>IC0095_Cat2850_Ano_2550_T90_rho1287_AUX1Ano_AUX2_Cat_3-6</t>
  </si>
  <si>
    <t>22/09/2024</t>
  </si>
  <si>
    <t xml:space="preserve">do not use </t>
  </si>
  <si>
    <t>IC0095_Cat2850_Ano_2550_T90_rho1287_AUX1Ano_AUX2_Cat_3-6.png</t>
  </si>
  <si>
    <t>IC0096_Cat2835_Ano_2525_T90_rho1287_AUX1Ano_AUX2_Cat_3-5</t>
  </si>
  <si>
    <t>24/09/2024</t>
  </si>
  <si>
    <t>IC0096_Cat2835_Ano_2525_T90_rho1287_AUX1Ano_AUX2_Cat_3-5.png</t>
  </si>
  <si>
    <t>IC0097_Cat2904_Ano_2525_T90_rho1287_AUX1Ano_AUX2_Cat_3-3</t>
  </si>
  <si>
    <t>23/09/2024</t>
  </si>
  <si>
    <t>IC0097_Cat2904_Ano_2525_T90_rho1287_AUX1Ano_AUX2_Cat_3-3.png</t>
  </si>
  <si>
    <t>IC0098_Cat2903_Ano_2525_T90_rho1287_AUX1Ano_AUX2_Cat_3-1</t>
  </si>
  <si>
    <t>sylgard</t>
  </si>
  <si>
    <t>IC0098_Cat2903_Ano_2525_T90_rho1287_AUX1Ano_AUX2_Cat_3-1.png</t>
  </si>
  <si>
    <t>IC0169_CatA2830_AnoA1577_rho1287_AUX1Cat_AUX2Ano_3-8</t>
  </si>
  <si>
    <t>IC0169_CatA2830_AnoA1577_rho1287_AUX1Cat_AUX2Ano_3-8.png</t>
  </si>
  <si>
    <t>IC0302_CatA3296_Ano_A2797_rho1276_AUX1Cat_AUX2Ano_PRECONDITIONED_PART1_70degKOH_2-3</t>
  </si>
  <si>
    <t>Preconditioning_1st_part</t>
  </si>
  <si>
    <t>Preconditioned sample (15% KOH), made with preheated KOH (70deg).
Thermoreg. first adjusted to 80, then to 90deg!</t>
  </si>
  <si>
    <t>IC0302_CatA3296_Ano_A2797_rho1276_AUX1Cat_AUX2Ano_PRECONDITIONED_PART1_70degKOH_2-3.png</t>
  </si>
  <si>
    <t>IC0304_CatA3306_AnoA3125_rho1276_AUX1Cat_AUX2Ano_PRECONDITIONED_PART1_3-5</t>
  </si>
  <si>
    <t>IC0304_CatA3306_AnoA3125_rho1276_AUX1Cat_AUX2Ano_PRECONDITIONED_PART1_3-5.png</t>
  </si>
  <si>
    <t>IC0306_CatA3298_AnoA3200_rho1276_AUX1Cat_AUX2Ano_PRECONDITIONED_PART1_3-7</t>
  </si>
  <si>
    <t>IC0306_CatA3298_AnoA3200_rho1276_AUX1Cat_AUX2Ano_PRECONDITIONED_PART1_3-7.png</t>
  </si>
  <si>
    <t>IC0316_CatA3306_AnoA3125_rho1276_AUX1Cat_AUX2Ano_PRECONDITIONED_PART2_3-5</t>
  </si>
  <si>
    <t>Julie</t>
  </si>
  <si>
    <t>Preconditioning_2nd_part</t>
  </si>
  <si>
    <t>Preconditioned sample (15% KOH), made with preheated KOH (70deg). Thermoreg. first adjusted to 80, then to 90deg!</t>
  </si>
  <si>
    <t>IC0316_CatA3306_AnoA3125_rho1276_AUX1Cat_AUX2Ano_PRECONDITIONED_PART2_3-5.png</t>
  </si>
  <si>
    <t>IC0305_CatA3298_AnoA3200_rho1276_AUX1Cat_AUX2Ano_3-6</t>
  </si>
  <si>
    <t>No Preconditioning_72h+polcurve</t>
  </si>
  <si>
    <t>NO preconditioning! Made with preheated KOH (70deg). Thermoreg. first adjusted to 80, then to 90deg!</t>
  </si>
  <si>
    <t>IC0305_CatA3298_AnoA3200_rho1276_AUX1Cat_AUX2Ano_3-6.png</t>
  </si>
  <si>
    <t>IC0317_CatA3298_AnoA3200_rho1276_AUX1Cat_AUX2Ano_PRECONDITIONED_PART2_3-7</t>
  </si>
  <si>
    <t>IC0317_CatA3298_AnoA3200_rho1276_AUX1Cat_AUX2Ano_PRECONDITIONED_PART2_3-7.png</t>
  </si>
  <si>
    <t>IC0301_CatA3296_AnoA2797_rho1276_AUX1Cat_AUX2Ano_3-8</t>
  </si>
  <si>
    <t>IC0301_CatA3296_AnoA2797_rho1276_AUX1Cat_AUX2Ano_3-8.png</t>
  </si>
  <si>
    <t>IC0315_CatA3296_Ano_A2797_rho1276_AUX1Cat_AUX2Ano_PRECONDITIONED_PART2_70degKOH_2-3</t>
  </si>
  <si>
    <t>IC0315_CatA3296_Ano_A2797_rho1276_AUX1Cat_AUX2Ano_PRECONDITIONED_PART2_70degKOH_2-3.png</t>
  </si>
  <si>
    <t>IC0303_CatA3306_AnoA3125_rho1276_AUX1Cat_AUX2Ano_2-4</t>
  </si>
  <si>
    <t>IC0303_CatA3306_AnoA3125_rho1276_AUX1Cat_AUX2Ano_2-4.png</t>
  </si>
  <si>
    <t>IC0323_CatA3298_AnoA3200_rho1276_AUX1Cat_AUX2Ano_PRECOND-v2-Part1_3-5</t>
  </si>
  <si>
    <t>Preconditioning_1st_part_v2</t>
  </si>
  <si>
    <t>Preconditioned (v2 - Part 1) sample with preheated (80deg) 15% KOH.</t>
  </si>
  <si>
    <t>IC0323_CatA3298_AnoA3200_rho1276_AUX1Cat_AUX2Ano_PRECOND-v2-Part1_3-5.png</t>
  </si>
  <si>
    <t>IC0324_CatA3306_AnoA3125_rho1276_AUX1Cat_AUX2Ano_PRECOND-v2-Part1_3-6</t>
  </si>
  <si>
    <t>IC0324_CatA3306_AnoA3125_rho1276_AUX1Cat_AUX2Ano_PRECOND-v2-Part1_3-6.png</t>
  </si>
  <si>
    <t>IC0325_CatA3296_AnoA2797_rho1276_AUX1Cat_AUX2Ano_PRECOND-v2-Part1_3-7</t>
  </si>
  <si>
    <t>IC0325_CatA3296_AnoA2797_rho1276_AUX1Cat_AUX2Ano_PRECOND-v2-Part1_3-7.png</t>
  </si>
  <si>
    <t>IC0340_CatA3298_AnoA3200_rho1276_AUX1Cat_AUX2Ano_PRECOND-v2-Part2_3-5</t>
  </si>
  <si>
    <t>Preconditioning_2nd_part_v2</t>
  </si>
  <si>
    <t>Preconditioned (v2 - Part 2) sample with preheated (70deg) 30% KOH.</t>
  </si>
  <si>
    <t>IC0340_CatA3298_AnoA3200_rho1276_AUX1Cat_AUX2Ano_PRECOND-v2-Part2_3-5.png</t>
  </si>
  <si>
    <t>IC0341_CatA3306_AnoA3125_rho1276_AUX1Cat_AUX2Ano_PRECOND-v2-Part2_3-6</t>
  </si>
  <si>
    <t>IC0341_CatA3306_AnoA3125_rho1276_AUX1Cat_AUX2Ano_PRECOND-v2-Part2_3-6.png</t>
  </si>
  <si>
    <t>IC0342_CatA3296_AnoA2797_rho1276_AUX1Cat_AUX2Ano_PRECOND-v2-Part2_3-7</t>
  </si>
  <si>
    <t>IC0342_CatA3296_AnoA2797_rho1276_AUX1Cat_AUX2Ano_PRECOND-v2-Part2_3-7.png</t>
  </si>
  <si>
    <t>IC0957_CatB757-TR_AnoB578-TR_rho1279_1-8_Part1</t>
  </si>
  <si>
    <t>New_Preconditioning_v1.0_168h</t>
  </si>
  <si>
    <t>preconditioning test, preheated KOH and beaker. 1 of 3; on 1st of October I changed the stirring speed from 120 to 270 /Aleksandra. Part1</t>
  </si>
  <si>
    <t>IC0959_CatB757-TR_AnoB578-TR_rho1279_2-1_Part1</t>
  </si>
  <si>
    <t>preconditioning test, preheated KOH and beaker. 2 of 3. Part1</t>
  </si>
  <si>
    <t>IC0958_CatB757-TR_AnoB578-TR_rho1279_2-2_Part1</t>
  </si>
  <si>
    <r>
      <rPr>
        <b/>
        <sz val="11"/>
        <color theme="1"/>
        <rFont val="Calibri"/>
        <family val="2"/>
        <scheme val="minor"/>
      </rPr>
      <t>It was used as aged sample for degradation study in half cells.</t>
    </r>
    <r>
      <rPr>
        <sz val="11"/>
        <color theme="1"/>
        <rFont val="Calibri"/>
        <family val="2"/>
        <scheme val="minor"/>
      </rPr>
      <t xml:space="preserve"> preconditioning test, preheated KOH and beaker. 3 of 3. Part1</t>
    </r>
  </si>
  <si>
    <t>Long Term (white R&amp;D Binder)</t>
  </si>
  <si>
    <t>IC0966_CatB757-TR_AnoB578-TR_rho1279_1-6_Aqfa</t>
  </si>
  <si>
    <t>Ola</t>
  </si>
  <si>
    <t>_QC_IC_3000h_v1</t>
  </si>
  <si>
    <r>
      <rPr>
        <b/>
        <sz val="11"/>
        <color theme="1"/>
        <rFont val="Calibri"/>
        <family val="2"/>
        <scheme val="minor"/>
      </rPr>
      <t>Cathode consumed by XRD analysis with Rasmus (sample 2)</t>
    </r>
    <r>
      <rPr>
        <sz val="11"/>
        <color theme="1"/>
        <rFont val="Calibri"/>
        <family val="2"/>
        <scheme val="minor"/>
      </rPr>
      <t xml:space="preserve"> aqfa zerfone utp 500 separator was soaked in 1M KOH before assembling, 3000h test. Taken of before time because of unusefull data</t>
    </r>
  </si>
  <si>
    <t>IC0967_CatB757-TR_AnoB578-TR_rho1279_1-7_Aqfa</t>
  </si>
  <si>
    <t>Peter</t>
  </si>
  <si>
    <r>
      <rPr>
        <b/>
        <sz val="11"/>
        <color theme="1"/>
        <rFont val="Calibri"/>
        <family val="2"/>
        <scheme val="minor"/>
      </rPr>
      <t>It was used as aged sample for degradation study in half cells.</t>
    </r>
    <r>
      <rPr>
        <sz val="11"/>
        <color theme="1"/>
        <rFont val="Calibri"/>
        <family val="2"/>
        <scheme val="minor"/>
      </rPr>
      <t xml:space="preserve"> aqfa zerfone utp 500 separator was soaked in 1M KOH before assembling, 3000h test. Taken of before time because of unusefull data</t>
    </r>
  </si>
  <si>
    <t>IC0960_CatB757-TR_AnoB578-TR_rho1279_3-4_Cu-contamination</t>
  </si>
  <si>
    <t>3000h test, preheated KOH and beaker. Copper contamination test.</t>
  </si>
  <si>
    <t>IC0957_CatB757-TR_AnoB578-TR_rho1279_1-8_precon_part2</t>
  </si>
  <si>
    <r>
      <rPr>
        <b/>
        <sz val="11"/>
        <color theme="1"/>
        <rFont val="Calibri"/>
        <family val="2"/>
        <scheme val="minor"/>
      </rPr>
      <t>Cathode used for ECSA meausrment in half cell + XRD.</t>
    </r>
    <r>
      <rPr>
        <sz val="11"/>
        <color theme="1"/>
        <rFont val="Calibri"/>
        <family val="2"/>
        <scheme val="minor"/>
      </rPr>
      <t xml:space="preserve"> preconditioning test, preheated KOH and beaker. 1 of 3; on 1st of October I changed the stirring speed from 120 to 270 /Aleksandra</t>
    </r>
  </si>
  <si>
    <t>IC0958_CatB757-TR_AnoB578-TR_rho1279_2-2_precon_part2</t>
  </si>
  <si>
    <t>preconditioning test, preheated KOH and beaker. 2 of 3</t>
  </si>
  <si>
    <t>IC0959_CatB757-TR_AnoB578-TR_rho1279_2-1_precon_part2</t>
  </si>
  <si>
    <t xml:space="preserve">
preconditioning test, preheated KOH and beaker. 3 of 3</t>
  </si>
  <si>
    <t>IC1059_CatB757-TR_AnoB578-TR_rho1279_3-7_80C</t>
  </si>
  <si>
    <t>Test running at 80 C.</t>
  </si>
  <si>
    <t>IC1058_CatB757-TR_AnoB578-TR_rho1279_3-8_75C</t>
  </si>
  <si>
    <t>Test running at 75 C.</t>
  </si>
  <si>
    <t>IC1092_CatB4325-TR-VFMC_AnoB3525-TR-VFMC_rho1279_5-5</t>
  </si>
  <si>
    <t>Very few microcracks, 3000h test, preheated beaker and KOH. P3, 2025.11.25 stirring was turned on at 09:00 dont know how long it was off for.</t>
  </si>
  <si>
    <r>
      <t xml:space="preserve">Production </t>
    </r>
    <r>
      <rPr>
        <i/>
        <sz val="11"/>
        <color theme="1"/>
        <rFont val="Calibri"/>
        <family val="2"/>
        <scheme val="minor"/>
      </rPr>
      <t>#7</t>
    </r>
  </si>
  <si>
    <t>IC1087_CatB4599-TR-LC_AnoB4149-TR-LC_rho1279_1-5</t>
  </si>
  <si>
    <t>Bardia</t>
  </si>
  <si>
    <t>Less Cracked, 3000hr test, preheated beaker and KOH, P2</t>
  </si>
  <si>
    <t>Production #8</t>
  </si>
  <si>
    <t>IC1088_CatB4599-TR-LC_AnoB4149-TR-LC_rho1279_2-3</t>
  </si>
  <si>
    <t>Less Cracked, 3000hr test, P3</t>
  </si>
  <si>
    <t>IC1089_CatB2963-TR-MC_AnoB3282-TR-MC_rho1279_2-5</t>
  </si>
  <si>
    <t>Microcracks, 3000h test, preheated beaker and KOH, p2</t>
  </si>
  <si>
    <t>IC1090_CatB2963-TR-MC_AnoB3282-TR-MC_rho1279_2-6</t>
  </si>
  <si>
    <t>Microcracks, 3000h test, preheated beaker and KOH, P3</t>
  </si>
  <si>
    <t>IC1091_CatB4325-TR-VFMC_AnoB3525-TR-VFMC_rho1279_3-3</t>
  </si>
  <si>
    <t>Very few microcracks, 3000h test, preheated beaker and KOH, P2</t>
  </si>
  <si>
    <t>IC1061_CatB757-TR_AnoB578-TR_rho1279_3-5_90C</t>
  </si>
  <si>
    <t>_QC_IC_3000h_v2_without_pol_curves.xml</t>
  </si>
  <si>
    <r>
      <rPr>
        <b/>
        <sz val="11"/>
        <color theme="1"/>
        <rFont val="Calibri"/>
        <family val="2"/>
        <scheme val="minor"/>
      </rPr>
      <t>Samples consumed by coating thickness analysi (embedding)</t>
    </r>
    <r>
      <rPr>
        <sz val="11"/>
        <color theme="1"/>
        <rFont val="Calibri"/>
        <family val="2"/>
        <scheme val="minor"/>
      </rPr>
      <t xml:space="preserve"> Test running at 90 C</t>
    </r>
  </si>
  <si>
    <t>Production #7 (only membrane)</t>
  </si>
  <si>
    <t>IC1060_CatB757-TR_AnoB578-TR_rho1279_3-6_85C</t>
  </si>
  <si>
    <r>
      <rPr>
        <b/>
        <sz val="11"/>
        <color theme="1"/>
        <rFont val="Calibri"/>
        <family val="2"/>
        <scheme val="minor"/>
      </rPr>
      <t>Cathode is consumed by XRD analysis with Rasmus (sample 3) and it was used as aged sample for degradation study in half cells.</t>
    </r>
    <r>
      <rPr>
        <sz val="11"/>
        <color theme="1"/>
        <rFont val="Calibri"/>
        <family val="2"/>
        <scheme val="minor"/>
      </rPr>
      <t xml:space="preserve"> Test running at 85 C</t>
    </r>
  </si>
  <si>
    <t>IC1290_CatB757-BR-P2_AnoNNF_rho1281_2-6</t>
  </si>
  <si>
    <t>Balazs</t>
  </si>
  <si>
    <t>_QC_IC_3000h_v3</t>
  </si>
  <si>
    <t>Stopped due to heating plate malfunction, 3000h Test, preheated beaker, preheated KOH, cathodic cleaned NNF anode</t>
  </si>
  <si>
    <t>IC1048_CatB3233-TR_AnoB3908-TR-C_rho1279_1-8</t>
  </si>
  <si>
    <t>Both anode and cathode is cracked test.  preheated KOH and beaker. 1 of 3
Electrolyte changed at 1000 hours to new KOH with density 1,281 g/cm3</t>
  </si>
  <si>
    <t xml:space="preserve">Long Term Test </t>
  </si>
  <si>
    <t>IC1050_CatB3233-TR_AnoB3908-TR-C_rho1279_2-2</t>
  </si>
  <si>
    <t>Both anode and cathode is cracked test. Preheated KOH and beaker. 3 of 3
Electrolyte changed at 1000 hours to new KOH with density 1,281 g/cm3</t>
  </si>
  <si>
    <t>IC1049_CatB3233-TR_AnoB3908-TR-C_rho1279_3-4</t>
  </si>
  <si>
    <t>Both anode and cathode is cracked test.  preheated KOH and beaker. 2 of 3
Electrolyte changed at 1000 hours to new KOH with density 1,281 g/cm3. Also due to heating plate failure it was moved from channel 2-1 to 3-4. Its the continuation of experiment: IC1049_CatB3233-TR_AnoB3908-TR-C_rho1279_2-1</t>
  </si>
  <si>
    <t>IC1049_CatB3233-TR_AnoB3908-TR-C_rho1279_2-1</t>
  </si>
  <si>
    <t>Both anode and cathode is cracked test.  preheated KOH and beaker. 2 of 3
Electrolyte changed at 1000 hours to new KOH with density 1,281 g/cm3. Also due to heating plate failure it was moved from channel 2-1 to 3-4. The experiment continuated as experiment: IC1049_CatB3233-TR_AnoB3908-TR-C_rho1279_3-4</t>
  </si>
  <si>
    <t>IC1578_CatB757-BR-P7_AnoB578-BR-P11_rho1282_4-1</t>
  </si>
  <si>
    <t>Gen3-Gen3 electrodes to test whether NNF is the problem to poor Anode data</t>
  </si>
  <si>
    <t>IC1573_CatB575-BR-P8_AnoB578-BR-P12_rhoLab-Grade_4-2</t>
  </si>
  <si>
    <t>IC with two control sample electrodes and new electrolyte containing 88% purity KOH to test why anodes are failing</t>
  </si>
  <si>
    <t>Production #9, IC number has been used twice</t>
  </si>
  <si>
    <t>IC0100_CatNNF_Ano_A2797_T90_rho1287_AUX1Ano_AUX2_Cat_3-8</t>
  </si>
  <si>
    <t>29/09/2024</t>
  </si>
  <si>
    <t xml:space="preserve">Sample is taken from the dark spot. </t>
  </si>
  <si>
    <t>IC0100_CatNNF_Ano_A2797_T90_rho1287_AUX1Ano_AUX2_Cat_3-8.png</t>
  </si>
  <si>
    <t>IC0101_CatNNF_Ano_2378_T90_rho1287_AUX1Ano_AUX2_Cat_2-8</t>
  </si>
  <si>
    <t>Sample is taken from the dark spot. 
Temperature is not measured after app. 50 hours.</t>
  </si>
  <si>
    <t>IC0101_CatNNF_Ano_2378_T90_rho1287_AUX1Ano_AUX2_Cat_2-8.png</t>
  </si>
  <si>
    <t>IC0102_CatNNF_Ano2797_T90_rho1287_AUX1Ano_AUX2_Cat_2-4</t>
  </si>
  <si>
    <t>Sample is taken from the bright spot.</t>
  </si>
  <si>
    <t>IC0102_CatNNF_Ano2797_T90_rho1287_AUX1Ano_AUX2_Cat_2-4.png</t>
  </si>
  <si>
    <t>IC0104_CatNNF_Ano2378_T90_rho1287_AUX1Ano_AUX2_Cat_3-6</t>
  </si>
  <si>
    <t>IC0104_CatNNF_Ano2378_T90_rho1287_AUX1Ano_AUX2_Cat_3-6.png</t>
  </si>
  <si>
    <t>IC0140_CatNNF_AnoA003050_T90_rho1287_AUX1NaN_AUX2NaN_3-7</t>
  </si>
  <si>
    <t>Sudden voltage drop between 20 and 48 hours. - do not use</t>
  </si>
  <si>
    <t>IC0140_CatNNF_AnoA003050_T90_rho1287_AUX1NaN_AUX2NaN_3-7.png</t>
  </si>
  <si>
    <t>IC0141_CatNNF_AnoA003025_rho1287_AUX1Cat_AUX2Ano_3-6</t>
  </si>
  <si>
    <t>Fluctuating temperature - do not use</t>
  </si>
  <si>
    <t>IC0141_CatNNF_AnoA003025_rho1287_AUX1Cat_AUX2Ano_3-6.png</t>
  </si>
  <si>
    <t>IC0142_CatNNF_AnoA003000_T90_rho1287_AUX1NaN_AUX2NaN_3-8</t>
  </si>
  <si>
    <t>IC0142_CatNNF_AnoA003000_T90_rho1287_AUX1NaN_AUX2NaN_3-8.png</t>
  </si>
  <si>
    <t>IC0161_CatNNF_Ano1577_T90_rho1287_AUX1Cat_AUX2Ano_2-4</t>
  </si>
  <si>
    <t>IC0161_CatNNF_Ano1577_T90_rho1287_AUX1Cat_AUX2Ano_2-4.png</t>
  </si>
  <si>
    <t>IC0175_CatNNF_Ano3200_T90_rho1287_AUX1Cat_AUX2Ano_2-1</t>
  </si>
  <si>
    <t>IC0175_CatNNF_Ano3200_T90_rho1287_AUX1Cat_AUX2Ano_2-1.png</t>
  </si>
  <si>
    <t>IC0173_CatNNF_AnoA3125_T90_rho1287_AUX1Cat_AUX2Ano_3-6</t>
  </si>
  <si>
    <t>IC0173_CatNNF_AnoA3125_T90_rho1287_AUX1Cat_AUX2Ano_3-6.png</t>
  </si>
  <si>
    <t>IC0186_CatNNF_Ano2279_T90_rho1287_AUX1Cat_AUX2Ano_3-8</t>
  </si>
  <si>
    <t>IC0186_CatNNF_Ano2279_T90_rho1287_AUX1Cat_AUX2Ano_3-8.png</t>
  </si>
  <si>
    <t>IC0185_CatNNF_Ano3100_T90_rho1287_AUX1Cat_AUX2Ano_3-7</t>
  </si>
  <si>
    <t>IC0185_CatNNF_Ano3100_T90_rho1287_AUX1Cat_AUX2Ano_3-7.png</t>
  </si>
  <si>
    <t>IC0188_CatNNF_AnoA2423_T90_rho1287_AUX1Cat_AUX2Ano_3-6</t>
  </si>
  <si>
    <t>Temperature is around 80 °C for 50 hours.-use it cautiously</t>
  </si>
  <si>
    <t>IC0188_CatNNF_AnoA2423_T90_rho1287_AUX1Cat_AUX2Ano_3-6.png</t>
  </si>
  <si>
    <t>IC0234_CatNNF_AnoA001950_rho1287_AUX1Cat_AUX2Ano_3-6</t>
  </si>
  <si>
    <t>IC0234_CatNNF_AnoA001950_rho1287_AUX1Cat_AUX2Ano_3-6.png</t>
  </si>
  <si>
    <t>IC0233_CatNNF_AnoA002422_rho1287_AUX1Cat_AUX2Ano_3-5</t>
  </si>
  <si>
    <t>IC0233_CatNNF_AnoA002422_rho1287_AUX1Cat_AUX2Ano_3-5.png</t>
  </si>
  <si>
    <t>IC0468_CatNNF_AnoA3320_1of3_rho1276_AUX1Cat_AUX2Ano_5-1</t>
  </si>
  <si>
    <t>Jesper</t>
  </si>
  <si>
    <t>_QC_IC_1000h_v1.xml</t>
  </si>
  <si>
    <t>1/3 EUROFIN</t>
  </si>
  <si>
    <t>IC0468_CatNNF_AnoA3320_1of3_rho1276_AUX1Cat_AUX2Ano_5-1.png</t>
  </si>
  <si>
    <t>IC0470_CatNNF_AnoA3320_3of3_rho1276_AUX1Cat_AUX2Ano_5-2</t>
  </si>
  <si>
    <t>3/3 EUROFIN</t>
  </si>
  <si>
    <t>IC0470_CatNNF_AnoA3320_3of3_rho1276_AUX1Cat_AUX2Ano_5-2.png</t>
  </si>
  <si>
    <t>IC0469_CatNNF_AnoA3320_2of3_rho1276_AUX1Cat_AUX2Ano_5-5</t>
  </si>
  <si>
    <t>2/EUROFIN</t>
  </si>
  <si>
    <t>IC0469_CatNNF_AnoA3320_2of3_rho1276_AUX1Cat_AUX2Ano_5-5.png</t>
  </si>
  <si>
    <t>IC0675_CatNNF_AnoA003320-1_rho1279_AUX1NaN_AUX2NaN_4-1</t>
  </si>
  <si>
    <t>Gen3 Anode A003320 (from bag 1), pretreated cathode, preheated KOH and beaker</t>
  </si>
  <si>
    <t>IC0675_CatNNF_AnoA003320-1_rho1279_AUX1NaN_AUX2NaN_4-1.png</t>
  </si>
  <si>
    <t>IC0676_CatNNF_AnoA003320-2_rho1279_AUX1NaN_AUX2NaN_4-2</t>
  </si>
  <si>
    <t>Gen3 Anode A003320 (from bag 2), pretreated cathode, preheated KOH and beaker</t>
  </si>
  <si>
    <t>IC0676_CatNNF_AnoA003320-2_rho1279_AUX1NaN_AUX2NaN_4-2.png</t>
  </si>
  <si>
    <t>IC0677_CatNNF_AnoA003320-3_rho1279_AUX1NaN_AUX2NaN_4-6</t>
  </si>
  <si>
    <t>Gen3 Anode A003320 (from bag 3), pretreated cathode, preheated KOH and beaker</t>
  </si>
  <si>
    <t>IC0677_CatNNF_AnoA003320-3_rho1279_AUX1NaN_AUX2NaN_4-6.png</t>
  </si>
  <si>
    <t>IC0710_CatNNF_AnoB394-BL_rho1297_AUX1NaN_AUX2NaN_4-1</t>
  </si>
  <si>
    <t>Akos/Daniel</t>
  </si>
  <si>
    <t>IC0711_CatNNF_AnoB394-TL_rho1297_AUX1NaN_AUX2NaN_4-2</t>
  </si>
  <si>
    <t>IC0712_CatNNF_AnoB394-M_rho1297_AUX1NaN_AUX2NaN_4-3</t>
  </si>
  <si>
    <t>IC0713_CatNNF_AnoB394-BR_rho1297_AUX1NaN_AUX2NaN_4-4</t>
  </si>
  <si>
    <t>IC0714_CatNNF_AnoB394-TR_rho1297_AUX1NaN_AUX2NaN_4-5</t>
  </si>
  <si>
    <t>IC0719_CatNNF_AnoB456-BR_rho1297_AUX1NaN_AUX2NaN_4-6</t>
  </si>
  <si>
    <t>Oniel/Bardia</t>
  </si>
  <si>
    <t>Low Right B456 anode</t>
  </si>
  <si>
    <t>IC0721_CatNNF_AnoB468-TR_rho1297_AUX1NaN_AUX2NaN_5-1</t>
  </si>
  <si>
    <t>Anode_Production_B468</t>
  </si>
  <si>
    <t>IC0720_CatNNF_AnoB456-TR_rho1297_AUX1NaN_AUX2NaN_5-2</t>
  </si>
  <si>
    <t>Oniel/Mohammadreza(Bardia)</t>
  </si>
  <si>
    <t>Anode_Production_QC_upper right, other one is lower right</t>
  </si>
  <si>
    <t>IC0722_CatNNF_AnoB463-TR_rho1297_AUX1NaN_AUX2NaN_5-5</t>
  </si>
  <si>
    <t>Anode_Production_QC_upper right, other one is lower right BUT taken from wrong position</t>
  </si>
  <si>
    <t>IC0724_CatNNF_AnoB463-TR_2_rho1279_AUX1NaN_AUX2NaN_5-7</t>
  </si>
  <si>
    <t>Position 2 (technically position 1 since the first cut was out the diagonal)</t>
  </si>
  <si>
    <t>IC0725_CatNNF_AnoB572-TR_rho1279_AUX1NaN_AUX2NaN_5-8</t>
  </si>
  <si>
    <t>It was used as aged sample for degradation study in half cells</t>
  </si>
  <si>
    <t xml:space="preserve">
IC0736_CatNNF_AnoB578-TL_rho1297_AUX1NaN_AUX2NaN_4-1</t>
  </si>
  <si>
    <t>Aleksandra/Oniel</t>
  </si>
  <si>
    <t>Abbreviations for "Production - Line 2" samples (depending on where they were cut from):
BL - Bottom Left
TL - Top Left
BR - Bottom Right
TR - Top Right
M - Middle</t>
  </si>
  <si>
    <t>IC0741_CatNNF_AnoB394-BR_rho1279_AUX1NaN_AUX2NaN_5-6</t>
  </si>
  <si>
    <t>Mismatched brackets - Anode Side "1.8mm"</t>
  </si>
  <si>
    <t>IC0740_CatNNF_AnoB578-TR_rho1297_AUX1NaN_AUX2NaN_4-5</t>
  </si>
  <si>
    <r>
      <rPr>
        <b/>
        <sz val="11"/>
        <color theme="1"/>
        <rFont val="Calibri"/>
        <family val="2"/>
        <scheme val="minor"/>
      </rPr>
      <t>Sample consumed by coating thickness measurement.</t>
    </r>
    <r>
      <rPr>
        <sz val="11"/>
        <color theme="1"/>
        <rFont val="Calibri"/>
        <family val="2"/>
        <scheme val="minor"/>
      </rPr>
      <t xml:space="preserve"> Mismatched brackets - Anode Side "1.8mm"</t>
    </r>
  </si>
  <si>
    <t>IC0737_CatNNF_AnoB578-BL_rho1297_AUX1NaN_AUX2NaN_4-2</t>
  </si>
  <si>
    <t>IC0738_CatNNF_AnoB578-M_rho1297_AUX1NaN_AUX2NaN_4-3</t>
  </si>
  <si>
    <t>IC0739_CatNNF_AnoB578-BR_rho1297_AUX1NaN_AUX2NaN_4-4</t>
  </si>
  <si>
    <t>Abbreviations for "Production - Line 2" samples (depending on where they were cut from): BL - Bottom Left TL - Top Left BR - Bottom Right TR - Top Right M - Middle</t>
  </si>
  <si>
    <t>IC0757_CatNNF_AnoB572-TR_rho1279_AUX1NaN_AUX2NaN_4-1</t>
  </si>
  <si>
    <t>QC_IC_anode_64h_v1</t>
  </si>
  <si>
    <t>IC0758_CatNNF_AnoB463-TR_rho1279_AUX1NaN_AUX2NaN_4-2</t>
  </si>
  <si>
    <t>IC0759_CatNNF_AnoB578-TR_rho1279_AUX1NaN_AUX2NaN_4-3</t>
  </si>
  <si>
    <t>IC0760_CatNNF_AnoB669-TR_rho1279_AUX1NaN_AUX2NaN_4-4</t>
  </si>
  <si>
    <t>IC0761_CatNNF_AnoB456-TR_rho1279_AUX1NaN_AUX2NaN_4-5</t>
  </si>
  <si>
    <t>IC0745_CatNNF_AnoB618-TR_rho1279_AUX1NaN_AUX2NaN_5-5</t>
  </si>
  <si>
    <t>Aleksandra/Tamas</t>
  </si>
  <si>
    <t>custom</t>
  </si>
  <si>
    <r>
      <rPr>
        <b/>
        <sz val="11"/>
        <color theme="1"/>
        <rFont val="Calibri"/>
        <family val="2"/>
        <scheme val="minor"/>
      </rPr>
      <t xml:space="preserve">It was used as aged sample for degradation study in half cells. </t>
    </r>
    <r>
      <rPr>
        <sz val="11"/>
        <color theme="1"/>
        <rFont val="Calibri"/>
        <family val="2"/>
        <scheme val="minor"/>
      </rPr>
      <t>preheated beaker and KOH, pretreated cathode, Top right coupon, Anode production</t>
    </r>
  </si>
  <si>
    <t>IC0746_CatNNF_AnoB655-TR_rho1279_AUX1NaN_AUX2NaN_5-7</t>
  </si>
  <si>
    <r>
      <rPr>
        <b/>
        <sz val="11"/>
        <color theme="1"/>
        <rFont val="Calibri"/>
        <family val="2"/>
        <scheme val="minor"/>
      </rPr>
      <t>It was used as aged sample for degradation study in half cells</t>
    </r>
    <r>
      <rPr>
        <sz val="11"/>
        <color theme="1"/>
        <rFont val="Calibri"/>
        <family val="2"/>
        <scheme val="minor"/>
      </rPr>
      <t>. preheated beaker and KOH, pretreated cathode, Top right coupon, Anode production</t>
    </r>
  </si>
  <si>
    <t>IC0747_CatNNF_AnoB687-TR_rho1279_AUX1NaN_AUX2NaN_5-8</t>
  </si>
  <si>
    <t xml:space="preserve">
preheated beaker and KOH, pretreated cathode, Top right coupon, Anode production</t>
  </si>
  <si>
    <t>IC0770_CatNNF_AnoB572TR_rho1279_4-1</t>
  </si>
  <si>
    <t>QC_IC_anode_48h_v1</t>
  </si>
  <si>
    <t>TR 3rd sample, preheated KOH and beaker, new 48h protocol</t>
  </si>
  <si>
    <t>IC0771_CatNNF_AnoB578TR_rho1279_4-2</t>
  </si>
  <si>
    <r>
      <rPr>
        <b/>
        <sz val="11"/>
        <color theme="1"/>
        <rFont val="Calibri"/>
        <family val="2"/>
        <scheme val="minor"/>
      </rPr>
      <t xml:space="preserve"> It was used as aged sample for degradation study in half cells. </t>
    </r>
    <r>
      <rPr>
        <sz val="11"/>
        <color theme="1"/>
        <rFont val="Calibri"/>
        <family val="2"/>
        <scheme val="minor"/>
      </rPr>
      <t>TR 3rd sample, preheated KOH and beaker, new 48h protocol</t>
    </r>
  </si>
  <si>
    <t>IC0772_CatNNF_AnoB463TR_rho1279_4-3</t>
  </si>
  <si>
    <t>TR 4th sample, preheated KOH and beaker, new 48h protocol</t>
  </si>
  <si>
    <t>IC0773_CatNNF_AnoB456TR_rho1279_4-4</t>
  </si>
  <si>
    <t>IC0805_CatNNF_AnoB001298_rho1279_4-2</t>
  </si>
  <si>
    <t>QC_IC_48h_v1</t>
  </si>
  <si>
    <t>IC0806_CatNNF_AnoB001307_rho1279_4-3</t>
  </si>
  <si>
    <t>IC0807_CatNNF_AnoB001293_rho1279_4-4</t>
  </si>
  <si>
    <t>IC0825_CatNNF_AnoB1342-TR_rho1279_4-1</t>
  </si>
  <si>
    <t>Peter H</t>
  </si>
  <si>
    <t>48h test</t>
  </si>
  <si>
    <t>IC0826_CatNNF_AnoB1461-TR_rho1279_4-2</t>
  </si>
  <si>
    <t>IC0827_CatNNF_AnoB1334-TR_rho1279_4-3</t>
  </si>
  <si>
    <t>IC0824_CatNNF_AnoB1436-TR_rho1279_4-4</t>
  </si>
  <si>
    <t>IC0823_CatNNF_AnoB1328-TR_rho1279_4-5</t>
  </si>
  <si>
    <t>PeterH</t>
  </si>
  <si>
    <t>48h test top right</t>
  </si>
  <si>
    <t>IC0833_CatNNF_AnoB1377-TR-_rho1279_4-6</t>
  </si>
  <si>
    <t>Produced a day after a new filter was placed in Catodic Cleaning (vat 17).</t>
  </si>
  <si>
    <t>IC0837_CatNNF_AnoB1414-TR-_rho1279_5-1</t>
  </si>
  <si>
    <t>IC0838_CatNNF_AnoB1484-TR-_rho1279_5-2</t>
  </si>
  <si>
    <t>Produced in between the placement of new filter and removal of clogged filter in vat 17.</t>
  </si>
  <si>
    <t>IC0839_CatNNF_AnoB1532-TR-_rho1279_5-5</t>
  </si>
  <si>
    <t>IC0840_CatNNF_AnoB1588-TR_rho1279_5-6</t>
  </si>
  <si>
    <t>Produced a day before the filter in the Catodic Cleaning (vat 17) was discovered to be around 1.5 bar (pressure &lt; 1 bar). Filter was clogged.</t>
  </si>
  <si>
    <t>IC0841_CatNNF_AnoB1423-TR_rho1279_4-1</t>
  </si>
  <si>
    <t>48h test, top right</t>
  </si>
  <si>
    <t>IC0842_CatNNF_AnoB1474-TR_rho1279_4-2</t>
  </si>
  <si>
    <t>IC0843_CatNNF_AnoB1455TR_rho1279_4-3</t>
  </si>
  <si>
    <t>peter</t>
  </si>
  <si>
    <t>IC0844_CatNNF_AnoB001397TR_rho1279_4-1</t>
  </si>
  <si>
    <t>IC0845_CatNNF_AnoB001324TR_rho1279_4-2</t>
  </si>
  <si>
    <t>IC0846_CatNNF_AnoB001616TR_rho1279_4-3</t>
  </si>
  <si>
    <t>IC0847_CatNNF_AnoB001692TR_rho1279_4-4</t>
  </si>
  <si>
    <t>IC0851_CatNNF_AnoB001666TR_rho1279_4-5</t>
  </si>
  <si>
    <r>
      <rPr>
        <b/>
        <sz val="11"/>
        <color rgb="FF000000"/>
        <rFont val="Calibri"/>
        <family val="2"/>
      </rPr>
      <t>Invalid -</t>
    </r>
    <r>
      <rPr>
        <sz val="11"/>
        <color rgb="FF000000"/>
        <rFont val="Calibri"/>
        <family val="2"/>
      </rPr>
      <t>48h test, top right, no heating in the middle of the measruementr</t>
    </r>
  </si>
  <si>
    <t>IC0854_CatNNF_AnoB001496TR_rho1279_4-1</t>
  </si>
  <si>
    <t>IC0853_CatNNF_AnoB001732TR_rho1279_4-2</t>
  </si>
  <si>
    <t>48h test, top right, restarted next day cause thermoregulator fail. Restarted with new electrodes</t>
  </si>
  <si>
    <t>IC0852_CatNNF_AnoB001616TR_rho1279_4-3</t>
  </si>
  <si>
    <t>IC0859_CatNNF_AnoB1683_rho1279_5-2</t>
  </si>
  <si>
    <t>IC0860_CatNNF_Ano1761_rho1279_5-5</t>
  </si>
  <si>
    <t>IC0867_CatNNF_AnoB001732TR_rho1279_4-2</t>
  </si>
  <si>
    <t xml:space="preserve">48h test, top right. Cell rebuilt and restarted after previous failed attempt. </t>
  </si>
  <si>
    <t>IC0868_CatNNF_AnoB1616-TR_rho1279_4-3</t>
  </si>
  <si>
    <t>IC0869_CatNNF_AnoB1711_rho1279_4-4</t>
  </si>
  <si>
    <t>IC0874_CatNNF_Ano1644_rho1279_5-5</t>
  </si>
  <si>
    <t>IC0879_CatNNF_AnoB1666-TR-2_rho1279_4-2</t>
  </si>
  <si>
    <t>Retesting electrode</t>
  </si>
  <si>
    <t>IC0880_CatNNF_AnoB1616-TR-2_rho1279_4-3</t>
  </si>
  <si>
    <t>IC0881_CatNNF_AnoB1455-TR-2_rho1279_4-4</t>
  </si>
  <si>
    <t>IC0882_CatNNF_AnoB687-TR-2_rho1279_4-5</t>
  </si>
  <si>
    <t>IC0888_CatNNF_AnoB2177-TR_rho1279_5-1</t>
  </si>
  <si>
    <t>IC0894_CatNNF_AnoB2265-TR_rho1279_4-5</t>
  </si>
  <si>
    <t>48h test, Carmine only took them under the fumehood. Properly disassembled by somebody else</t>
  </si>
  <si>
    <t>IC0893_CatNNF_AnoB2789-TR_rho1279_4-6</t>
  </si>
  <si>
    <t>IC0892_CatNNF_AnoB2092-TR_rho1279_5-1</t>
  </si>
  <si>
    <t>IC0891_CatNNF_AnoB1732-TR-2_rho1279_5-2</t>
  </si>
  <si>
    <t>IC0890_CatNNF_AnoB2110-TR_rho1279_5-5</t>
  </si>
  <si>
    <t>IC0897_CatNNF_AnoB2141-TR_rho1279_4-3</t>
  </si>
  <si>
    <t>IC0898_CatNNF-TR_AnoB2125-TR_rho1279_4-4</t>
  </si>
  <si>
    <t>IC0899_CatNNF_AnoB2077-TR_rho1279_4-5</t>
  </si>
  <si>
    <t>IC0902_CatNNF_AnoB2065-TR_rho1279_4-1</t>
  </si>
  <si>
    <t>IC0903_CatNNF_AnoB2227-TR_rho1279_4-2</t>
  </si>
  <si>
    <t>IC0900_CatNNF_AnoB2209-TR_rho1279_4-6</t>
  </si>
  <si>
    <t>IC0901_CatNNF_AnoB2157-TR_rho1279_5-1</t>
  </si>
  <si>
    <t>IC0913_CatNNF_Ano_B2064TR_rho1279_4-3</t>
  </si>
  <si>
    <t>Noticed that the electrode was already cut, but the cut piece was missing. Couldn't find it in IC logbook, might be a duplicate.
From Ola 10/09: IC902 was wrongly saved as B2065 - it was B2064 what is confimed by archived samples</t>
  </si>
  <si>
    <t>IC0914_CatNNF_Ano_B1636TR_rho1279_4-4</t>
  </si>
  <si>
    <t>Noticed that the electrode was already cut, but the cut piece was missing. Couldn't find it in IC logbook, might be a duplicate.</t>
  </si>
  <si>
    <t>IC0915_CatNNF_Ano_B2110-TR_rho1279_4-5</t>
  </si>
  <si>
    <t>IC0916_CatNNF_Ano_B2177-TR_rho1279_4-6</t>
  </si>
  <si>
    <t>IC0917_CatNNF_Ano_B2177-TR_rho1279_5-2</t>
  </si>
  <si>
    <t>IC0919_CatNNF_AnoB2110-TR_rho1279_5-5</t>
  </si>
  <si>
    <t xml:space="preserve">Repeated 48h test, coupon position 4 </t>
  </si>
  <si>
    <t>IC0934_CatNNF_AnoB002542-TR_rho1279_4-5</t>
  </si>
  <si>
    <t>Pretreated cathode, preheated KOH and Beaker, 48h experiment</t>
  </si>
  <si>
    <t>IC0935_CatNNF_Ano_B002528-TR_rho1279_4-6</t>
  </si>
  <si>
    <t>IC0936_CatNNF_Ano_B002497-TR_rho1279_5-1</t>
  </si>
  <si>
    <t>IC0933_CatNNF_AnoB2518 TR_rho1279_5-2</t>
  </si>
  <si>
    <t>IC0943_CatNNF_AnoB2606-TR_rho1279_4-5</t>
  </si>
  <si>
    <t>Preheated beaker and KOH, pretreated cathode, 48h test</t>
  </si>
  <si>
    <t>IC0944_CatNNF_AnoB2628-TR_rho1279_4-6</t>
  </si>
  <si>
    <t>IC0945_CatNNF_AnoB2644-TR_rho1279_5-1</t>
  </si>
  <si>
    <t>IC0948_CatNNF_AnoB2664-TR_rho1279_4-1</t>
  </si>
  <si>
    <t>Daniel/Oniel</t>
  </si>
  <si>
    <t xml:space="preserve">
Anode did not fit perfectly into the plastic backplate</t>
  </si>
  <si>
    <t>IC0952_CatNNF_AnoB2628-TR_rho1279_4-1</t>
  </si>
  <si>
    <t>2nd testing as it was out of band. P2 48h test</t>
  </si>
  <si>
    <t>IC0953_CatNNF_AnoB2628-TR_rho1279_4-2</t>
  </si>
  <si>
    <t>2nd testing as it was out of band. P3 48h test</t>
  </si>
  <si>
    <t>IC0971_CatNNF_AnoB3059-TR_rho1279_4-4</t>
  </si>
  <si>
    <t>IC0972_CatNNF_AnoB3039-TR_rho1279_4-5</t>
  </si>
  <si>
    <t>IC0973_CatNNF_AnoB3080-TR_rho1279_4-6</t>
  </si>
  <si>
    <t>IC0974_CatNNF_AnoB3014-TR_rho1279_5-2</t>
  </si>
  <si>
    <t>IC0975_CatNNF_AnoB3072-TR_rho1279_5-5</t>
  </si>
  <si>
    <t>IC0979_CatNNF_AnoB3135-TR_rho1279_4-4</t>
  </si>
  <si>
    <t>Water might be contaminated, cell was assembled when the demi water was foaming.</t>
  </si>
  <si>
    <t>IC0992_CatNNF_AnoB3428-BC_rho1279_3-3</t>
  </si>
  <si>
    <t>For QC Owner - Balazs, Assembled by- Oniel Position - Top Right preheat beaker and KOH, pretreated cathode with MilliQ water instead of demiwater</t>
  </si>
  <si>
    <t>IC0991_CatNNF_AnoB3428-TR_rho1279_3-4</t>
  </si>
  <si>
    <t>IC0993_CatNNF_AnoB3424-TR_rho1279_5-1</t>
  </si>
  <si>
    <t>Position - Top Right 48h test; Preheated KOH and Beaker; Pretreated cathode with MQ water instead of demiwater.</t>
  </si>
  <si>
    <t>IC0994_CatNNF_AnoB3424-BC_rho1279_5-2</t>
  </si>
  <si>
    <t>Position -Bottom centre 48h test; Preheated KOH and Beaker; Pretreated cathode with MQ water instead of demiwater.</t>
  </si>
  <si>
    <t>IC0995_CatNNF_AnoB3459-TR_rho1279_5-5</t>
  </si>
  <si>
    <t>IC0985_CatNNF_AnoB3234_rho1279_4-5</t>
  </si>
  <si>
    <t>48h test; Preheated KOH and Beaker; Pretreated Anode with MQ water instead of demiwater.</t>
  </si>
  <si>
    <t>IC0986_CatNNF_AnoB3282-TR_rho1279_4-6</t>
  </si>
  <si>
    <t>48h test; Preheated KOH and Beaker; Pretreated Anode with MQ water instead of demiwater</t>
  </si>
  <si>
    <t>IC0987_CatNNF_AnoB3259-TR_rho1279_5-2</t>
  </si>
  <si>
    <t>IC0988_CatNNF_AnoB3313-TR_rho1279_5-5</t>
  </si>
  <si>
    <t>IC0989_CatNNF_AnoB3367-TR_rho1279_1-7</t>
  </si>
  <si>
    <t>Assembled by Oniel</t>
  </si>
  <si>
    <t>IC0996_CatNNF_AnoB3424-TR_rho1279_1-6</t>
  </si>
  <si>
    <t>48h test, second test, preheated KOH and Beaker, pretreated cathode</t>
  </si>
  <si>
    <t>IC0997_CatNNF_AnoB3424-BC_rho1279_1-7</t>
  </si>
  <si>
    <t>IC0999_CatNNF_AnoB3428-BC_rho1279_3-4</t>
  </si>
  <si>
    <t>IC0998_CatNNF_AnoB3428-TR_rho1279_3-3</t>
  </si>
  <si>
    <t>IC1000_CatNNF_AnoB3475-TR_rho1279_4-1</t>
  </si>
  <si>
    <t>Owner: Balazs Assembled by: Carmine; 48h test, MQ water pretreated cathode; Preheated beaker and KOH.</t>
  </si>
  <si>
    <t>IC1001_CatNNF_AnoB3525-TR_rho1279_4-2</t>
  </si>
  <si>
    <t>IC1003_CatNNF_AnoB3613-TR_rho1279_4-5</t>
  </si>
  <si>
    <t>48h test, preheated KOH and beaker, pretreated cathode</t>
  </si>
  <si>
    <t>IC1004_CatNNF_AnoB3547-TR_rho1279_4-6</t>
  </si>
  <si>
    <t>IC1005_CatNNF_AnoB3607-TR_rho1279_5-1</t>
  </si>
  <si>
    <t>IC1006_CatNNF_AnoB3578-TR_rho1279_5-2</t>
  </si>
  <si>
    <t>IC1011_CatNNF_AnoB3259-TR_rho1279_4-3</t>
  </si>
  <si>
    <t>IC1012_CatNNF_AnoB3259-TR_rho1279_4-4</t>
  </si>
  <si>
    <t>B3259-TR p2 anode</t>
  </si>
  <si>
    <t>IC1013_CatNNF_AnoB3673-TR_rho1279_4-5</t>
  </si>
  <si>
    <t>IC1014_CatNNF_AnoB3740-TR_rho1279_4-6</t>
  </si>
  <si>
    <t>IC01024_CatNNF_AnoB3547-TR1_rho1279_4-1</t>
  </si>
  <si>
    <t>48h experiment, preheated KOH and beaker, pretreated NNF electrode, 1st duplicate</t>
  </si>
  <si>
    <t>IC01025_CatNNF_AnoB3547-TR2_rho1279_4-2</t>
  </si>
  <si>
    <t>48h experiment, preheated KOH and beaker, pretreated NNF electrode, 2nd duplicate</t>
  </si>
  <si>
    <t>IC01030_CatNNF_AnoB3908_TR_rho1279_4-5</t>
  </si>
  <si>
    <t xml:space="preserve">48h experiment, preheated KOH and beaker, pretreated NNF electrode, </t>
  </si>
  <si>
    <t>IC01031_CatNNF_AnoB3954-TR_rho1279_4-6</t>
  </si>
  <si>
    <t>IC01029_CatNNF_AnoB3990-TR_rho1279_5-1</t>
  </si>
  <si>
    <t>IC01028_CatNNF_AnoB3888-TR_rho1279_5-2</t>
  </si>
  <si>
    <t>IC1032_CatNNF_AnoB3810-TR_rho1279_5-5</t>
  </si>
  <si>
    <t>48H experiment, preheated KOH and Beaker, pretreated NNF cathode.</t>
  </si>
  <si>
    <t>IC1042_CatNNF_AnoB4129-TR_rho1279_4-4</t>
  </si>
  <si>
    <t>IC1043_CatNNF_AnoB3834-TR_rho1279_4-5</t>
  </si>
  <si>
    <t>IC1045_CatNNF_AnoB4118-TR_rho1279_5-1</t>
  </si>
  <si>
    <t>IC1046_CatNNF_AnoB4020-TR_rho1279_5-2</t>
  </si>
  <si>
    <t>48H test, preheated KOH and Beaker, pretreated NNF cathode.</t>
  </si>
  <si>
    <t>IC1047_CatNNF_AnoB4038-TR_rho1279_5-5</t>
  </si>
  <si>
    <t>IC1054_CatNNF_AnoB4265-TR_rho1279_4-4</t>
  </si>
  <si>
    <t xml:space="preserve">48h test, preheated beaker and KOH, and pretreated cathode
</t>
  </si>
  <si>
    <t>IC1055_CatNNF_AnoB4259-TR_rho1279_4-5</t>
  </si>
  <si>
    <t>48h test, preheated beaker and KOH, and pretreated cathode. Do post SEM analysis</t>
  </si>
  <si>
    <t>IC1064_CatNNF_AnoB4265-TR-P2_rho1279_4-1</t>
  </si>
  <si>
    <t>retesting 48h test, preheated beaker and KOH, pretreated cathode</t>
  </si>
  <si>
    <t>IC1065_CatNNF_AnoB4265-TR-P3_rho1279_4-2</t>
  </si>
  <si>
    <t>IC1069_CatNNF_AnoB3673-TR-P3_rho1279_4-3</t>
  </si>
  <si>
    <t>IC1068_CatNNF_AnoB3673-TR-P2_rho1279_4-4</t>
  </si>
  <si>
    <t>IC1067_CatNNF_AnoB4118-TR-P3_rho1279_4-5</t>
  </si>
  <si>
    <t>IC1066_CatNNF_AnoB4118-TR-P2_rho1279_2-5</t>
  </si>
  <si>
    <t>retesting 48h test,preheated beaker and KOH, pretreated cathode</t>
  </si>
  <si>
    <t>IC1070_CatNNF-TR_Ano4508-TR_rho1279_4-5</t>
  </si>
  <si>
    <t>48h test, preheated beaker and KOH, pretreated cathode</t>
  </si>
  <si>
    <t>IC1071_CatNNF-TR_Ano4525-TR_rho1279_4-6</t>
  </si>
  <si>
    <t>IC1072_CatNNF-TR_Ano4474-MR_rho1279_5-1</t>
  </si>
  <si>
    <t>Anode was not labeled normally. It said sample was taken from middle right.</t>
  </si>
  <si>
    <t>IC1078_CatNNF_AnoB4608-TR_rho1279_5-5</t>
  </si>
  <si>
    <t>48h test, preheated KOH and beaker, and pretreated NNF cathode</t>
  </si>
  <si>
    <t>IC1079_CatNNF_AnoB4656-TR_rho1279_4-3</t>
  </si>
  <si>
    <t>Anode was labeled as B4856, but it is probably B4656 (judging by other coupons' numbers)</t>
  </si>
  <si>
    <t>IC1083_CatNNF_AnoB4508-TR-P2_rho1279_4-1</t>
  </si>
  <si>
    <t>retesting, 48h test, preheated KOH, beaker, pretreated cathode.</t>
  </si>
  <si>
    <t>IC1084_CatNNF_AnoB4508-TR-P3_rho1279_4-2</t>
  </si>
  <si>
    <t>Retesting, 48H test, preheated KOH, beaker, pretreated cathode</t>
  </si>
  <si>
    <t>IC1082_CatNNF_AnoB4680-TR_rho1279_4-6</t>
  </si>
  <si>
    <t>IC1098_CatNNF_AnoB4656-TR1_rho1279_4-5</t>
  </si>
  <si>
    <r>
      <rPr>
        <sz val="11"/>
        <color rgb="FF000000"/>
        <rFont val="Calibri"/>
        <family val="2"/>
      </rPr>
      <t xml:space="preserve">Retest of anode B4656-TR; </t>
    </r>
    <r>
      <rPr>
        <b/>
        <sz val="11"/>
        <color rgb="FF000000"/>
        <rFont val="Calibri"/>
        <family val="2"/>
      </rPr>
      <t>Major leak, test stopped after almost 42 hours, cathodic cleaning</t>
    </r>
  </si>
  <si>
    <t>IC1096_CatNNF_AnoB4810-TR_rho1279_4-3</t>
  </si>
  <si>
    <t>Old preteartment procedure</t>
  </si>
  <si>
    <t>IC1097_CatNNF_AnoB4872-TR_rho1279_4-4</t>
  </si>
  <si>
    <t>IC1099_CatNNF_AnoB4656-TR2_rho1279_4-6</t>
  </si>
  <si>
    <t>Retest of anode B4656-TR, cathodic cleaning</t>
  </si>
  <si>
    <t>IC1110_CatNNF_AnoB5006-TR_rho1279_4-5</t>
  </si>
  <si>
    <t>IC1106_CatNNF_AnoB4970-TR_rho1279_4-6</t>
  </si>
  <si>
    <t>Aleksandea</t>
  </si>
  <si>
    <t>Cathodic cleaning for NNF cathode</t>
  </si>
  <si>
    <t>IC1107_CatNNF_AnoB4990_rho1279_5-1</t>
  </si>
  <si>
    <t>IC1108_CatNNF_AnoB5000-TR_rho1279_5-2</t>
  </si>
  <si>
    <t>IC1111_CatNNF_AnoB5006-TR-P2_rho1279_4-6</t>
  </si>
  <si>
    <t>48h test, cathodic cleaning, preheated beaker and KOH, stopped due to unusually high voltage value</t>
  </si>
  <si>
    <t>IC1112_CatNNF_AnoB5006-TR-P3_rho1279_5-1</t>
  </si>
  <si>
    <t>48h test, cathodic cleaning for NNF, preheated beaker and KOH</t>
  </si>
  <si>
    <t>IC1113_CatNNF_AnoB5025-TR_rho1279_4-1</t>
  </si>
  <si>
    <t>IC1114_CatNNF_AnoB5066-TR_rho1279_4-2</t>
  </si>
  <si>
    <t>IC1115_CatNNF_AnoB5146-TR_rho1279_4-3</t>
  </si>
  <si>
    <t>IC1116_CatNNF_AnoB5168-TR_rho1279_4-4</t>
  </si>
  <si>
    <t>IC1117_CatNNF_AnoB5213-TR_rho1279_4-5</t>
  </si>
  <si>
    <t>IC1120_CatNNF_AnoB5006-TR-P4_rho1279_4-6</t>
  </si>
  <si>
    <t>IC1132_CatNNF_AnoB5431-TR_rho1279_4-4</t>
  </si>
  <si>
    <t>IC1133_CatNNF_AnoB5446-TR_rho1279_4-5</t>
  </si>
  <si>
    <t>IC1134_CatNNF_AnoB5556-TR_rho1279_4-6</t>
  </si>
  <si>
    <t>IC1140_CatNNF_AnoB5312-TR_rho1279_4-2</t>
  </si>
  <si>
    <t>_QC_IC_24h_v1</t>
  </si>
  <si>
    <t>24 protocol</t>
  </si>
  <si>
    <t>IC1141_CatNNF_AnoB5615-TR_rho1279_4-3</t>
  </si>
  <si>
    <t>IC1149_CatNNF_AnoB5446-TR-P3_rho1279_4-2</t>
  </si>
  <si>
    <t>24h protocol, retest</t>
  </si>
  <si>
    <t>IC1148_CatNNF_AnoB5446-TR-P2_rho1279_4-1</t>
  </si>
  <si>
    <t>24h protocol, retest.
Restarted as cables were switched (at 17.00).
Test stopped around 23h due to operator error.</t>
  </si>
  <si>
    <t>IC1145_CatNNF_AnoB5593-TR_rho1279_5-1</t>
  </si>
  <si>
    <t>IC1161_CatNNF_AnoB5742-TR_rho1281_4-2</t>
  </si>
  <si>
    <t>IC1157_CatB5563-TR_AnoNNF_rho1281_4-3</t>
  </si>
  <si>
    <t>IC1158_CatNNF_AnoB5702-TR_rho1281_4-4</t>
  </si>
  <si>
    <t>IC1159_CatNNF_AnoB5692-TR_rho1281_4-5</t>
  </si>
  <si>
    <t>IC1160_CatNNF_AnoB5724-TR_rho1281_4-6</t>
  </si>
  <si>
    <t>IC1165_CatNNF_Ano5832-TR_rho1281_4-4</t>
  </si>
  <si>
    <t>IC1166_CatNNF_Ano5892-TR_rho1281_4-5</t>
  </si>
  <si>
    <t>IC1168_CatNNF_Ano5582-TR_rho1281_5-1</t>
  </si>
  <si>
    <t>Preheated KOH (low T at the start) and beaker. Pretreated NNF cathode, 48h test</t>
  </si>
  <si>
    <t>IC1179_CatNNF_AnoB5983-TR_rho1281_4-1</t>
  </si>
  <si>
    <t>IC1173_CatNNF_Ano5892-TR-p2_rho1281_4-4</t>
  </si>
  <si>
    <t>retest of B5892, p2</t>
  </si>
  <si>
    <t>IC1174_CatNNF_Ano5892-TR-p3_rho1281_4-5</t>
  </si>
  <si>
    <t>retest of B5892, p3</t>
  </si>
  <si>
    <t>IC1175_CatNNF_AnoB5832-TR-p2_rho1281_4-6</t>
  </si>
  <si>
    <t>retest of B5832, p2</t>
  </si>
  <si>
    <t>IC1176_CatNNF_AnoB5832-TR-p3_rho1281_5-1</t>
  </si>
  <si>
    <t>retest of B5832, p3, beaker leaked</t>
  </si>
  <si>
    <t>IC1186_CatNNF_AnoB6021-TR_rho1281_4-1</t>
  </si>
  <si>
    <t>IC1187_CatNNF_AnoB6036-TR_rho1281_4-2</t>
  </si>
  <si>
    <t>IC1191_CatNNF_AnoB6052-TR_rho1281_4-6</t>
  </si>
  <si>
    <t>IC1189_CatNNF_AnoB6092-TR_rho1281_4-4</t>
  </si>
  <si>
    <t>IC1196_CatNNF_AnoB6118-TR_rho1281_1-1</t>
  </si>
  <si>
    <t>IC1198_CatNNF_AnoB6153-TR_rho1281_4-2</t>
  </si>
  <si>
    <t>pre-heated beaker, cathodic cleaning pre-treatment on Cathode - 48hr test</t>
  </si>
  <si>
    <t>IC1204_CatNNF_AnoB6227-TR_rho1281_4-6</t>
  </si>
  <si>
    <t>QC_IC_48h_v2</t>
  </si>
  <si>
    <t>pre-heated beaker and KOH, cathodic cleaning pre-treatment on Cathode - 48hr test</t>
  </si>
  <si>
    <t>IC1205_CatNNF_AnoB6256-TR_rho1281_5-1</t>
  </si>
  <si>
    <t>QC_IC_48h_v3</t>
  </si>
  <si>
    <t>IC1207_CatNNF_AnoB6212-TR_rho1281_5-5</t>
  </si>
  <si>
    <t>Preheated beaker and KOH, cathodic cleaned NNF cathode</t>
  </si>
  <si>
    <t>IC1212_CatNNF_AnoB6338-TR_rho1281_4-1</t>
  </si>
  <si>
    <t>pre-heated beaker, cathodic cleaning pre-treatment on CAT - 48hr test</t>
  </si>
  <si>
    <t>IC1213_CatNNF_AnoB6657-TR_rho1281_4-2</t>
  </si>
  <si>
    <t>pre-heated beaker and KOH, cathodic cleaning pre-treatment on CAT - 48hr test</t>
  </si>
  <si>
    <t>IC1216_CatNNF_AnoB6212-TR-P2_rho1281_4-5</t>
  </si>
  <si>
    <t>Retest</t>
  </si>
  <si>
    <t>IC1217_CatNNF_AnoB6212-TR-P3_rho1281_4-6</t>
  </si>
  <si>
    <t>IC1225_CatNNF_AnoB6405-TR_rho1281_1-3</t>
  </si>
  <si>
    <t>IC1228_CatNNF_AnoB6774-TR_rho1281_4-1</t>
  </si>
  <si>
    <t>IC1235_CatNNF_AnoB6630-TR_rho1281_4-5</t>
  </si>
  <si>
    <t>IC1236_CatNNF_AnoB6926-TR_rho1281_4-6</t>
  </si>
  <si>
    <t>IC1237_CatNNF_AnoB6937-TR_rho1281_5-1</t>
  </si>
  <si>
    <t>IC1241_CatNNF_AnoB6703-TR_rho1281_4-1</t>
  </si>
  <si>
    <t>Sample consumed by coating thickness measruement</t>
  </si>
  <si>
    <t>IC1242_CatNNF_AnoB6969-TR_rho1281_4-2</t>
  </si>
  <si>
    <t>IC1243_CatNNF_AnoB7003-TR_rho1281_3-5</t>
  </si>
  <si>
    <t>IC1246_CatNNF_AnoB7048-TR_rho1281_5-5</t>
  </si>
  <si>
    <t>IC1257_CatNNF_AnoB6703-TR-P2_rho1281_4-3</t>
  </si>
  <si>
    <t>retest P2, stopped after 20 hours due to high potential</t>
  </si>
  <si>
    <t>IC1261_CatNNF_AnoB7129-TR_rho1281_3-5</t>
  </si>
  <si>
    <t>stopped after 20 hours due to high potential</t>
  </si>
  <si>
    <t>IC1250_CatNNF_AnoB7101-TR_rho1281_4-5</t>
  </si>
  <si>
    <t>IC1256_CatNNF_AnoB6969-TR-P2_rho1281_4-2</t>
  </si>
  <si>
    <t>Retest P2</t>
  </si>
  <si>
    <t>IC1258_CatNNF_AnoB7003-TR-P2_rho1281_4-4</t>
  </si>
  <si>
    <t>IC1260_CatNNF_AnoB7172-TR_rho1281_5-2</t>
  </si>
  <si>
    <t>IC1271_CatNNF_AnoB6703-TR-P3_rho1281_4-2</t>
  </si>
  <si>
    <t>restest p3, stopped after 19 hours due to high potential</t>
  </si>
  <si>
    <t>IC1262_CatNNF_AnoB6612-TR_rho1281_2-3</t>
  </si>
  <si>
    <t>IC1265_CatNNF_AnoB7208-TR_rho1281_4-3</t>
  </si>
  <si>
    <t>IC1263_CatNNF_AnoB7237-TR_rho1281_3-5</t>
  </si>
  <si>
    <t>IC1264_CatNNF_AnoB7129-TR_rho1281_3-7</t>
  </si>
  <si>
    <t>IC1268_CatNNF_AnoB7282-TR_rho1281_4-1</t>
  </si>
  <si>
    <t>IC1269_CatNNF_AnoB7300-TR_rho1281_4-5</t>
  </si>
  <si>
    <t>IC1270_CatNNF_AnoB7259-TR_rho1281_4-6</t>
  </si>
  <si>
    <t>IC1276_CatNNF_AnoB7368-TR_rho1281_5-1</t>
  </si>
  <si>
    <t>preheated KOH and beaker, pretreated cathode, bag labeled with VAT 29</t>
  </si>
  <si>
    <t>IC1277_CatNNF_AnoB7365-TR_rho1281_5-2</t>
  </si>
  <si>
    <t>preheated KOH and beaker, pretreated cathode, bag labeled with VAT 28</t>
  </si>
  <si>
    <t>IC1278_CatNNF_AnoB7343-TR_rho1281_5-5</t>
  </si>
  <si>
    <t>preheated KOH and beaker, pretreated cathode</t>
  </si>
  <si>
    <t>IC1282_CatNNF_AnoB7208-TR-P2_rho1281_4-6</t>
  </si>
  <si>
    <t>retest p2</t>
  </si>
  <si>
    <t>IC1283_CatNNF_AnoB7208-TR-P3_rho1281_3-6</t>
  </si>
  <si>
    <t>retest p3</t>
  </si>
  <si>
    <t>IC1287_CatNNF_AnoB7518-TR_rho1281_3-6</t>
  </si>
  <si>
    <t>IC1293_CatNNF_AnoB7558-TR_rho1281_4-1</t>
  </si>
  <si>
    <t>48h test, preheated KOH and beaker, Cathodic Cleaned Cathode</t>
  </si>
  <si>
    <t>IC1292_CatNNF_AnoB7445_rho1281_4-2</t>
  </si>
  <si>
    <t>48h test, preheated KOH and beaker, Cathodic Cleaned Cathode, Anode took from single and unmarked sample.</t>
  </si>
  <si>
    <t>IC1307_CatNNF_AnoB7676-TR_rho1281_4-3</t>
  </si>
  <si>
    <t>IC1310_CatNNF_AnoB7711-TR_rho1281_4-5</t>
  </si>
  <si>
    <t>IC1311_CatNNF_AnoB7763-TR_rho1281_4-6</t>
  </si>
  <si>
    <t>IC1309_CatNNF_AnoB7445-TR-P3_rho1281_4-2</t>
  </si>
  <si>
    <t>IC1308_CatNNF_AnoB7445-TR-P2_rho1281_4-1</t>
  </si>
  <si>
    <t>IC1312_CatNNF_AnoB7807-TR_rho1281_5-1</t>
  </si>
  <si>
    <t>IC1318_CatNNF_AnoB7860-TR_rho1281_4-3</t>
  </si>
  <si>
    <t>IC1321_CatNNF_AnoB7641-TR_rho1281_4-5</t>
  </si>
  <si>
    <t>pre-heated beaker, 48hr test, cathodic pretreatment on cathode</t>
  </si>
  <si>
    <t>IC1322_CatNNF_AnoB7888-TR_rho1281_4-6</t>
  </si>
  <si>
    <t>IC1326_CatNNF_AnoB7669-TR_rho1281_4-1</t>
  </si>
  <si>
    <t xml:space="preserve">48h test, preheated beaker, KOH, pretreated electrode
</t>
  </si>
  <si>
    <t>IC1328_CatNNF_AnoB7970-TR_rho1281_4-3</t>
  </si>
  <si>
    <t>IC1329_CatNNF_AnoB7993-TR_rho1281_5-3</t>
  </si>
  <si>
    <t>IC1327_CatNNF_AnoB7946-TR_rho1281_4-2</t>
  </si>
  <si>
    <t>IC1332_CatNNF_AnoB8034-TR_rho1281_5-4</t>
  </si>
  <si>
    <t>IC1341_CatNNF_AnoB7946-TR-P2_rho1281_4-5</t>
  </si>
  <si>
    <t>retest P2</t>
  </si>
  <si>
    <t>IC1345_CatNNF_AnoB8292-TR_rho1281_4-4</t>
  </si>
  <si>
    <t>IC1342_CatNNF_AnoB7970-TR-P2_rho1281_4-6</t>
  </si>
  <si>
    <t>IC1343_CatNNF_AnoB7993-TR-P2_rho1281_5-4</t>
  </si>
  <si>
    <t>IC1348_CatNNF_AnoB7993-TR-P3_rho1281_4-5</t>
  </si>
  <si>
    <t>Running at 2.06. Retest P3</t>
  </si>
  <si>
    <t>IC1347_CatNNF_AnoB7970-TR-P3_rho1281_4-6</t>
  </si>
  <si>
    <t>Running at 2.08. Retest P3</t>
  </si>
  <si>
    <t>IC1340_CatNNF_AnoB8223-TR_rho1281_5-3</t>
  </si>
  <si>
    <t>48h test, preheated beaker, KOH, pretreated electrode</t>
  </si>
  <si>
    <t>IC1349_CatNNF_AnoB7970-TR-P4_rho1281_4-1</t>
  </si>
  <si>
    <t>restest p4, experiment stopped the next day due to high potential</t>
  </si>
  <si>
    <t>IC1350_CatNNF_AnoB7993-TR-P4_rho1281_4-5</t>
  </si>
  <si>
    <t>IC1344_CatNNF_AnoB8265-TR_rho1281_5-1</t>
  </si>
  <si>
    <t>IC1346_CatNNF_AnoB8292-TR-P2_rho1281_4-4</t>
  </si>
  <si>
    <t>IC1351_CatNNF_AnoB8336-TR_rho1281_4-6</t>
  </si>
  <si>
    <t>IC1364_CatNNF_AnoB7967-TR_rho1281_4-5</t>
  </si>
  <si>
    <t>Stopped due to too high voltage</t>
  </si>
  <si>
    <t>IC1360_CatNNF_AnoB8427-TR_rho1281_4-1</t>
  </si>
  <si>
    <t>IC1361_CatNNF_AnoB8404-TR_rho1281_4-2</t>
  </si>
  <si>
    <t>IC1362_CatNNF_AnoB8373-TR_rho1281_4-3</t>
  </si>
  <si>
    <t>IC1363_CatNNF_AnoB7999-TR_rho1281_4-4</t>
  </si>
  <si>
    <t>IC1370_CatNNF_AnoB8460-TR_rho1281_4-2</t>
  </si>
  <si>
    <t>IC1371_CatNNF_AnoB8477-TR_rho1281_4-3</t>
  </si>
  <si>
    <t>IC1372_CatNNF_AnoB8505-TR_rho1281_4-4</t>
  </si>
  <si>
    <t>IC1384_CatNNF_AnoB8460-TR_rho1281_4-2</t>
  </si>
  <si>
    <t>IC1385_CatNNF_AnoB8477-TR_rho1281_4-3</t>
  </si>
  <si>
    <t>IC1373_CatNNF_AnoB54-TR_rho1281_4-5</t>
  </si>
  <si>
    <t>IC1374_CatNNF_AnoB8528-TR_rho1281_4-6</t>
  </si>
  <si>
    <t>IC1376_CatNNF_AnoB8590-TR_rho1281_5-3</t>
  </si>
  <si>
    <t>IC1389_CatNNF_AnoB8848-TR_rho1281_4-4</t>
  </si>
  <si>
    <t>IC1387_CatNNF_AnoB8574-TR_rho1281_1-5</t>
  </si>
  <si>
    <t>IC1386_CatNNF_AnoB8779-TR_rho1281_2-6</t>
  </si>
  <si>
    <t xml:space="preserve">48htest. Preheated KOH, beaker. Pretreated Cathode. </t>
  </si>
  <si>
    <t>IC1314_CatNNF_AnoB578-BR_rho1281_2-3</t>
  </si>
  <si>
    <t>Stopped early due to voltage being too high, 3000 hr , re-run</t>
  </si>
  <si>
    <t>IC1391_CatNNF_AnoB8875-TR_rho1281_4-6</t>
  </si>
  <si>
    <t>IC1392_CatNNF_AnoB8887-TR_rho1281_5-1</t>
  </si>
  <si>
    <t>IC1397_CatNNF_AnoB9032-TR_rho1281_4-4</t>
  </si>
  <si>
    <t>IC1409_CatNNF_AnoB9128-TR_rho1281_4-2</t>
  </si>
  <si>
    <t>IC1407_CatNNF_AnoB9152-TR_rho1281_4-4</t>
  </si>
  <si>
    <t>IC1405_CatNNF_AnoB9111-TR_rho1281_4-6</t>
  </si>
  <si>
    <t>IC1412_CatNNF_AnoB9202-TR_rho1281_5-3</t>
  </si>
  <si>
    <t>IC1419_CatNNF_AnoB9380-TR_rho1281_4-6</t>
  </si>
  <si>
    <t>IC1422_CatNNF_AnoB9306-TR_rho1281_5-3</t>
  </si>
  <si>
    <t>IC1428_CatNNF_AnoB9070-TR_rho1281_4-3</t>
  </si>
  <si>
    <t>IC1434_CatNNF_AnoB9353-TR_rho1281_2-3</t>
  </si>
  <si>
    <t>no SEM done prior to IC testing; test stopped after the electrode turned out cracked in the SEM analysis</t>
  </si>
  <si>
    <t>IC1435_CatNNF_AnoB9580-TR_rho1281_4-1</t>
  </si>
  <si>
    <t>IC1433_CatNNF_AnoB9517-TR_rho1281_2-2</t>
  </si>
  <si>
    <t>IC1439_CatNNF_AnoB9675-TR_rho1281_4-4</t>
  </si>
  <si>
    <t>IC1441_CatNNF_AnoB9640-TR_rho1281_4-5</t>
  </si>
  <si>
    <t>IC1440_CatNNF_AnoB9659-TR_rho1281_4-6</t>
  </si>
  <si>
    <t>IC1448_CatNNF_AnoB9694-TR_rho1281_5-1</t>
  </si>
  <si>
    <t>IC1449_CatNNF_AnoB9562-TR_rho1281_5-3</t>
  </si>
  <si>
    <t>IC1450_CatNNF_AnoB9783-TR_rho1281_4-4</t>
  </si>
  <si>
    <t>IC1451_CatNNF_AnoA3339-TR_rho1281_2-2</t>
  </si>
  <si>
    <t>IC1452_CatNNF_AnoA3343-TR_rho1281_2-3</t>
  </si>
  <si>
    <t>IC1457_CatNNF_AnoB9953-TR_rho1281_4-2</t>
  </si>
  <si>
    <t>IC1458_CatNNF_AnoB9982-TR_rho1281_4-3</t>
  </si>
  <si>
    <t>IC1460_CatNNF_AnoB9878-TR_rho1281_5-1</t>
  </si>
  <si>
    <t>IC1461_CatNNF_AnoB9928-TR_rho1281_5-3</t>
  </si>
  <si>
    <t>no SEM done prior to IC testing</t>
  </si>
  <si>
    <t>IC1463_CatNNF_AnoB10006-TR_rho1281_2-2</t>
  </si>
  <si>
    <t>IC1462_CatNNF_AnoB10030-TR_rho1281_2-3</t>
  </si>
  <si>
    <t>IC1468_CatNNF_AnoB9659-TR-P2_rho1281_4-3</t>
  </si>
  <si>
    <t>IC1474_CatNNF_AnoB10108-TR_rho1281_2-3</t>
  </si>
  <si>
    <t>IC1476_CatNNF_AnoB10153-TR_rho1281_4-1</t>
  </si>
  <si>
    <t>IC1477_CatNNF_AnoB10195-TR_rho1281_4-2</t>
  </si>
  <si>
    <t>IC1480_CatNNF_AnoB10257-TR_rho1281_4-3</t>
  </si>
  <si>
    <t>IC1484_CatNNF_AnoB10108-TR-P2_rho1281_4-6</t>
  </si>
  <si>
    <t>IC1489_CatNNF_AnoB10317-TR_rho1281_4-2</t>
  </si>
  <si>
    <t>IC1492_CatNNF_AnoB10398-TR_rho1281_4-4</t>
  </si>
  <si>
    <t>The anode was saved in production files as B100398</t>
  </si>
  <si>
    <t>IC1491_CatNNF_AnoB10380-TR_rho1281_5-1</t>
  </si>
  <si>
    <t>p2, reassembled after short circuit</t>
  </si>
  <si>
    <t>IC1471_CatNNF_AnoA3363-C_rho1281_2-6</t>
  </si>
  <si>
    <t>168h</t>
  </si>
  <si>
    <t>IC1470_CatNNF_AnoA3361-C_rho1281_3-2</t>
  </si>
  <si>
    <t>IC1469_CatNNF_AnoA3364-C_rho1281_3-4</t>
  </si>
  <si>
    <t>IC1493_CatNNF_AnoB10477-TR_rho1281_4-3</t>
  </si>
  <si>
    <t>IC1502_CatNNF_AnoB10649-TR_rho1281_4-4</t>
  </si>
  <si>
    <t>IC1507_CatNNF_AnoB10782-TR_rho1281_4-1</t>
  </si>
  <si>
    <t>test stopped, V above 2.05, retest</t>
  </si>
  <si>
    <t>IC1508_CatNNF_AnoB10822-TR_rho1281_4-1</t>
  </si>
  <si>
    <t>IC1510_CatNNF_AnoB10858-TR_rho1281_4-3</t>
  </si>
  <si>
    <t>IC1511_CatNNF_AnoB10782-TR-P2_rho1281_4-6</t>
  </si>
  <si>
    <t>Re-test</t>
  </si>
  <si>
    <t>IC1512_CatNNF_AnoB10782-TR-P3_rho1281_5-1</t>
  </si>
  <si>
    <t>IC1522_CatNNF_AnoB10755-TR_rho1282_4-6</t>
  </si>
  <si>
    <t>Didn't go through SEM-EDX analysis prior to IC, Stopped due to too high voltage</t>
  </si>
  <si>
    <t>IC1523_CatNNF_AnoB11089-TR_rho1282_5-1</t>
  </si>
  <si>
    <t>IC1524_CatNNF_AnoB11006-TR_rho1282_5-3</t>
  </si>
  <si>
    <t>IC1519_CatNNF_AnoB10782-TR-P4_rho1281_4-3</t>
  </si>
  <si>
    <t>IC1518_CatNNF_AnoB10934-TR_rho1281_4-2</t>
  </si>
  <si>
    <t>IC1517_CatNNF_AnoB10970-TR_rho1281_4-1</t>
  </si>
  <si>
    <t>IC1526_CatNNF_AnoB11153-TR_rho1282_4-2</t>
  </si>
  <si>
    <t>Stopped due to poorly performing anode</t>
  </si>
  <si>
    <t>IC1527_CatNNF_AnoB10755-TR_rho1282_4-3</t>
  </si>
  <si>
    <t>IC1528_CatNNF_AnoB11006-TR_rho1282_4-6</t>
  </si>
  <si>
    <t>IC1529_CatNNF_AnoB11187-TR_rho1282_5-1</t>
  </si>
  <si>
    <t>IC1534_CatNNF_AnoB11223-TR_rho1282_4-5</t>
  </si>
  <si>
    <t>Stopped due to poorly performing anode, continued with switched polarity test as IC1541</t>
  </si>
  <si>
    <t>IC1535_CatNNF_AnoB11257-TR_rho1282_5-3</t>
  </si>
  <si>
    <t>Stopped due to poorly performing anode, continued with switched polarity test as IC1542</t>
  </si>
  <si>
    <t>IC1543_CatNNF_AnoB11153-TR_rho1282_4-2</t>
  </si>
  <si>
    <t>Continued test of IC1539 with polarity switched back</t>
  </si>
  <si>
    <t>IC1544_CatNNF_AnoB10755-TR_rho1282_4-3</t>
  </si>
  <si>
    <t>Continued test of IC1540 with polarity switched back</t>
  </si>
  <si>
    <t>IC1549_CatNNF_AnoB11153-BL_rho1282_4-2</t>
  </si>
  <si>
    <t>IC1550_CatNNF_AnoB11153-TL_rho1282_4-5</t>
  </si>
  <si>
    <t>IC1551_CatNNF_AnoB11153-C_rho1282_4-6</t>
  </si>
  <si>
    <t>IC1548_CatNNF_AnoB11153-BR_rho1282_5-1</t>
  </si>
  <si>
    <t>IC1557_CatNNF_AnoB10970-TR_rho1282_4-1</t>
  </si>
  <si>
    <t>Second test for B10970, as the first test it was run as a cathode.</t>
  </si>
  <si>
    <t>IC1552_CatNNF_AnoB10750-TR_rho1282_4-2</t>
  </si>
  <si>
    <t>IC1558_CatNNF_AnoB10449-TR_rho1282_4-3</t>
  </si>
  <si>
    <t xml:space="preserve">B10449 is a cathode. But in this IC test, it is used as a anode. </t>
  </si>
  <si>
    <t>IC1564_CatNNF_AnoB10477-TR-P2_rhoWITHMILLIQ_4-1</t>
  </si>
  <si>
    <t>Retesting an anode that passed the IC evaluation with 30% KOH with milli-Q water.</t>
  </si>
  <si>
    <t>IC1565_CatNNF_AnoB10477-TR-P3_rho1282_4-2</t>
  </si>
  <si>
    <t>Retesting an anode that passed the IC evaluation with 30% KOH with of density 1.282 g/mL.</t>
  </si>
  <si>
    <t>IC1566_CatNNF_AnoB9982-TR-P2_rho1282_4-3</t>
  </si>
  <si>
    <t>Retesting an anode that passed the IC evaluation with 30% KOH with density of 1.282 g/mL.</t>
  </si>
  <si>
    <t>IC1562_CatNNF_AnoB11446-TR_rho1282_2-6</t>
  </si>
  <si>
    <t>IC1572_CatNNF_AnoB11502-TR_rho1282_4-1</t>
  </si>
  <si>
    <t>IC1573_CatNNF_AnoB11089-TR_rho1282_4-2</t>
  </si>
  <si>
    <t>IC1569_CatNNF_AnoB578-BR-P10_rho1282_2-6</t>
  </si>
  <si>
    <t>IC1571_CatNNF_AnoB578-BR-P9_rho1282_2-3</t>
  </si>
  <si>
    <t>IC1589_CatNNF_AnoB10477-TR-P4_rho1282_4-1_GEN4</t>
  </si>
  <si>
    <t>Retest with Gen4 Membrane</t>
  </si>
  <si>
    <t>IC1590_CatNNF_AnoB11153-TR-P2_rho1282_4-2_GEN4</t>
  </si>
  <si>
    <t>IC1591_CatNNF_AnoB11006-TR-P3_rho1282_4-3_GEN4</t>
  </si>
  <si>
    <t>IC1592_CatNNF_AnoB9982-TR-P3_rho1282_4-4_GEN4</t>
  </si>
  <si>
    <t xml:space="preserve">
IC1593_CatNNF_AnoB10822-TR_rho1288_4-1_IC1508reassembled</t>
  </si>
  <si>
    <t>This IC test is from a reassembly. The anode and membrane (Gen3) already went through an IC test (IC1508) but have been used again to aid in identifying the poor anode performance. A 30% wt KOH solution, made by SA Oniel Rhe Lauron (04/04/2026), was used for this IC test. The cathode is from a new roll of NNF material.</t>
  </si>
  <si>
    <t>IC1594_CatNNF_AnoB10477-TR-P5_rho1288_4-2_Gen4Membrane</t>
  </si>
  <si>
    <t>With SA made 30%wt KOH (Oniel Rhe Lauron 04-04-2026). A Gen4 membrane is used for this IC test. Cathode came from the new roll of NNF material.</t>
  </si>
  <si>
    <t>IC1595_CatNNF_AnoB10447-TR-P6_rho1282_4-1_gen4membrane</t>
  </si>
  <si>
    <t>This IC test i s to test whether plastic support is influencing the potential</t>
  </si>
  <si>
    <t>IC1596_CatNNF_AnoB10477-TR-P7_rho1281_4-2_Gen4Membrane</t>
  </si>
  <si>
    <t>Made with new plastic supports to see effect on potential, made with the last drops of the old electrolyte, 1281 g/cm3.</t>
  </si>
  <si>
    <t>IC1597_CatNNF_AnoB10477-TR-P9_B-rho1284_4-3</t>
  </si>
  <si>
    <t>Fresh electrolyte made from B-KOH pellets, 1.284 g/mL</t>
  </si>
  <si>
    <t>IC1599_CatNNF_AnoB10477-TR-P11_rho1281_4-2</t>
  </si>
  <si>
    <r>
      <t xml:space="preserve">Reused 1281 g/mL electrolyte from IC1596. </t>
    </r>
    <r>
      <rPr>
        <b/>
        <sz val="11"/>
        <color theme="1"/>
        <rFont val="Calibri"/>
        <family val="2"/>
        <scheme val="minor"/>
      </rPr>
      <t>Leakage occurred</t>
    </r>
  </si>
  <si>
    <t>IC1600_CatNNF_AnoB10477-TR-P10_A-rho1283_4-4_FeSO4</t>
  </si>
  <si>
    <t>Fresh electrolyte made from A-KOH pellets; 1.283 g/mL; 1mL of 0.05 mg/mL FeSO4*7H2O solution added after 2:50 h; another 1 mL added after 3:05 h</t>
  </si>
  <si>
    <t>IC1606_CatNNF_AnoB1414-TR-P2_rho1282_5-3</t>
  </si>
  <si>
    <t>Baseline test for poor electrolyte - stopped at 46.31h</t>
  </si>
  <si>
    <t>IC1610_CatNNF_AnoB456-TR-P5_rho1282_1-3</t>
  </si>
  <si>
    <t>Baseline test, 168h</t>
  </si>
  <si>
    <t>IC1608_CatNNF_AnoB1293-TR-P3_rho1282_1-5</t>
  </si>
  <si>
    <t>IC1607_CatNNF_AnoB1484-TR-P2_rho1282_2-3</t>
  </si>
  <si>
    <t>IC1609_CatB1104-TR-P3_AnoNNF_rho1282_3-6</t>
  </si>
  <si>
    <t>IC1623_CatNNF_AnoB10477-TR-P12_rho1282_1.3ppm_Fe_2-3</t>
  </si>
  <si>
    <t>IC1624_CatNNF_AnoB578-BR-P14_rho1282_1.3ppm_Fe_3-6</t>
  </si>
  <si>
    <t>IC1627_CatNNF_AnoB10755-TR-P3_rho1282_1.3ppm_Fe_4-2</t>
  </si>
  <si>
    <t>IC1628_CatNNF_AnoB10970-TR-P3_rho1282_1.3ppm_Fe_6-2</t>
  </si>
  <si>
    <t>IC1633_CatNNF_AnoB11223-TR-P2_rho1282_7-4</t>
  </si>
  <si>
    <t>New iron standard solution in electrolyte.</t>
  </si>
  <si>
    <t>IC1634_CatNNF_AnoB11153-TR-P3_rho1282_7-5</t>
  </si>
  <si>
    <t>IC1635_CatNNF_AnoB11006-TR-P4_rho1282_7-6</t>
  </si>
  <si>
    <t>IC1639_CatNNF_AnoB11257-TR-P2_rho1282_6-8</t>
  </si>
  <si>
    <t>IC1640_CatNNF_AnoB11089-TR-P3_rho1282_7-7</t>
  </si>
  <si>
    <t>IC1641_CatNNF_AnoB11187-TR-P2_rho1282_7-8</t>
  </si>
  <si>
    <t>IC1643_CatNNF_AnoB11550-TR_rho1282_1.3ppm_Fe_4-2</t>
  </si>
  <si>
    <t>IC1644_CatNNF_AnoB11502-TR-P2_rho1282_1.3ppm_Fe_4-3</t>
  </si>
  <si>
    <t>48 h test, 1.3 ppm Fe added</t>
  </si>
  <si>
    <t>IC1645_CatNNF_AnoB11446-TR-P2_rho1282_1.3ppm_Fe_4-4</t>
  </si>
  <si>
    <t>IC1647_CatNNF_AnoB11632-TR_rho1282_1.3ppm_Fe_4-6</t>
  </si>
  <si>
    <t>IC1653_CatNNF_AnoB11727-TR_rho1282_1.3ppm_Fe_4-6</t>
  </si>
  <si>
    <t>IC1654_CatNNF_AnoB11833-TR_rho1282_1.3ppm_Fe_5-1</t>
  </si>
  <si>
    <t>IC1655_CatNNF_AnoB11876-TR_rho1282_1.3ppm_Fe_5-3</t>
  </si>
  <si>
    <t>IC1668_CatNNF_AnoB11774-TR_rho1282_1.3ppm_Fe_4-5</t>
  </si>
  <si>
    <t>IC1669_CatNNF_AnoB12099-TR_rho1282_1.3ppm_Fe_4-6</t>
  </si>
  <si>
    <t>IC1670_CatNNF_AnoB11933-TR_rho1282_1.3ppm_Fe_5-1</t>
  </si>
  <si>
    <t>IC1671_CatNNF_AnoB11990-TR_rho1282_1.3ppm_Fe_5-3</t>
  </si>
  <si>
    <t>IC1678_CatNNF_AnoB12293-TR_rho1282_1.3ppm_Fe_4-2</t>
  </si>
  <si>
    <t>IC1679_CatNNF_AnoB12345-TR_rho1282_1.3ppm_Fe_4-3</t>
  </si>
  <si>
    <t>IC1672_CatNNF_AnoB12174-TR_rho1282_1.3ppm_Fe_5-3</t>
  </si>
  <si>
    <t>IC1686_CatNNF-TR_AnoB12265-TR_rho1282_1.3ppm_Fe_7-7</t>
  </si>
  <si>
    <t>IC1688_CatNNF_AnoB12400-TR_rho1282_1.3ppm_Fe_4-4</t>
  </si>
  <si>
    <t>IC1719_CatDNC_AnoNNF_rho1281_20ppm_Fe_2-5+B23:I25</t>
  </si>
  <si>
    <t>IC1678_CatNNF_AnoB12427-TR_rho1282_1.3ppm_Fe_4-2</t>
  </si>
  <si>
    <t>IC1679_CatNNF_AnoB12498-TR_rho1282_1.3ppm_Fe_4-3</t>
  </si>
  <si>
    <t>IC1701_CatNNF_AnoB12754-TR_rho1282_1.3ppm_Fe_4-1</t>
  </si>
  <si>
    <t>IC1702_CatNNF_AnoB12686-TR_rho1282_1.3ppm_Fe_4-2</t>
  </si>
  <si>
    <t>IC1703_CatNNF_AnoB12619-TR_rho1282_1.3ppm_Fe_4-3</t>
  </si>
  <si>
    <t>IC1704_CatNNF_AnoB13251-TR_rho1282_1.3ppm_Fe_4-4</t>
  </si>
  <si>
    <t>IC1705_CatNNF_AnoB12963-TR_rho1282_1.3ppm_Fe_4-5</t>
  </si>
  <si>
    <t>IC1706_CatNNF_AnoB13081-TR_rho1282_1.3ppm_Fe_4-6</t>
  </si>
  <si>
    <t>IC1707_CatNNF_AnoB13049-TR_rho1282_1.3ppm_Fe_5-1</t>
  </si>
  <si>
    <t>IC1708_CatNNF_AnoB12883-TR_rho1282_1.3ppm_Fe_5-3</t>
  </si>
  <si>
    <t>IC1709_CatNNF_AnoB12779-TR_rho1282_1.3ppm_Fe_6-4</t>
  </si>
  <si>
    <t>IC1398_CatNNF_AnoB578-BR_rho1281_3-1</t>
  </si>
  <si>
    <t>Long term (white, R&amp;D binder)</t>
  </si>
  <si>
    <t>IC1733_CatNNF_AnoB13305-TR_rho1282_1.3ppm_Fe_4-4</t>
  </si>
  <si>
    <t>Frederik</t>
  </si>
  <si>
    <t>IC1734_CatNNF_AnoB13434-TR_rho1282_1.3ppm_Fe_4-6</t>
  </si>
  <si>
    <t>Emil</t>
  </si>
  <si>
    <t>IC1738_CatNNF_AnoB13504-TR_rho1282_1.3ppm_Fe_6-3</t>
  </si>
  <si>
    <t>IC1739_CatNNF_AnoB13195-TR_rho1282_1.3ppm_Fe_6-4</t>
  </si>
  <si>
    <t>AWRS malfunctioned, beaker was overfillled</t>
  </si>
  <si>
    <t>IC1749_CatNNF_AnoB13195-TR-P2_rho1282_1.3ppm_Fe_4-1</t>
  </si>
  <si>
    <t>Retest due to AWRS malfunction.</t>
  </si>
  <si>
    <t>IC1762_CatNNF_AnoB13752-TR_rho1282_1.3ppm_Fe_5-1</t>
  </si>
  <si>
    <t>IC1774_CatNNF_AnoB13786-TR_rho1282_1.3ppm_Fe_4-1</t>
  </si>
  <si>
    <t>IC1791_CatNNF_AnoB13835-TR_rho1282_1.3ppm_Fe_4-1</t>
  </si>
  <si>
    <t>Arhived in</t>
  </si>
  <si>
    <t>IC0079_Cat2125_AnoNF_T90_rho1287_AUX1Ano_AUX2_Cat_1-6 - GOOD</t>
  </si>
  <si>
    <t>Irregular temp - do not use</t>
  </si>
  <si>
    <t>IC0079_Cat2125_AnoNF_T90_rho1287_AUX1Ano_AUX2_Cat_1-6 - GOOD.png</t>
  </si>
  <si>
    <t>IC0080_Cat2243_AnoNF_T90_rho1287_AUX1Ano_AUX2_Cat_1-7 - GOOD</t>
  </si>
  <si>
    <t>IC0080_Cat2243_AnoNF_T90_rho1287_AUX1Ano_AUX2_Cat_1-7 - GOOD.png</t>
  </si>
  <si>
    <t>IC0081_Cat856_AnoNF_T90_rho1287_AUX1Ano_AUX2_Cat_1-8 - BAD</t>
  </si>
  <si>
    <t>High temp - do not use Sample was taken from a BRIGHT spot,Another IC0081 exists in the sulfidized sheet</t>
  </si>
  <si>
    <t>IC0081_Cat856_AnoNF_T90_rho1287_AUX1Ano_AUX2_Cat_1-8 - BAD.png</t>
  </si>
  <si>
    <t>IC0091_CatA002835_AnoNNF_T90_rho1287_AUX1Cat_AUX2Ano_2-1</t>
  </si>
  <si>
    <t>19/09/2024</t>
  </si>
  <si>
    <t>IC0091_CatA002835_AnoNNF_T90_rho1287_AUX1Cat_AUX2Ano_2-1.png</t>
  </si>
  <si>
    <t>IC0093_Cat2901_AnoNNF_T90_rho1287_AUX1Ano_AUX2_Cat_3-8</t>
  </si>
  <si>
    <t>21/09/2024</t>
  </si>
  <si>
    <t xml:space="preserve">Sample was taken from a DARK spot </t>
  </si>
  <si>
    <t>IC0093_Cat2901_AnoNNF_T90_rho1287_AUX1Ano_AUX2_Cat_3-8.png</t>
  </si>
  <si>
    <t>0 voltage between 26.28 and 26.43 hours</t>
  </si>
  <si>
    <t>IC0094_Cat2902_AnoNNF_T90_rho1287_AUX1Ano_AUX2Cat_3-7</t>
  </si>
  <si>
    <t>Irregular temp - do not use Sample was considered to be GOOD.</t>
  </si>
  <si>
    <t>IC0094_Cat2902_AnoNNF_T90_rho1287_AUX1Ano_AUX2Cat_3-7.png</t>
  </si>
  <si>
    <t>IC0099_Cat2904_Ano_NNF_T90_rho1287_AUX1Ano_AUX2_Cat_3-4</t>
  </si>
  <si>
    <t>No data. Sample was considered to be GOOD.</t>
  </si>
  <si>
    <t>NaN</t>
  </si>
  <si>
    <t>IC0103_Cat2904_AnoNNF_T90_rho1287_AUX1Ano_AUX2_Cat_2-3</t>
  </si>
  <si>
    <t>Sample was considered to be BAD.</t>
  </si>
  <si>
    <t>IC0103_Cat2904_AnoNNF_T90_rho1287_AUX1Ano_AUX2_Cat_2-3.png</t>
  </si>
  <si>
    <t>IC0139_CatA002904_AnoNNF_T90_rho1287_AUX1NaN_AUX2NaN_3-4</t>
  </si>
  <si>
    <t>Equals with IC0099</t>
  </si>
  <si>
    <t>IC0139_CatA002904_AnoNNF_T90_rho1287_AUX1NaN_AUX2NaN_3-4.png</t>
  </si>
  <si>
    <t>IC0153_CatA002741EDGE_AnoNNF_T90_rho1287_AUX1Cat_AUX2Ano_3-7</t>
  </si>
  <si>
    <t>19/11/2024</t>
  </si>
  <si>
    <t>Sample was taken from the edge.</t>
  </si>
  <si>
    <t>IC0153_CatA002741EDGE_AnoNNF_T90_rho1287_AUX1Cat_AUX2Ano_3-7.png</t>
  </si>
  <si>
    <t>IC0152_CatA002925_AnoNNF_T90_rho1287_AUX1Cat_AUX2Ano_3-8</t>
  </si>
  <si>
    <t>IC0152_CatA002925_AnoNNF_T90_rho1287_AUX1Cat_AUX2Ano_3-8.png</t>
  </si>
  <si>
    <t>IC0157_CatA002741CENTER_AnoNNF_T90_rho1287_AUX1Cat_AUX2Ano_3-6</t>
  </si>
  <si>
    <t>21/11/2024</t>
  </si>
  <si>
    <t>Irregular temp - do not use + battery tester fail</t>
  </si>
  <si>
    <t>IC0157_CatA002741CENTER_AnoNNF_T90_rho1287_AUX1Cat_AUX2Ano_3-6.png</t>
  </si>
  <si>
    <t>IC0156_Cat1427_AnoNNF_T90_rho1287_AUX1Cat_AUX2Ano_2-3</t>
  </si>
  <si>
    <t>IC0156_Cat1427_AnoNNF_T90_rho1287_AUX1Cat_AUX2Ano_2-3.png</t>
  </si>
  <si>
    <t>IC0158_CatA002975_AnoNNF_T90_rho1287_AUX1Cat_AUX2Ano_2-1</t>
  </si>
  <si>
    <t>Small temperature fluctuations</t>
  </si>
  <si>
    <t>IC0158_CatA002975_AnoNNF_T90_rho1287_AUX1Cat_AUX2Ano_2-1.png</t>
  </si>
  <si>
    <t>IC0160_Cat987_AnoNNF_T90_rho1287_AUX1Cat_AUX2Ano_3-5</t>
  </si>
  <si>
    <t>Battery tester malfunction at the end of experiment</t>
  </si>
  <si>
    <t>IC0160_Cat987_AnoNNF_T90_rho1287_AUX1Cat_AUX2Ano_3-5.png</t>
  </si>
  <si>
    <t>IC0174_CatA2800_AnoNNF_T90_rho1287_AUX1Cat_AUX2Ano_2-3</t>
  </si>
  <si>
    <t>29/11/2024</t>
  </si>
  <si>
    <t>IC0174_CatA2800_AnoNNF_T90_rho1287_AUX1Cat_AUX2Ano_2-3.png</t>
  </si>
  <si>
    <t>IC0177_CatA2105_AnoNNF_T90_rho1287_AUX1Cat_AUX2Ano_2-4</t>
  </si>
  <si>
    <t>IC0177_CatA2105_AnoNNF_T90_rho1287_AUX1Cat_AUX2Ano_2-4.png</t>
  </si>
  <si>
    <t>IC0178_CatA2021_AnoNNF_T90_rho1287_AUX1Cat_AUX2Ano_3-5</t>
  </si>
  <si>
    <t>Low voltage for appr. 10 hours - do not use</t>
  </si>
  <si>
    <t>IC0178_CatA2021_AnoNNF_T90_rho1287_AUX1Cat_AUX2Ano_3-5.png</t>
  </si>
  <si>
    <t>IC0187_CatA2950_AnoNNF_T90_rho1287_AUX1Cat_AUX2Ano_3-3</t>
  </si>
  <si>
    <t>IC0187_CatA2950_AnoNNF_T90_rho1287_AUX1Cat_AUX2Ano_3-3.png</t>
  </si>
  <si>
    <t>IC0189_CatA183_AnoNNF_T90_rho1287_AUX1Cat_AUX2Ano_2-1</t>
  </si>
  <si>
    <t>IC0189_CatA183_AnoNNF_T90_rho1287_AUX1Cat_AUX2Ano_2-1.png</t>
  </si>
  <si>
    <t>IC0190_CatA186_AnoNNF_T90_rho1287_AUX1Cat_AUX2Ano_2-4</t>
  </si>
  <si>
    <t>IC0190_CatA186_AnoNNF_T90_rho1287_AUX1Cat_AUX2Ano_2-4.png</t>
  </si>
  <si>
    <t>IC0191_CatA167_AnoNNF_T90_rho1287_AUX1Cat_AUX2Ano_2-3</t>
  </si>
  <si>
    <t>IC0191_CatA167_AnoNNF_T90_rho1287_AUX1Cat_AUX2Ano_2-3.png</t>
  </si>
  <si>
    <t>IC0192_CatA1364_AnoNNF_T90_rho1287_AUX1Cat_AUX2Ano_3-5</t>
  </si>
  <si>
    <t>IC0192_CatA1364_AnoNNF_T90_rho1287_AUX1Cat_AUX2Ano_3-5.png</t>
  </si>
  <si>
    <t>IC0221_CatA003270_AnoNNF_rho1287_AUX1Cat_AUX2Ano_1-3</t>
  </si>
  <si>
    <t>Wrong protocol, do not use</t>
  </si>
  <si>
    <t>Plating line 1 sensitivity study Flemming 2024</t>
  </si>
  <si>
    <t>IC0285_CatA3298_AnoNNF_rho1287_AUX1Cat_AUX2Ano-2-7</t>
  </si>
  <si>
    <t>QC_IC_58.5h...12_hours</t>
  </si>
  <si>
    <t>Eurofin batch</t>
  </si>
  <si>
    <t>IC0285_CatA3298_AnoNNF_rho1287_AUX1Cat_AUX2Ano-2-7.png</t>
  </si>
  <si>
    <t>IC0283_CatA003300_AnoNNF_rho1276_AUX1Cat_AUX2Ano_2-1</t>
  </si>
  <si>
    <t>IC0283_CatA003300_AnoNNF_rho1276_AUX1Cat_AUX2Ano_2-1.png</t>
  </si>
  <si>
    <t>IC0286_CatA3296_AnoNNF_rho1287_AUX1Cat_AUX2Ano-2-3</t>
  </si>
  <si>
    <t>Eurofin batch. With preheated KOH(60 deg) and pretreated NNF anode. QC_IC_58.5h...12h</t>
  </si>
  <si>
    <t>IC0286_CatA3296_AnoNNF_rho1287_AUX1Cat_AUX2Ano-2-3.png</t>
  </si>
  <si>
    <t>IC0290_CatA3306_AnoNNF_rho1287_AUX1Cat_AUX2Ano_2-8</t>
  </si>
  <si>
    <t>IC0290_CatA3306_AnoNNF_rho1287_AUX1Cat_AUX2Ano_2-8.png</t>
  </si>
  <si>
    <t>IC0278_Cat3306_AnoNNF_rho1276_AUX1Cat_AUX2Ano_3-7</t>
  </si>
  <si>
    <t>Preheated KOH to 50 degrees used
Preheated container to 50 degrees used
Eurofin production</t>
  </si>
  <si>
    <t>IC0278_Cat3306_AnoNNF_rho1276_AUX1Cat_AUX2Ano_3-7.png</t>
  </si>
  <si>
    <t>IC0279_Cat3308_AnoNNF_rho1276_AUX1Cat_AUX2Ano_3-8</t>
  </si>
  <si>
    <t>IC0279_Cat3308_AnoNNF_rho1276_AUX1Cat_AUX2Ano_3-8.png</t>
  </si>
  <si>
    <t>IC0291_CatA3308_AnoNNF_rho1287_AUX1Cat_AUX2Ano_3-3</t>
  </si>
  <si>
    <t>With preheated KOH(60 deg) and pretreated NNF anode. QCIC58.5h...12h</t>
  </si>
  <si>
    <t>IC0291_CatA3308_AnoNNF_rho1287_AUX1Cat_AUX2Ano_3-3.png</t>
  </si>
  <si>
    <t>IC0280_Cat3300_AnoNNF_rho1276_AUX1Cat_AUX2Ano_1-5</t>
  </si>
  <si>
    <t xml:space="preserve">
Preheated container to 50 degrees used
Eurofin production - battery tester problems, unstable potential</t>
  </si>
  <si>
    <t>IC0280_Cat3300_AnoNNF_rho1276_AUX1Cat_AUX2Ano_1-5.png</t>
  </si>
  <si>
    <t>IC0281_CatA003298_AnoNNF_rho1276_AUX1Cat_AUX2Ano_3-6</t>
  </si>
  <si>
    <t>IC0281_CatA003298_AnoNNF_rho1276_AUX1Cat_AUX2Ano_3-6.png</t>
  </si>
  <si>
    <t>IC0282_CatA003296_AnoNNF_rho1276_AUX1Cat_AUX2Ano_3-5</t>
  </si>
  <si>
    <t xml:space="preserve">QCIC168h_v1. black flakes in the electrolyte during testing :( </t>
  </si>
  <si>
    <t>IC0282_CatA003296_AnoNNF_rho1276_AUX1Cat_AUX2Ano_3-5.png</t>
  </si>
  <si>
    <t>IC0334_CatA3296_AnoNNF_rho1279_AUX1Cat_AUXAno_48h_2-1</t>
  </si>
  <si>
    <t>No pretreatment for the NNF.</t>
  </si>
  <si>
    <t>IC0334_CatA3296_AnoNNF_rho1279_AUX1Cat_AUXAno_48h_2-1.png</t>
  </si>
  <si>
    <t>IC0339_CatA3308_AnoNNF_rho1276_AUX1Cat_AUX2Ano_48h_1-5</t>
  </si>
  <si>
    <t>IC0339_CatA3308_AnoNNF_rho1276_AUX1Cat_AUX2Ano_48h_1-5.png</t>
  </si>
  <si>
    <t>IC0335_CatA3298_AnoNNF_rho1276_AUX1Cat_AUXAno_48h_2-3</t>
  </si>
  <si>
    <t>IC0335_CatA3298_AnoNNF_rho1276_AUX1Cat_AUXAno_48h_2-3.png</t>
  </si>
  <si>
    <t>IC0338_CatA3306_AnoNNF_rho1276_AUX1Cat_AUX2Ano_48h_3-8</t>
  </si>
  <si>
    <t>IC0338_CatA3306_AnoNNF_rho1276_AUX1Cat_AUX2Ano_48h_3-8.png</t>
  </si>
  <si>
    <t>IC0336_CatA3300_AnoNNF_rho1276_AUX1Cat_AUXAno_48h_2-4</t>
  </si>
  <si>
    <t>Balázs fucked up the saving - rookie mistake</t>
  </si>
  <si>
    <t>IC0337_CatA3300_AnoNNF_rho1276_AUX1Cat_AUX2Ano_168h_3-2</t>
  </si>
  <si>
    <t>IC0337_CatA3300_AnoNNF_rho1276_AUX1Cat_AUX2Ano_168h_3-2.png</t>
  </si>
  <si>
    <t>IC0367_CatA03308_AnoNNF_rho1276_AUX1Cat_AUX2Ano-3-5</t>
  </si>
  <si>
    <t>QC_IC_24h_v1_TEST_PHASE</t>
  </si>
  <si>
    <t>30 degrees temperature 
Pretreated anode NNF 
Eurofin sample 
30 degrees - unusable data</t>
  </si>
  <si>
    <t>IC0366_CatA03306_AnoNNF_rho1276_AUX1Cat_AUX2Ano-2-7</t>
  </si>
  <si>
    <t>Preheated KOH at 70 degrees
Pretreated anode NNF 
Eurofin sample</t>
  </si>
  <si>
    <t>IC0366_CatA03306_AnoNNF_rho1276_AUX1Cat_AUX2Ano-2-7.png</t>
  </si>
  <si>
    <t>IC0365_CatA03298_AnoNNF_rho1276_AUX1Cat_AUX2Ano-3-2</t>
  </si>
  <si>
    <t>IC0365_CatA03298_AnoNNF_rho1276_AUX1Cat_AUX2Ano-3-2.png</t>
  </si>
  <si>
    <t>IC0373_CatA3296_AnoNNF_rho1276_AUX1Cat_AUX2Ano_3-5</t>
  </si>
  <si>
    <t>Preheated KOH at 70 degrees. Pretreated anode NNF. Eurofin sample.</t>
  </si>
  <si>
    <t>IC0373_CatA3296_AnoNNF_rho1276_AUX1Cat_AUX2Ano_3-5.png</t>
  </si>
  <si>
    <t>IC0390_CatA3308_AnoNNF_rho1276_AUX1Cat_AUX2Ano_2-7</t>
  </si>
  <si>
    <t>70 degrees KOH, Pretreated anode, Started a day after it was assembled because of fire</t>
  </si>
  <si>
    <t>IC0390_CatA3308_AnoNNF_rho1276_AUX1Cat_AUX2Ano_2-7.png</t>
  </si>
  <si>
    <t>IC0392_CatA3306_AnoNNF_rho1276_AUX1Cat_AUX2Ano_3-1</t>
  </si>
  <si>
    <t>Pretreated anode
Started a day after it was assembled because of fire</t>
  </si>
  <si>
    <t>IC0392_CatA3306_AnoNNF_rho1276_AUX1Cat_AUX2Ano_3-1.png</t>
  </si>
  <si>
    <t>IC0742_CatB733-TR_AnoNNF_rho1279_AUX1NaN_AUX2NaN_4-6</t>
  </si>
  <si>
    <r>
      <rPr>
        <b/>
        <sz val="11"/>
        <color theme="1"/>
        <rFont val="Calibri"/>
        <family val="2"/>
        <scheme val="minor"/>
      </rPr>
      <t xml:space="preserve">It was used as aged sample for degradation study in half cells. </t>
    </r>
    <r>
      <rPr>
        <sz val="11"/>
        <color theme="1"/>
        <rFont val="Calibri"/>
        <family val="2"/>
        <scheme val="minor"/>
      </rPr>
      <t>preheated beaker and KOH, pretreated anode, Top right coupon, Cathode production</t>
    </r>
  </si>
  <si>
    <t>IC0743_CatB757-TR_AnoNNF_rho1279_AUX1NaN_AUX2NaN_5-1</t>
  </si>
  <si>
    <r>
      <rPr>
        <b/>
        <sz val="11"/>
        <color theme="1"/>
        <rFont val="Calibri"/>
        <family val="2"/>
        <scheme val="minor"/>
      </rPr>
      <t>Sample consumed by coating thickness measruement</t>
    </r>
    <r>
      <rPr>
        <sz val="11"/>
        <color theme="1"/>
        <rFont val="Calibri"/>
        <family val="2"/>
        <scheme val="minor"/>
      </rPr>
      <t xml:space="preserve"> preheated beaker and KOH, pretreated anode, Top right coupon, Cathode production</t>
    </r>
  </si>
  <si>
    <t>IC0744_CatB772-TR_AnoNNF_rho1279_AUX1NaN_AUX2NaN_5-2</t>
  </si>
  <si>
    <t>preheated beaker and KOH, pretreated anode, Top right coupon, Cathode production</t>
  </si>
  <si>
    <t>IC0762_CatB762-TR_AnoNNF_rho1279_5-6</t>
  </si>
  <si>
    <t>Oniel/Daniel</t>
  </si>
  <si>
    <t>Position 1, preheated KOH and beaker</t>
  </si>
  <si>
    <t>IC0774_CatB943-TR_AnoNNF_rho1279_4-5</t>
  </si>
  <si>
    <t>Pretreated anode, Protocol: 48h test</t>
  </si>
  <si>
    <t>IC0775_CatB974-TR_AnoNNF_rho1279_4-6</t>
  </si>
  <si>
    <t>IC0776_CatB979-TR_AnoNNF_rho1279_5-1</t>
  </si>
  <si>
    <t>IC0777_CatB993-TR_AnoNNF_rho1279_5-2</t>
  </si>
  <si>
    <t>Pretreated anode
Protocol: 48h
Cathode - second sample cut on the top right position</t>
  </si>
  <si>
    <t>IC0792_CatB1104-TR_AnoNNF_rho1279_4-1</t>
  </si>
  <si>
    <t>Protocol: 48h
Top Right</t>
  </si>
  <si>
    <t>IC0791_CatB1008-TL_AnoNNF_rho1279_4-2</t>
  </si>
  <si>
    <t>IC0790_CatB1262-TR_AnoNNF_rho1279_4-3</t>
  </si>
  <si>
    <t>IC0789_CatB1237-TR_AnoNNF_rho1279_4-4</t>
  </si>
  <si>
    <t>IC0796_CatB1175-TR_AnoNNF_rho1279_4-5</t>
  </si>
  <si>
    <t>IC0797_CatB1229-TR_AnoNNF_rho1279_4-6</t>
  </si>
  <si>
    <t>IC0798_CatB1058-TR_AnoNNF_rho1279_5-1</t>
  </si>
  <si>
    <t>IC0799_CatB1068-TR_AnoNNF_rho1279_5-2</t>
  </si>
  <si>
    <t>IC0800_CatB1124-TR_AnoNNF_rho1279_5-5</t>
  </si>
  <si>
    <t>IC0801_CatB1144-TR_AnoNNF_rho1279_5-6</t>
  </si>
  <si>
    <t>IC0804_CatB1046-TR_AnoNNF_rho1279_4-1</t>
  </si>
  <si>
    <t>IC0802_CatB1025-TR_AnoNNF_rho1279_5-7</t>
  </si>
  <si>
    <t xml:space="preserve">It was used as aged sample for degradation study in half cells. </t>
  </si>
  <si>
    <t>IC0803_CatB1115-TR_AnoNNF_rho1279_5-8</t>
  </si>
  <si>
    <t>IC0818_CatB1083-TR_AnoNNF_rho1279_5-5</t>
  </si>
  <si>
    <t>IC0819_CatB919-TR_AnoNNF_rho1279_5-6</t>
  </si>
  <si>
    <t>IC0820_CatB1039-TR_AnoNNF_rho1279_5-2</t>
  </si>
  <si>
    <t>IC0821_CatB897-TR_AnoNNF_rho1279_5-1</t>
  </si>
  <si>
    <t>IC0822_CatB1052-TR_AnoNNF_rho1279_4-6</t>
  </si>
  <si>
    <t>IC0831_CatB1133_AnoNNF-TR_rho1279_5-7</t>
  </si>
  <si>
    <r>
      <rPr>
        <sz val="11"/>
        <color rgb="FF000000"/>
        <rFont val="Calibri"/>
        <scheme val="minor"/>
      </rPr>
      <t>168h test,</t>
    </r>
    <r>
      <rPr>
        <b/>
        <sz val="11"/>
        <color rgb="FF000000"/>
        <rFont val="Calibri"/>
        <scheme val="minor"/>
      </rPr>
      <t xml:space="preserve"> Cathode used for BET/XRD measurements in his RnD project along with the remaining unused coupon</t>
    </r>
  </si>
  <si>
    <t>IC0832_CatB1091-TR_AnoNNF_rho1279_5-8</t>
  </si>
  <si>
    <r>
      <rPr>
        <b/>
        <sz val="11"/>
        <color theme="1"/>
        <rFont val="Calibri"/>
        <family val="2"/>
        <scheme val="minor"/>
      </rPr>
      <t>It was used as aged sample for degradation study in half cells.</t>
    </r>
    <r>
      <rPr>
        <sz val="11"/>
        <color theme="1"/>
        <rFont val="Calibri"/>
        <family val="2"/>
        <scheme val="minor"/>
      </rPr>
      <t xml:space="preserve"> 168h test</t>
    </r>
  </si>
  <si>
    <t>IC0855_CatB1943_AnoNNF_rho1279_4-4</t>
  </si>
  <si>
    <t>IC0856_CatB1893_AnoNNF_rho1279_4-5</t>
  </si>
  <si>
    <t>IC0857_CatB1870_AnoNNF_rho1279_4-6</t>
  </si>
  <si>
    <t>IC0858_CatB1780_AnoNNF_rho1279_5-1</t>
  </si>
  <si>
    <t>IC0870_CatB2047_AnoNNF_rho1279_4-5</t>
  </si>
  <si>
    <t>IC0871_CatB1990_AnoNNF_rho1279_4-6</t>
  </si>
  <si>
    <t>IC0872_CatB2027_AnoNNF_rho1279_5-1</t>
  </si>
  <si>
    <t>IC0873_CatB2011_AnoNNF_rho1279_5-2</t>
  </si>
  <si>
    <t>IC0883_Cat1046-TR-2_AnoNNF_rho1279_4-6</t>
  </si>
  <si>
    <t xml:space="preserve">
IC0884_CatB1962TR_AnoNNF_rho1279_5-2</t>
  </si>
  <si>
    <t>IC0896_CatB2027-TR-2_AnoNNF_rho1279_4-3</t>
  </si>
  <si>
    <t>IC0895_CatB2302-TR_AnoNNF_rho1279_4-4</t>
  </si>
  <si>
    <t>IC0922_CatB2405-TR_Ano_NNF_rho1279_4-3</t>
  </si>
  <si>
    <t>IC0924_CatB2441-TR_Ano_NNF_rho1279_4-4</t>
  </si>
  <si>
    <t>IC0923_CatB2478-TR_Ano_NNF_rho1279_4-5</t>
  </si>
  <si>
    <t>IC0925_CatB2386-TR_Ano_NNF_rho1279_4-6</t>
  </si>
  <si>
    <t>IC0926_CatB2421-TR_Ano_NNF_rho1279_5-1</t>
  </si>
  <si>
    <t>IC0949_CatB2674-TR_AnoNNF_rho1279_4-2</t>
  </si>
  <si>
    <t>Cathode did not fit perfectly into the plastic backplate</t>
  </si>
  <si>
    <t xml:space="preserve">
IC0950_CatB2692-TR-P2_AnoNNF_rho1279_4-3</t>
  </si>
  <si>
    <t xml:space="preserve">
Cathode coupon was recut from position 2 as the one from position 1 did not fit properly</t>
  </si>
  <si>
    <t>IC0951_CatB2711-TR_AnoNNF_rho1279_4-4</t>
  </si>
  <si>
    <t>Pretreated anode, preheated KOH and Beaker, 48h experiment</t>
  </si>
  <si>
    <t>IC0954_CatB2692-TR_AnoNNF_rho1279_4-3</t>
  </si>
  <si>
    <t>2nd testing as it was around the upper limit of the warning band. P2 48h test</t>
  </si>
  <si>
    <t>IC0955_CatB2692-TR_AnoNNF_rho1279_4-5</t>
  </si>
  <si>
    <t>2nd testing as it was around the upper limit of the warning band. P3 48h test</t>
  </si>
  <si>
    <t>IC0956_CatB2733-TR_AnoNNF_rho1279_4-6</t>
  </si>
  <si>
    <t>no comment present</t>
  </si>
  <si>
    <t>IC0961_CatB2768-TR_AnoNNF_rho1279_4-2</t>
  </si>
  <si>
    <t xml:space="preserve">
48h test, preheated KOH and beaker, pretreated anode</t>
  </si>
  <si>
    <t xml:space="preserve">
IC0962_CatB2900-TR_AnoNNF_rho1279_4-1</t>
  </si>
  <si>
    <t>IC0963_CatB2880-TR_AnoNNF_rho1279_4-3</t>
  </si>
  <si>
    <t xml:space="preserve">
IC0964_CatB2783-TR_AnoNFF_rho1279_4-4</t>
  </si>
  <si>
    <t xml:space="preserve">
IC0965_CatB2829-TR_AnoNNF_rho1279_4-5</t>
  </si>
  <si>
    <t>IC0968_CatB2963-TR_AnoNNF_rho1279_4-6</t>
  </si>
  <si>
    <t>IC0969_CatB2948-TR_AnoNNF_rho1279_5-1</t>
  </si>
  <si>
    <t>IC0970_CatB2975-TR_AnoNNF_rho1279_5-2</t>
  </si>
  <si>
    <t>IC0976_CatB3095-TR_AnoNNF-TR_rho1279_4-3</t>
  </si>
  <si>
    <t>IC0978_CatB2733-TR-P2_AnoNNF_rho1279_4-2</t>
  </si>
  <si>
    <t>IC0977_CatB2733-TR-P3_AnoNNF_rho1279_4-1</t>
  </si>
  <si>
    <t>IC0990_CatB3376-TR_AnoNNF_rho1279_1-6</t>
  </si>
  <si>
    <t>IC0980_CatB3160-TR_AnoNNF_rho1279_4-5</t>
  </si>
  <si>
    <t>IC0981_CatB3322-TR_AnoNNF_rho1279_4-1</t>
  </si>
  <si>
    <t>IC0982_CatB3233-TR_AnoNNF_rho1279_4-2</t>
  </si>
  <si>
    <t>IC0983_CatB3255-BL_AnoNNF_rho1279_4-3</t>
  </si>
  <si>
    <t>48h test; TR coupon missing &amp; double BL coupon used instead; Preheated KOH and Beaker; Pretreated Anode with MQ water instead of demiwater.</t>
  </si>
  <si>
    <t>IC0984_Cat3248-TR_AnoNNF-TR_rho1279_4-4</t>
  </si>
  <si>
    <t>IC1007_CatB3474-TR_AnoNNF_rho1279_4-3</t>
  </si>
  <si>
    <t>48h test, preheated KOH and beaker, pretreated anode</t>
  </si>
  <si>
    <t xml:space="preserve">
IC1002_CatB3591-TR_AnoNNF_rho1279_4-4</t>
  </si>
  <si>
    <t>IC1008_CatB3591-BR_AnoNNF_rho1279_5-5</t>
  </si>
  <si>
    <t>Test of a Bottom Right sample from B3591 cathode</t>
  </si>
  <si>
    <t>IC1009_CatB3524-TR_AnoNNF_rho1279_4-1</t>
  </si>
  <si>
    <t>IC1010_CatB3474-BR_AnoNNF_rho1279_4-2</t>
  </si>
  <si>
    <t>Bottom right sample</t>
  </si>
  <si>
    <t>IC1022_CatB3722-TR_AnoNNF_rho1279_4-1</t>
  </si>
  <si>
    <t>IC1023_CatB3753-TR_AnoNNF_rho1279_4-2</t>
  </si>
  <si>
    <t>IC01015_CatB3577-TR_AnoNNF_rho1279_5-1</t>
  </si>
  <si>
    <t>IC01016_CatB3601-TR_AnoNNF_rho1279_5-2</t>
  </si>
  <si>
    <t>IC1021_CatB3591-BR_AnoNNF_rho1279_5-5</t>
  </si>
  <si>
    <t>IC01026_CatB3771-TR_AnoNNF_rho1279_4-3</t>
  </si>
  <si>
    <t>48h experiment, preheated KOH and beaker, pretreated NNF electrode</t>
  </si>
  <si>
    <t>IC01027_CatB3796-TR_AnoNNF_rho1279_4-4</t>
  </si>
  <si>
    <t>IC1039_CatB3970-TR_AnoNNF_rho1279_4-1</t>
  </si>
  <si>
    <t>IC1040_CatB4008-TR_AnoNNF_rho1279_4-2</t>
  </si>
  <si>
    <t>IC1041_CatB4061-TR_AnoNNF_rho1279_4-3</t>
  </si>
  <si>
    <t>IC1044_CatB4076-TR_AnoNNF_rho1279_4-6</t>
  </si>
  <si>
    <t>IC1036_CatB3860-TR_AnoNNF_rho1279_3-5</t>
  </si>
  <si>
    <t>IC1037_CatB3900-TR_AnoNNF_rho1279_3-6</t>
  </si>
  <si>
    <t>QC_IC3000 was started instead of QC_IC_48h</t>
  </si>
  <si>
    <t>IC1038_CatB3942-TR_AnoNNF_rho1279_3-7</t>
  </si>
  <si>
    <t>IC1051_CatB4234-TR_AnoNNF_rho1279_4-1</t>
  </si>
  <si>
    <t>IC1052_CatB4231-TR_AnoNNF_rho1279_4-2</t>
  </si>
  <si>
    <t>IC1053_CatB4233-TR_AnoNNF_rho1279_4-3</t>
  </si>
  <si>
    <t>IC1056_CatB4302_AnoNNF_rho1279_4-6</t>
  </si>
  <si>
    <t>48h test, preheated beaker and KOH, and pretreated anode</t>
  </si>
  <si>
    <t>IC1057_CatB4284_AnoNNF_rho1279_5-1</t>
  </si>
  <si>
    <t>IC1062_CatB4325-TR_AnoNNF_rho1279_5-2</t>
  </si>
  <si>
    <t xml:space="preserve">48h test, preheated KOH and beaker, pretreated NNF anode
</t>
  </si>
  <si>
    <t>IC1063_CatB4379-TR_AnoNNF_rho1279_5-5</t>
  </si>
  <si>
    <t>IC1073_CatB4452-TR_AnoNNF_rho1279_4-3</t>
  </si>
  <si>
    <t>IC1074_CatB4501-TR_AnoNNF_rho1279_4-4</t>
  </si>
  <si>
    <t>IC1076_CatB4562-TR_AnoNNF_rho1279_4-1</t>
  </si>
  <si>
    <t>IC1075_CatB4563-TR_AnoNNF_rho1279_4-2</t>
  </si>
  <si>
    <t>IC1077_CatB4599-TR_AnoNNF_rho1279_5-2</t>
  </si>
  <si>
    <t>48h test, preheated KOH and beaker, pretreated NNF anode</t>
  </si>
  <si>
    <t>IC1086_CatB4771-TR_AnoNNF_rho1279_5-2</t>
  </si>
  <si>
    <t>IC1081_CatB4708-TR_AnoNNF_rho1279_4-4</t>
  </si>
  <si>
    <t>IC1080_CatB4731-TR_AnoNNF_rho1279_4-5</t>
  </si>
  <si>
    <t>IC1085_CatB4755-TR_AnoNNF_rho1279_5-1</t>
  </si>
  <si>
    <t>48h test, preheated beaker and KOH, pretreated NNF anode</t>
  </si>
  <si>
    <t>IC1094_CatB4562-TR1_AnoNNF_rho1279_4-1</t>
  </si>
  <si>
    <t>Retest of cathode B4562-TR, old pretreating method was used</t>
  </si>
  <si>
    <t>IC1095_CatB4562-TR2_AnoNNF_rho1279_4-2</t>
  </si>
  <si>
    <t xml:space="preserve">
IC1100_CatB4731-TR1_AnoNNF_rho1279_5-1</t>
  </si>
  <si>
    <t>retesting (P2) cathodic cleaned anode, preheated beaker and KOH</t>
  </si>
  <si>
    <t xml:space="preserve">
IC1101_CatB4731-TR2_AnoNNF_rho1279_5-2</t>
  </si>
  <si>
    <t>retesting (P3) cathodic cleaned anode, preheated beaker and KOH</t>
  </si>
  <si>
    <t>IC1102_CatB5049-TR_AnoNNF_rho1279_4-1</t>
  </si>
  <si>
    <t>IC1103_CatB4947-TR_AnoNNF_rho1279_4-2</t>
  </si>
  <si>
    <t>IC1104_CatB4388-TR_AnoNNF_rho1279_4-3</t>
  </si>
  <si>
    <t>IC1105_CatB4445-TR_AnoNNF_rho1279_4-4</t>
  </si>
  <si>
    <t>IC1121_CatB4927-TR_AnoNNF-TR_rho1279_4-1</t>
  </si>
  <si>
    <t>48h test, cathodic cleaning for NNF</t>
  </si>
  <si>
    <t>IC1122_CatB5309-TR_AnoNNF-TR_rho1279_4-2</t>
  </si>
  <si>
    <t>IC1123_CatB5365-TR_AnoNNF_rho1279_4-3</t>
  </si>
  <si>
    <t>IC1124_CatB5345-TR_AnoNNF_rho1279_4-4</t>
  </si>
  <si>
    <t>IC1125_CatB5326-TR_AnoNNF_rho1279_4-5</t>
  </si>
  <si>
    <t>48h test, cathodic cleaning for NNF, brown coupon</t>
  </si>
  <si>
    <t>IC1127_CatB5417-TR_AnoNNF_rho1279_4-6</t>
  </si>
  <si>
    <t>IC1126_CatB4930-TR_AnoNNF_rho1279_5-1</t>
  </si>
  <si>
    <t>IC1128_CatB5393-TR_AnoNNF_rho1279_5-2</t>
  </si>
  <si>
    <t>IC1129_CatB5499-TR_AnoNNF_rho1279_4-1</t>
  </si>
  <si>
    <t>IC1130_CatB5429-TR_AnoNNF_rho1279_4-2</t>
  </si>
  <si>
    <t>IC1131_CatB5525-TR_AnoNNF_rho1279_4-3</t>
  </si>
  <si>
    <t>IC1136_CatB5417-TR-p3_AnoNNF_rho1279_5-2</t>
  </si>
  <si>
    <t>IC1135_CatB5417-TR-p2_AnoNNF_rho1279_5-1</t>
  </si>
  <si>
    <t>IC1139_CatB5385-TR_AnoNNF_rho1279_4-1</t>
  </si>
  <si>
    <t>24h protocol</t>
  </si>
  <si>
    <t>IC1146_CatB5376-TR_AnoNNF_rho1279_5-2</t>
  </si>
  <si>
    <t>IC1142_CatB5651-TR_AnoNNF_rho1279_4-4</t>
  </si>
  <si>
    <t>IC1143_CatB5590-TR_AnoNNF_rho1279_4-5</t>
  </si>
  <si>
    <t>IC1134_CatB5638-TR_AnoNNF_rho1279_4-6</t>
  </si>
  <si>
    <t>Production #7 (wrong IC no., archived under IC1144)</t>
  </si>
  <si>
    <t>IC1150_CatB5671-TR_AnoNNF_rho1281_5-2</t>
  </si>
  <si>
    <t>IC1162_CatB5764-TR_AnoNNF_rho1281_4-1</t>
  </si>
  <si>
    <t>IC1163_CatB5790-TR_AnoNNF_rho1281_4-2</t>
  </si>
  <si>
    <t>IC1164_CatB5872-TR_AnoNNF_rho1281_4-3</t>
  </si>
  <si>
    <t>IC1167_CatB5909-TR_AnoNNF_rho1281_4-6</t>
  </si>
  <si>
    <t>IC1169_CatB5929-TR_AnoNNF_rho1281_5-2</t>
  </si>
  <si>
    <t>Preheated KOH (low T at the start) and beaker. Pretreated NNF anode, 48h test</t>
  </si>
  <si>
    <t>IC1170_CatB5941-TR_AnoNNF_rho1281_4-1</t>
  </si>
  <si>
    <t>IC1171_CatB5764-TR-p2_AnoNNF_rho1281_4-2</t>
  </si>
  <si>
    <t>retest of B5764, p2</t>
  </si>
  <si>
    <t>IC1172_CatB5764-TR-p3_AnoNNF_rho1281_4-3</t>
  </si>
  <si>
    <t>retest of B5764, p3</t>
  </si>
  <si>
    <t>IC1177_CatB5996-TR_AnoNNF_rho1281_5-2</t>
  </si>
  <si>
    <t>IC1178_CatB5965-TR_AnoNNF_rho1281_5-5</t>
  </si>
  <si>
    <t>IC1181_CatB5996-TR-P3_AnoNNF_rho1281_5-5</t>
  </si>
  <si>
    <t>48h retest, preheated beaker and KOH, cathodic cleaned NNF anode</t>
  </si>
  <si>
    <t>IC1180_CatB5996-TR-P2_AnoNNF_rho1281_1-3</t>
  </si>
  <si>
    <t>IC1182_CatB5965-TR-P2_AnoNNF_rho1281_2-5</t>
  </si>
  <si>
    <t>IC1183_CatB5965-TR-P3_AnoNNF_rho1281_2-6</t>
  </si>
  <si>
    <t>IC1184_CatB5929-TR-P2_AnoNNF_rho1281_3-3</t>
  </si>
  <si>
    <t>IC1185_CatB5929-TR-P3_AnoNNF_rho1281_3-7</t>
  </si>
  <si>
    <t>IC1192_CatB5824-TR_AnoNNF_rho1281_5-1</t>
  </si>
  <si>
    <t>IC1193_CatB5852-TR_AnoNNF_rho1281_5-2</t>
  </si>
  <si>
    <t>IC1188_CatB6037-TR_AnoNNF_rho1281_4-3</t>
  </si>
  <si>
    <t>IC1190_CatB5801-TR_AnoNNF_rho1281_4-5</t>
  </si>
  <si>
    <t>IC1195_CatB6107-TR_AnoNNF_rho1281_1-2</t>
  </si>
  <si>
    <t>IC1194_CatB6137-TR_AnoNNF_rho1281_2-3</t>
  </si>
  <si>
    <t>IC1197_CatB6167-TR_AnoNNF_rho1281_4-1</t>
  </si>
  <si>
    <t>pre-heated beaker, cathodic cleaning pre-treatment on Anode - 48hr test</t>
  </si>
  <si>
    <t>IC1199_CatB6137-TR-P3_AnoNNF_rho1281_4-1</t>
  </si>
  <si>
    <t>pre-heated beaker, cathodic cleaning pre-treatment on Anode - 48hr retestest</t>
  </si>
  <si>
    <t>IC1200_CatB6137-TR-P2_AnoNNF_rho1281_4-2</t>
  </si>
  <si>
    <t>IC1201_CatB6185-TR_AnoNNF_rho1281_4-3</t>
  </si>
  <si>
    <t>pre-heated beaker and KOH, cathodic cleaning pre-treatment on Anode - 48hr test</t>
  </si>
  <si>
    <t>IC1202_CatB6292-TR_AnoNNF_rho1281_4-4</t>
  </si>
  <si>
    <t>IC1203_CatB6321-TR_AnoNNF_rho1281_4-5</t>
  </si>
  <si>
    <t>IC1206_CatB6423-TR_AnoNNF_rho1281_5-2</t>
  </si>
  <si>
    <t>Preheated beaker and KOH, cathodic cleaned NNF anode</t>
  </si>
  <si>
    <t>IC1208_CatB6381-TR_AnoNNF_rho1281_1-2</t>
  </si>
  <si>
    <t>Pre-heated Beaker, cathodic cleaning pre-treatment has been done on Anode NNF. 48hr Test</t>
  </si>
  <si>
    <t>IC1209_CatB6505-TR_AnoNNF_rho1281_4-1</t>
  </si>
  <si>
    <t>IC1210_CatB6517-TR_AnoNNF_rho1281_4-2</t>
  </si>
  <si>
    <t>IC1211_CatB6443-TR_AnoNNF_rho1281_4-3</t>
  </si>
  <si>
    <t>IC1211_CatB6566-TR_AnoNNF_rho1281_4-3</t>
  </si>
  <si>
    <t>pre-heated beaker and KOH, cathodic cleaning pre-treatment on Anode - 48hr test; possibly wrong IC no. in archive folder electrode under IC1214</t>
  </si>
  <si>
    <t>Production #7 (possibly wrong IC no. in archive folder electrode under IC1214)</t>
  </si>
  <si>
    <t>IC1215_CatB6544-TR_AnoNNF_rho1281_4-4</t>
  </si>
  <si>
    <t>IC1218_CatB6443-TR-P2_AnoNNF_rho1281_5-1</t>
  </si>
  <si>
    <t>IC1219_CatB6443-TR-P3_AnoNNF_rho1281_5-2</t>
  </si>
  <si>
    <t>IC1220_CatB6566-TR-P2_AnoNNF_rho1281_5-5</t>
  </si>
  <si>
    <t>IC1226_CatB6185-TR-P3_AnoNNF_rho1281_2-3</t>
  </si>
  <si>
    <t>IC1224_CatB6185-TR-P2_AnoNNF_rho1281_2-5</t>
  </si>
  <si>
    <t>IC1223_CatB6722-TR_AnoNNF_rho1281_2-6</t>
  </si>
  <si>
    <t>IC1222_CatB6746-TR_AnoNNF_rho1281_3-3</t>
  </si>
  <si>
    <t>IC1221_CatB6566-TR-P3_AnoNNF_rho1281_3-7</t>
  </si>
  <si>
    <t>IC1227_CatB6245-TR_AnoNNF_rho1281_1-1</t>
  </si>
  <si>
    <t>IC1229_CatB6778-TR_AnoNNF_rho1281_4-2</t>
  </si>
  <si>
    <t>IC1230_CatB6816-TR_AnoNNF_rho1281_4-3</t>
  </si>
  <si>
    <t>IC1231_CatB6839-TR_AnoNNF_rho1281_4-4</t>
  </si>
  <si>
    <t>IC1232_CatB6854-TR_AnoNNF_rho1281_3-6</t>
  </si>
  <si>
    <t>IC1234_CatB6670-TR_AnoNNF_rho1281_5-2</t>
  </si>
  <si>
    <t>IC1238_CatB6884-TR_AnoNNF_rho1281_5-5</t>
  </si>
  <si>
    <t>IC1233_CatB6498-TR_AnoNNF_rho1281_3-7</t>
  </si>
  <si>
    <t>IC1244_CatB6992-TR_AnoNNF_rho1281_4-3</t>
  </si>
  <si>
    <t>IC1245_CatB6574-TR_AnoNNF_rho1281_4-4</t>
  </si>
  <si>
    <t>IC1259_CatB7146-TR_AnoNNF_rho1281_5-1</t>
  </si>
  <si>
    <t>IC1251_CatB7088-TR_AnoNNF_rho1281_4-6</t>
  </si>
  <si>
    <t>IC1255_CatB6498-TR-P2_AnoNNF_rho1281_4-1</t>
  </si>
  <si>
    <t>Testing stopped early due to high potential</t>
  </si>
  <si>
    <t>IC1266_CatB7197-TR_AnoNNF_rho1281_5-1</t>
  </si>
  <si>
    <t>IC1267_CatB7146-TR_AnoNNF_rho1281_5-5</t>
  </si>
  <si>
    <t>IC1272_CatB6498-TR-P3_AnoNNF_rho1281_4-4</t>
  </si>
  <si>
    <t>restest p3</t>
  </si>
  <si>
    <t>IC1274_CatB7088-TR_AnoNNF_rho1281_4-2</t>
  </si>
  <si>
    <t>Retest 7088, pretreated anode, preheated KOH and beaker p2</t>
  </si>
  <si>
    <t>IC1275_CatB7088-TR_AnoNNF_rho1281_4-3</t>
  </si>
  <si>
    <t>Retest 7088, pretreated anode, preheated KOH and beaker p3</t>
  </si>
  <si>
    <t>IC1273_CatB7320-TR_AnoNNF_rho1281_3-7</t>
  </si>
  <si>
    <t>preheated KOH, beaker, pretreated anode</t>
  </si>
  <si>
    <t>IC1279_CatB7427-TR_AnoNNF_rho1281_4-1</t>
  </si>
  <si>
    <t>IC1280_CatB7146-TR-P2_AnoNNF_rho1281_4-4</t>
  </si>
  <si>
    <t>IC1281_CatB7146-TR-P3_AnoNNF_rho1281_4-5</t>
  </si>
  <si>
    <t>IC1286_CatB7490-TR_AnoNNF_rho1281_3-5</t>
  </si>
  <si>
    <t>IC1288_CatB7544-TR_AnoNNF_rho1281_3-7</t>
  </si>
  <si>
    <t>IC1294_CatB7476_AnoNNF_rho1281_4-4</t>
  </si>
  <si>
    <t>Preheated KOH and beaker, Cathodic Cleaned Anode. Cathode took from single and unmarked sample</t>
  </si>
  <si>
    <t>IC1295_CatB7508-TR_AnoNNF_rho1281_4-3</t>
  </si>
  <si>
    <t>Preheated KOH and beaker, Cathodic Cleaned Anode</t>
  </si>
  <si>
    <t>IC1296_CatB7589-TR_AnoNNF_rho1281_4-5</t>
  </si>
  <si>
    <t>pre-heated beaker, cathodic cleaning on Anode</t>
  </si>
  <si>
    <t>IC1297_CatB7476-TR-P2_AnoNNF_rho1281_4-6</t>
  </si>
  <si>
    <t>Pre-heated beaker, cathodic cleaning pre-treatment on Anode, "Re-test"</t>
  </si>
  <si>
    <t>IC1298_CatB7476-TR-P3_AnoNNF_rho1281_5-1</t>
  </si>
  <si>
    <t>IC1304_CatB7588-TR_AnoNNF_rho1281_4-4</t>
  </si>
  <si>
    <t>48h test, preheated KOH and beaker, pretreated electrode.</t>
  </si>
  <si>
    <t>IC1305_CatB7605-TR_AnoNNF_rho1281_5-3</t>
  </si>
  <si>
    <t>IC1306_CatB7634-TR_AnoNNF_rho1281_5-4</t>
  </si>
  <si>
    <t>IC1313_CatB7764-TR_AnoNNF_rho1281_5-3</t>
  </si>
  <si>
    <t>IC1315_CatB7605-TR-P2_AnoNNF_rho1281_4-4</t>
  </si>
  <si>
    <t>IC1316_CatB7588-TR-P2_AnoNNF_rho1281_5-4</t>
  </si>
  <si>
    <t>IC1319_CatB7827-TR_AnoNNF_rho1281_4-1</t>
  </si>
  <si>
    <t>IC1320_Cat7832-TR_AnoNNF_rho1281_4-2</t>
  </si>
  <si>
    <t>IC1323_CatB7902-TR_AnoNNF_rho1281_5-1</t>
  </si>
  <si>
    <t>IC1331_CatB8056-TR_AnoNNF_rho1281_4-6</t>
  </si>
  <si>
    <t>pre-heated beaker, 48hr test, cathodic pretreatment on anode</t>
  </si>
  <si>
    <t>IC1330_CatB8081-TR_AnoNNF_rho1281_4-5</t>
  </si>
  <si>
    <t>IC1335_CatB7902-TR-P2_AnoNNF_rho1281_4-4</t>
  </si>
  <si>
    <t>IC1336_CatB7902-TR-P3_AnoNNF_rho1281_5-1</t>
  </si>
  <si>
    <t>IC1337_CatB8138-TR_AnoNNF_rho1281_4-1</t>
  </si>
  <si>
    <t>48h test, preheated beaker, KOH, pretreated electrode. Running at 1.8</t>
  </si>
  <si>
    <t>IC1338_CatB8111-TR_AnoNNF_rho1281_4-2</t>
  </si>
  <si>
    <r>
      <rPr>
        <b/>
        <sz val="11"/>
        <color theme="1"/>
        <rFont val="Calibri"/>
        <family val="2"/>
        <scheme val="minor"/>
      </rPr>
      <t>It was used as aged sample for degradation study in half cells</t>
    </r>
    <r>
      <rPr>
        <sz val="11"/>
        <color theme="1"/>
        <rFont val="Calibri"/>
        <family val="2"/>
        <scheme val="minor"/>
      </rPr>
      <t>. 48h test, preheated beaker, KOH, pretreated electrode</t>
    </r>
  </si>
  <si>
    <t>IC1339_CatB8194-TR_AnoNNF_rho1281_4-3</t>
  </si>
  <si>
    <r>
      <rPr>
        <b/>
        <sz val="11"/>
        <color theme="1"/>
        <rFont val="Calibri"/>
        <family val="2"/>
        <scheme val="minor"/>
      </rPr>
      <t>Cathode consumed by XRD analysis with Rasmus (sample 1)</t>
    </r>
    <r>
      <rPr>
        <sz val="11"/>
        <color theme="1"/>
        <rFont val="Calibri"/>
        <family val="2"/>
        <scheme val="minor"/>
      </rPr>
      <t xml:space="preserve"> 48h test, preheated beaker, KOH, pretreated electrode</t>
    </r>
  </si>
  <si>
    <t>IC1352_CatB8138-TR-P2_AnoNNF_rho1281_4-2</t>
  </si>
  <si>
    <t>IC1355_CatB8111-TR-P2_AnoNNF_rho1281_4-4</t>
  </si>
  <si>
    <t>Test on the whole electrode - TR, stopped due to short circuit and irrelevance, because test was already executed.</t>
  </si>
  <si>
    <t>IC1353_CatB8312-TR_AnoNNF_rho1281_4-1</t>
  </si>
  <si>
    <t>Topr right position of the electrode with white spots</t>
  </si>
  <si>
    <t>IC1354_CatB8312-CL_AnoNNF_rho1281_4-3</t>
  </si>
  <si>
    <t>center left position of the electrode with white spots</t>
  </si>
  <si>
    <t>IC1356_CatB8111-TL_AnoNNF_rho1281_4-5</t>
  </si>
  <si>
    <t>Test on the whole electrode - TL</t>
  </si>
  <si>
    <t>IC1357_CatB8111-C_AnoNNF_rho1281_5-1</t>
  </si>
  <si>
    <t>Test on the whole electrode - C</t>
  </si>
  <si>
    <t>IC1358_CatB8111-BR_AnoNNF_rho1281_5-3</t>
  </si>
  <si>
    <t>Test on the whole electrode - BR</t>
  </si>
  <si>
    <t>IC1359_CatB8111-BL_AnoNNF_rho1281_5-4</t>
  </si>
  <si>
    <t>Test on the whole electrode - BL</t>
  </si>
  <si>
    <t>IC1365_CatB8499-TR_AnoNNF_rho1281_4-5</t>
  </si>
  <si>
    <t>IC1366_CatB8565-TR_AnoNNF_rho1281_4-6</t>
  </si>
  <si>
    <t>IC1367_CatB8345-TR_AnoNNF_rho1281_5-1</t>
  </si>
  <si>
    <t>IC1368_CatB8381-TR_AnoNNF_rho1281_5-3</t>
  </si>
  <si>
    <t>IC1369_CatB36-TR_AnoNNF_rho1281_4-1</t>
  </si>
  <si>
    <t>IC1375_CatB8724-TR_AnoNNF_rho1281_5-1</t>
  </si>
  <si>
    <t>IC1382_CatB8754-TR_AnoNNF_rho1281_5-4</t>
  </si>
  <si>
    <t>IC1388_CatB8824-TR_AnoNNF_rho1281_4-1</t>
  </si>
  <si>
    <t>IC1383_CatB8796-TR_AnoNNF_rho1281_1-3</t>
  </si>
  <si>
    <t>IC1394_CatB8907-TR_AnoNNF_rho1281_4-1</t>
  </si>
  <si>
    <t>IC1395_CatB8938-TR_AnoNNF_rho1281_4-2</t>
  </si>
  <si>
    <t>IC1396_CatB9057-TR_AnoNNF_rho1281_4-3</t>
  </si>
  <si>
    <t>IC1408_CatB9141-TR_AnoNNF_rho1281_4-3</t>
  </si>
  <si>
    <t>IC1406_CatB9088-TR_AnoNNF_rho1281_5-1</t>
  </si>
  <si>
    <t>IC1410_CatB9181-TR_AnoNNF_rho1281_4-1</t>
  </si>
  <si>
    <t>IC1411_CatB9221-TR_AnoNNF_rho1281_4-5</t>
  </si>
  <si>
    <t>IC1416_CatB9309-TR_AnoNNF_rho1281_4-2</t>
  </si>
  <si>
    <t>IC1417_CatB9275-TR_AnoNNF_rho1281_4-3</t>
  </si>
  <si>
    <t>IC1418_CatB9255-TR_AnoNNF_rho1281_4-4</t>
  </si>
  <si>
    <t>IC1421_CatB9436-TR_AnoNNF_rho1281_5-1</t>
  </si>
  <si>
    <t>IC1425_CatB9460-TR_AnoNNF_rho1281_4-5</t>
  </si>
  <si>
    <t>IC1426_CatB9141-TR-P2_AnoNNF_rho1281_4-1</t>
  </si>
  <si>
    <t>IC1427_CatB9057-TR-P2_AnoNNF_rho1281_4-2</t>
  </si>
  <si>
    <t>IC1429_CatB9504-TR_AnoNNF_rho1281_4-4</t>
  </si>
  <si>
    <t>IC1430_CatB9481-TR_AnoNNF_rho1281_4-6</t>
  </si>
  <si>
    <t>IC1438_CatB9602-TR_AnoNNF_rho1281_4-3</t>
  </si>
  <si>
    <t>Test stopped after the electrode turned out to be cracked in the SEM analysis</t>
  </si>
  <si>
    <t>IC1436_CatB9566-TR_AnoNNF_rho1281_4-5</t>
  </si>
  <si>
    <t>IC1431_CatB9542-TR_AnoNNF_rho1281_5-1</t>
  </si>
  <si>
    <t>IC1432_CatB9346-TR_AnoNNF_rho1281_5-3</t>
  </si>
  <si>
    <t>IC1437_CatB9623-TR_AnoNNF_rho1281_4-2</t>
  </si>
  <si>
    <t>IC1445_CatB9749-TR_AnoNNF_rho1281_4-1</t>
  </si>
  <si>
    <t>No water refilling system on during IC. Low solution level at the end of test</t>
  </si>
  <si>
    <t>IC1446_CatB9722-TR_AnoNNF_rho1281_4-2</t>
  </si>
  <si>
    <t>IC1447_CatB9570-TR_AnoNNF_rho1281_4-3</t>
  </si>
  <si>
    <t>IC1393_CatB8977-TR_AnoNNF_rho1281_5-3</t>
  </si>
  <si>
    <t>IC1390_CatB8860-TR_AnoNNF_rho1281_4-5</t>
  </si>
  <si>
    <t>IC1453_CatA3350-TR_AnoNNF_rho1281_3-2</t>
  </si>
  <si>
    <t>IC1456_CatB9941-TR_AnoNNF_rho1281_4-1</t>
  </si>
  <si>
    <t>IC1459_CatB9911-TR_AnoNNF_rho1281_4-4</t>
  </si>
  <si>
    <t>IC1466_CatB10094-TR_AnoNNF_rho1281_4-1</t>
  </si>
  <si>
    <t>IC1467_CatB10066-TR_AnoNNF_rho1281_4-2</t>
  </si>
  <si>
    <t>IC1465_CatB9570-TR-P2_AnoNNF_rho1281_4-4</t>
  </si>
  <si>
    <t>IC1464_CatB9749-TR-P2_AnoNNF_rho1281_5-1</t>
  </si>
  <si>
    <t>IC1454_CatB9824-TR_AnoNNF_rho1281_4-5</t>
  </si>
  <si>
    <t xml:space="preserve">Oniel </t>
  </si>
  <si>
    <t>168 h test</t>
  </si>
  <si>
    <t>IC1455_CatB9850-TR_AnoNNF_rho1281_4-6</t>
  </si>
  <si>
    <t>IC1472_CatB9754-TR_AnoNNF_rho1281_1-8</t>
  </si>
  <si>
    <t>IC1473_CatB9762-TR_AnoNNF_rho1281_2-2</t>
  </si>
  <si>
    <t>IC1475_CatB10129-TR_AnoNNF_rho1281_5-3</t>
  </si>
  <si>
    <t>IC1481_CatB10280-TR_AnoNNF_rho1281_4-4</t>
  </si>
  <si>
    <t>IC1482_CatB10224-TR_AnoNNF_rho1281_5-1</t>
  </si>
  <si>
    <t>IC1483_CatB10066-TR-P2_AnoNNF_rho1281_4-5</t>
  </si>
  <si>
    <t>IC1488_CatB10338-TR_AnoNNF_rho1281_4-1</t>
  </si>
  <si>
    <t>IC1490_CatB10362-TR_AnoNNF_rho1281_5-3</t>
  </si>
  <si>
    <t>IC1495_CatB10430-TR_AnoNNF_rho1281_4-5</t>
  </si>
  <si>
    <t>IC1494_CatB10449-TR_AnoNNF_rho1281_4-6</t>
  </si>
  <si>
    <t>IC1498_CatB10532-TR_AnoNNF_rho1281_4-1</t>
  </si>
  <si>
    <t>IC1499_CatB10504-TR_AnoNNF_rho1281_4-2</t>
  </si>
  <si>
    <t>IC1500_CatB10609-TR_AnoNNF_rho1281_5-1</t>
  </si>
  <si>
    <t>IC1501_CatB10582-TR_AnoNNF_rho1281_5-3</t>
  </si>
  <si>
    <t>IC1503_CatB10684-TR_AnoNNF_rho1281_4-3</t>
  </si>
  <si>
    <t>IC1504_CatB10726-TR_AnoNNF_rho1281_4-5</t>
  </si>
  <si>
    <t>IC1509_CatB10889-TR_AnoNNF_rho1281_4-2</t>
  </si>
  <si>
    <t>IC1520_CatB10684-TR-P2_AnoNNF_rho1282_4-4</t>
  </si>
  <si>
    <t>P2 retest (only one retest assembled due to limited space)</t>
  </si>
  <si>
    <t>IC1521_CatB10790-TR_AnoNNF_rho1282_4-5</t>
  </si>
  <si>
    <t>Didn't go through SEM-EDX analysis prior to IC</t>
  </si>
  <si>
    <t>IC1539_CatB11153-TR_AnoNNF_rho1282_4-2_switched_polarity</t>
  </si>
  <si>
    <t>B11153 originally used as an anode but was poorly performing. Hence, the polarity was switched. / The test was stopped after 19 hours and continued with polarity switched back as IC1543</t>
  </si>
  <si>
    <t>IC1540_CatB10755-TR_AnoNNF_rho1282_4-3_switched_polarity</t>
  </si>
  <si>
    <t>B10755 originally used as an anode but was poorly performing. Hence, the polarity was switched. / The test was stopped after 19 hours and continued with polarity switched back as IC1544</t>
  </si>
  <si>
    <t>IC1525_CatB11108-TR_AnoNNF_rho1282_4-1</t>
  </si>
  <si>
    <t>IC1541_CatB11223-TR_AnoNNF_rho1282_4-5_switched_polarity</t>
  </si>
  <si>
    <t>B11223 originally used as an anode but was poorly performing. Hence, the polarity was switched.</t>
  </si>
  <si>
    <t>IC1542_CatB11257-TR_AnoNNF_rho1282_5-3_switched_polarity</t>
  </si>
  <si>
    <t>B11257 originally used as an anode but was poorly performing. Hence, the polarity was switched.</t>
  </si>
  <si>
    <t>IC1547_CatB11308-TR_AnoNNF_rho1282_4-4</t>
  </si>
  <si>
    <t>IC1553_CatB11353-TR_AnoNNF_rho1282_4-5</t>
  </si>
  <si>
    <t>IC1554_CatB10760-TR_AnoNNF_rho1282_4-6</t>
  </si>
  <si>
    <t>IC1555_CatB11395-TR_AnoNNF_rho1282_5-1</t>
  </si>
  <si>
    <t>IC1556_CatB11430-TR_AnoNNF_rho1282_5-3</t>
  </si>
  <si>
    <t>IC1561_CatB11434-TR_AnoNNF_rho1282_2-3</t>
  </si>
  <si>
    <t>IC1563_CatB11491-TR_AnoNNF_rho1282_3-6</t>
  </si>
  <si>
    <t>IC1567_CatB11206-TR_AnoNNF_rho1282_4-4</t>
  </si>
  <si>
    <t>IC1568_CatB11251-TR_AnoNNF_rho1282_4-5</t>
  </si>
  <si>
    <t>IC1574_CatB11544-TR_AnoNNF_rho1282_4-3</t>
  </si>
  <si>
    <t>IC1575_CatB11582-TR_AnoNNF_rho1282_4-6</t>
  </si>
  <si>
    <t>IC1576_CatB11622-TR_AnoNNF_rho1282_5-1</t>
  </si>
  <si>
    <t>IC1605_CatB1262-TR-P2_AnoNNF_rho1282_5-1</t>
  </si>
  <si>
    <t>IC1625_CatB757-BR-P9_AnoNNF_rho1282_1.3ppm_Fe_3-7</t>
  </si>
  <si>
    <t>IC1626_CatB10760-TR-P3_AnoNNF_rho1282_1.3ppm_Fe_4-1</t>
  </si>
  <si>
    <t>IC1629_CatB10684-TR-P3_AnoNNF_rho1282_1.3ppm_Fe_6-1</t>
  </si>
  <si>
    <t>IC1630_CatB11622-TR-P2_AnoNNF_rho1282_7-1</t>
  </si>
  <si>
    <t>IC1631_CatB11251-TR-P2_AnoNNF_rho1282_7-2</t>
  </si>
  <si>
    <t>IC1632_CatB11491-TR-P2_AnoNNF_rho1282_7-3</t>
  </si>
  <si>
    <t>IC1636_CatB11395-TR-P2_AnoNNF_rho1282_6-7</t>
  </si>
  <si>
    <t>IC1637_CatB11582-TR-P2_AnoNNF_rho1282_6-6</t>
  </si>
  <si>
    <t>IC1638_CatB11434-TR-P3_AnoNNF_rho1282_6-3</t>
  </si>
  <si>
    <t>IC1646_CatB11660-TR-P2_AnoNNF_rho1282_1.3ppm_Fe_4-5</t>
  </si>
  <si>
    <t>48h test, 1.3 ppm Fe added</t>
  </si>
  <si>
    <t>IC1648_CatB11434-TR-P3_AnoNNF_rho1282_1.3ppm_Fe_4-1</t>
  </si>
  <si>
    <t>IC1649_CatB11908-TR_AnoNNF_rho1282_1.3ppm_Fe_4-2</t>
  </si>
  <si>
    <t>IC1650_CatB11537-TR-P2_AnoNNF_rho1282_1.3ppm_Fe_4-3</t>
  </si>
  <si>
    <t>re-test of IC1642, which was short-circuited with no data saved (both archived in Production #10)</t>
  </si>
  <si>
    <t>IC1651_CatB11848-TR_AnoNNF_rho1282_1.3ppm_Fe_4-4</t>
  </si>
  <si>
    <t>IC1652_CatB12015-TR_AnoNNF_rho1282_1.3ppm_Fe_4-5</t>
  </si>
  <si>
    <t>IC1289_CatB757-BR-P1_AnoNNF_rho1281_2-5</t>
  </si>
  <si>
    <r>
      <rPr>
        <b/>
        <sz val="11"/>
        <color theme="1"/>
        <rFont val="Calibri"/>
        <family val="2"/>
        <scheme val="minor"/>
      </rPr>
      <t xml:space="preserve">Used for ECSA measurement with Half cell + XRD. </t>
    </r>
    <r>
      <rPr>
        <sz val="11"/>
        <color theme="1"/>
        <rFont val="Calibri"/>
        <family val="2"/>
        <scheme val="minor"/>
      </rPr>
      <t>3000h Test, preheated beaker, preheated KOH, cathodic cleaned NNF anode; *the beaker leaked on 15/04/2026 and the new electrolyte has density 1282 g/mL (changed after around 2012 hours)*; Added 1.5ppm iron after 17/04/2026 15:38</t>
    </r>
  </si>
  <si>
    <t>IC1660_CatB12074-TR-P2_AnoNNF_rho1282_1.3ppm_Fe_4-1</t>
  </si>
  <si>
    <t>IC1661_CatB12124-TR_AnoNNF_rho1282_1.3ppm_Fe_4-2</t>
  </si>
  <si>
    <t>IC1662_CatB12149-TR_AnoNNF_rho1282_1.3ppm_Fe_4-3</t>
  </si>
  <si>
    <t>IC1665_CatB11857-TR_AnoNNF_rho1282_1.3ppm_Fe_4-4</t>
  </si>
  <si>
    <t>IC1677_CatB12318-TR_AnoNNF_rho1282_1.3ppm_Fe_4-1</t>
  </si>
  <si>
    <t>IC1674_CatB12231-TR_AnoNNF_rho1282_1.3ppm_Fe_6-6</t>
  </si>
  <si>
    <t>IC1673_CatB12048-TR_AnoNNF_rho1282_1.3ppm_Fe_6-7</t>
  </si>
  <si>
    <t>IC1690_CatB12548-TR_AnoNNF_rho1282_1.3ppm_Fe_6-3</t>
  </si>
  <si>
    <t>IC1685_CatB12526-TR_AnoNNF_rho1282_1.3ppm_Fe_6-4</t>
  </si>
  <si>
    <t>IC1689_CatB12452-TR_AnoNNF_rho1282_1.3ppm_Fe_7-6</t>
  </si>
  <si>
    <t>IC1687_CatB12375-TR_AnoNNF_rho1282_1.3ppm_Fe_7-8</t>
  </si>
  <si>
    <t>IC1692_CatB12583-TR_AnoNNF_rho1282_1.3ppm_Fe_4-1</t>
  </si>
  <si>
    <t>IC1720_CatB12910-TR_AnoNNF_rho1282_1.3ppm_Fe_4-1</t>
  </si>
  <si>
    <t>IC1721_CatB12935-TR_AnoNNF_rho1282_1.3ppm_Fe_4-2</t>
  </si>
  <si>
    <t>IC1722_CatB12739-TR_AnoNNF_rho1282_1.3ppm_Fe_4-3</t>
  </si>
  <si>
    <t>IC1723_CatB12848-TR_AnoNNF_rho1282_1.3ppm_Fe_4-4</t>
  </si>
  <si>
    <t>IC1724_CatB12806-TR_AnoNNF_rho1282_1.3ppm_Fe_4-5</t>
  </si>
  <si>
    <t>IC1725_CatB13025-TR_AnoNNF_rho1282_1.3ppm_Fe_4-1</t>
  </si>
  <si>
    <t>IC1726_CatB13330-TR_AnoNNF_rho1282_1.3ppm_Fe_4-2</t>
  </si>
  <si>
    <t>IC1727_CatB13370-TR_AnoNNF_rho1282_1.3ppm_Fe_4-3</t>
  </si>
  <si>
    <t>IC1728_CatB13227-TR_AnoNNF_rho1282_1.3ppm_Fe_4-4</t>
  </si>
  <si>
    <t>IC1729_CatB13123-TR_AnoNNF_rho1282_1.3ppm_Fe_4-5</t>
  </si>
  <si>
    <t>IC1730_CatB13608-TR_AnoNNF_rho1282_1.3ppm_Fe_4-1</t>
  </si>
  <si>
    <t>IC1731_CatB13625-TR_AnoNNF_rho1282_1.3ppm_Fe_4-2</t>
  </si>
  <si>
    <t>IC1732_CatB13396-TR_AnoNNF_rho1282_1.3ppm_Fe_4-3</t>
  </si>
  <si>
    <t>IC1740_CatB13277-TR_AnoNNF_rho1282_1.3ppm_Fe_6-5</t>
  </si>
  <si>
    <t>IC1760_CatB13704-TR_AnoNNF_rho1282_1.3ppm_Fe_4-1</t>
  </si>
  <si>
    <t>IC1761_CatB13710-TR_AnoNNF_rho1282_1.3ppm_Fe_4-1</t>
  </si>
  <si>
    <t>IC1775_CatB13710-TR_AnoNNF_rho1282_1.3ppm_Fe_4-2</t>
  </si>
  <si>
    <t>IC1776_CatB13712-TR_AnoNNF_rho1282_1.3ppm_Fe_5-1</t>
  </si>
  <si>
    <t>IC1884_CatB13881-TR_AnoNNF_rho1282_1.3ppm_Fe_5-3</t>
  </si>
  <si>
    <t>168hr test stopped early because no iron was added</t>
  </si>
  <si>
    <t>IC1880_CatB13862-TR_AnoNNF_rho1282_1.3ppm_Fe_4-5</t>
  </si>
  <si>
    <t xml:space="preserve">168hr test </t>
  </si>
  <si>
    <t>IC1898_CatB13902-TR_AnoNNF_rho1282_1.3ppm_Fe_2-6</t>
  </si>
  <si>
    <t>IC1881_CatB13863-TR_AnoNNF_rho1282_1.3ppm_Fe_4-6</t>
  </si>
  <si>
    <t>IC1882_CatB13866-TR_AnoNNF_rho1282_1.3ppm_Fe_5-1</t>
  </si>
  <si>
    <t>IC1892_CatB13892-TR_AnoNNF_rho1282_1.3ppm_Fe_6-4</t>
  </si>
  <si>
    <t>IC1893_CatB13893-TR_AnoNNF_rho1282_1.3ppm_Fe_6-5</t>
  </si>
  <si>
    <t>IC1894_CatB13894-TR_AnoNNF_rho1282_1.3ppm_Fe_6-6</t>
  </si>
  <si>
    <t>SEM shows unknown lumps of potentially carbon, 48h test</t>
  </si>
  <si>
    <t>IC1895_CatB13895-TR_AnoNNF_rho1282_1.3ppm_Fe_6-7</t>
  </si>
  <si>
    <t>IC1896_CatB13896-TR_AnoNNF_rho1282_1.3ppm_Fe_6-8</t>
  </si>
  <si>
    <t>IC1897_CatB13900-TR_AnoNNF_rho1282_1.3ppm_Fe_7-1</t>
  </si>
  <si>
    <t>Cracks. Needs post mortem, 48h test</t>
  </si>
  <si>
    <t>IC1886_CatB13882-TR_AnoNNF_rho1282_1.3ppm_Fe_4-1</t>
  </si>
  <si>
    <t>IC1887_CatB13883-TR_AnoNNF_rho1282_1.3ppm_Fe_4-2</t>
  </si>
  <si>
    <t>IC1888_CatB13887-TR_AnoNNF_rho1282_1.3ppm_Fe_4-3</t>
  </si>
  <si>
    <t>IC1889_CatB13888-TR_AnoNNF_rho1282_1.3ppm_Fe_4-4</t>
  </si>
  <si>
    <t>IC1890_CatB13891-TR_AnoNNF_rho1282_1.3ppm_Fe_2-5</t>
  </si>
  <si>
    <t>IC1808_CatGen4.1.45B3_AnoNNF_rho1282_1.3ppm_Fe_2-8</t>
  </si>
  <si>
    <t>QC_IC_3000h_v3</t>
  </si>
  <si>
    <t>QC_IC_3000h_v3, Cathode: Gen4.1.45B3, Anode: NNF</t>
  </si>
  <si>
    <t>Gen 4 Co</t>
  </si>
  <si>
    <t>IC1809_CatGen4.1.45B3_AnoNNF_rho1282_1.3ppm_Fe_3-6</t>
  </si>
  <si>
    <t>QC_IC_3000h.v3, Cathode: 4.1.45B3, Anode: NNF</t>
  </si>
  <si>
    <t>IC1899_CatB13895-BL_AnoNNF_rho1282_1.3ppm_Fe_6-4</t>
  </si>
  <si>
    <t>48h test - The electrode is an anode run as a cathode.</t>
  </si>
  <si>
    <t>IC1900_CatB13895-TR_AnoNNF_rho1282_1.3ppm_Fe_6-5</t>
  </si>
  <si>
    <t>IC1901_CatB13900-BL_AnoNNF_rho1282_1.3ppm_Fe_6-6</t>
  </si>
  <si>
    <t>48 h test</t>
  </si>
  <si>
    <t>IC1902_CatB13900-TR_AnoNNF_rho1282_1.3ppm_Fe_6-7</t>
  </si>
  <si>
    <t>IC1903_CatB13917-TR_AnoNNF_rho1282_1.3ppm_Fe_6-8</t>
  </si>
  <si>
    <t>IC1904_CatB13913-TR_AnoNNF_rho1282_1.3ppm_Fe_7-1</t>
  </si>
  <si>
    <t>IC1905_CatB13925-TR_AnoNNF_rho1282_1.3ppm_Fe_4-5</t>
  </si>
  <si>
    <t>IC1906_CatB13926-TR_AnoNNF_rho1282_1.3ppm_Fe_4-6</t>
  </si>
  <si>
    <t>IC1907_CatB13945-TR_AnoNNF_rho1282_1.3ppm_Fe_5-1</t>
  </si>
  <si>
    <t>IC1908_CatB13951-TR_AnoNNF_rho1282_1.3ppm_Fe_7-2</t>
  </si>
  <si>
    <t>IC1891_CatB13881-TR_AnoNNF_rho1282_1.3ppm_Fe_5-3</t>
  </si>
  <si>
    <t>168hr test, restart of IC1884</t>
  </si>
  <si>
    <t>IC1912_CatB13953-TR_AnoNNF_rho1282_1.3ppm_Fe_7-7</t>
  </si>
  <si>
    <t>IC1911_CatB13967-TR_AnoNNF_rho1282_1.3ppm_Fe_7-8</t>
  </si>
  <si>
    <t>IC1915_CatB13977-TR_AnoNNF_rho1282_1.3ppm_Fe_4-1</t>
  </si>
  <si>
    <t>IC1916_CatB13980-TR_AnoNNF_rho1282_1.3ppm_Fe_4-2</t>
  </si>
  <si>
    <t>IC1917_CatB13994-TR_AnoNNF_rho1282_1.3ppm_Fe_4-3</t>
  </si>
  <si>
    <t>IC1924_CatB13951-BL_AnoNNF_rho1282_1.3ppm_Fe_4-4</t>
  </si>
  <si>
    <t>48 h, duplicate of IC1925</t>
  </si>
  <si>
    <t>IC1925_CatB13951-BL_AnoNNF_rho1282_1.3ppm_Fe_4-5</t>
  </si>
  <si>
    <t>48 h, duplicate of IC1924</t>
  </si>
  <si>
    <t>IC1926_CatB13951-TR_AnoNNF_rho1282_1.3ppm_Fe_4-6</t>
  </si>
  <si>
    <t>48 h, duplicate of IC1927; reassembled because Ni backplate broke before starting the test</t>
  </si>
  <si>
    <t>IC1927_CatB13951-TR_AnoNNF_rho1282_1.3ppm_Fe_5-1</t>
  </si>
  <si>
    <t>48h, duplicate of IC1926</t>
  </si>
  <si>
    <t>IC1918_CatB13951-C_AnoNNF_rho1282_1.3ppm_Fe_6-4</t>
  </si>
  <si>
    <t>duplicate of IC1919</t>
  </si>
  <si>
    <t>IC1919_CatB13951-C_AnoNNF_rho1282_1.3ppm_Fe_6-5</t>
  </si>
  <si>
    <t>Duplicate of IC1918</t>
  </si>
  <si>
    <t>IC1920_CatB13951-TL_AnoNNF_rho1282_1.3ppm_Fe_6-6</t>
  </si>
  <si>
    <t>Duplicate of IC1921</t>
  </si>
  <si>
    <t>IC1921_CatB13951-TL_AnoNNF_rho1282_1.3ppm_Fe_6-7</t>
  </si>
  <si>
    <t>duplicate of IC1920</t>
  </si>
  <si>
    <t>IC1922_CatB13951-BR_AnoNNF_rho1282_1.3ppm_Fe_6-8</t>
  </si>
  <si>
    <t>Duplicate of IC1923</t>
  </si>
  <si>
    <t>IC1923_CatB13951-BR_AnoNNF_rho1282_1.3ppm_Fe_7-1</t>
  </si>
  <si>
    <t>Duplicate of IC1922</t>
  </si>
  <si>
    <t>IC1933_CatB14016-TR_AnoNNF_rho1282_1.3ppm_Fe_T_7-2</t>
  </si>
  <si>
    <t>Operator test, assembled by Tosia, 48h, new iron solution</t>
  </si>
  <si>
    <t>IC1932_CatB14016-TR_AnoNNF_rho1282_1.3ppm_Fe_T_5-3</t>
  </si>
  <si>
    <t>IC1930_CatB14016-TR_AnoNNF_rho1282_1.3ppm_Fe_T_2-3</t>
  </si>
  <si>
    <t>IC1935_CatB14016-TR_AnoNNF_rho1282_1.3ppm_Fe_O_7-7</t>
  </si>
  <si>
    <t>Operator test, assembled by Ola, 48h, new iron solution</t>
  </si>
  <si>
    <t>IC1934_CatB14016-TR_AnoNNF_rho1282_1.3ppm_Fe_O_7-8</t>
  </si>
  <si>
    <t>IC1931_CatB14016-TR_AnoNNF_rho1282_1.3ppm_Fe_O_2-5</t>
  </si>
  <si>
    <t>IC1929_CatB14002-TR_AnoNNF_rho1282_1.3ppm_Fe_1-6</t>
  </si>
  <si>
    <t>new iron solution</t>
  </si>
  <si>
    <t>IC1928_CatB13999-TR_AnoNNF_rho1282_1.3ppm_Fe_1-5</t>
  </si>
  <si>
    <t>IC1936_CatB14016-TR_AnoNNF_rho1282_1.3ppm_Fe_Oniel_4-1</t>
  </si>
  <si>
    <t>Operator test - Oniel</t>
  </si>
  <si>
    <t>IC1937_CatB14016-TR_AnoNNF_rho1282_1.3ppm_Fe_Oniel_4-2</t>
  </si>
  <si>
    <t>IC1938_CatB14016-TR_AnoNNF_rho1282_1.3ppm_Fe_Oniel_4-3</t>
  </si>
  <si>
    <t>IC1944_CatB14037-TR_AnoNNF_rho1282_1.3ppm_Fe_6-4</t>
  </si>
  <si>
    <t>IC1945_CatB14063-TR_AnoNNF_rho1282_1.3ppm_Fe_6-5</t>
  </si>
  <si>
    <t>IC1939_CatB14033-TR_AnoNNF_rho1282_1.3ppm_Fe_4-4</t>
  </si>
  <si>
    <t>IC1940_CatB14023-TR_AnoNNF_rho1282_1.3ppm_Fe_4-5</t>
  </si>
  <si>
    <t>IC1941_CatB14020-TR_AnoNNF_rho1282_1.3ppm_Fe_4-6</t>
  </si>
  <si>
    <t>IC1942_CatB14056-TR_AnoNNF_rho1282_1.3ppm_Fe_5-1</t>
  </si>
  <si>
    <t>IC1943_CatB14050-TR_AnoNNF_rho1282_1.3ppm_Fe_5-3</t>
  </si>
  <si>
    <t>IC1947_CatB14076-TR_AnoNNF_rho1282_1.3ppm_Fe_2-6</t>
  </si>
  <si>
    <t>IC1948_CatB14081-TR_AnoNNF_rho1282_1.3ppm_Fe_2-8</t>
  </si>
  <si>
    <t>IC1946_CatB14071-TR_AnoNNF_rho1282_1.3ppm_Fe_3-6</t>
  </si>
  <si>
    <t>IC1959_CatB14087-TR_AnoNNF_rho1282_1.3ppm_Fe_4-1</t>
  </si>
  <si>
    <t>IC1960_CatB14088-TR_AnoNNF_rho1282_1.3ppm_Fe_4-2</t>
  </si>
  <si>
    <t>IC1964_CatB14140-TR_AnoNNF_rho1282_1.3ppm_Fe_4-4</t>
  </si>
  <si>
    <t>IC1965_CatB14141-TR_AnoNNF_rho1282_1.3ppm_Fe_4-2</t>
  </si>
  <si>
    <t>IC1966_CatB14151-TR_AnoNNF_rho1282_1.3ppm_Fe_4-3</t>
  </si>
  <si>
    <t>IC0639_CatNNF_AnoNNF_rho1279_AUX1NaN_AUX2NaN_4-4_accelerated</t>
  </si>
  <si>
    <t>HPro_AST_1</t>
  </si>
  <si>
    <t>IC0640_CatC19_AnoNNF_rho1279_AUX1NaN_AUX2NaN_5-1_accelerated</t>
  </si>
  <si>
    <t>IC0656_CatNNF_AnoNNF_rho1279_AUX1NaN_AUX2NaN_4-4_accelerated</t>
  </si>
  <si>
    <t>HPro_AST_2</t>
  </si>
  <si>
    <t xml:space="preserve">LOST DATA, The file is stopped after 42,5 hours and was probably saved over with a new filename </t>
  </si>
  <si>
    <t>IC0657_CatC19_AnoNNF_rho1279_AUX1NaN_AUX2NaN_5-1_accelerated</t>
  </si>
  <si>
    <t>IC0656_CatNNF_AnoNNF_rho1279_AUX1NaN_AUX2NaN_4-4_accelerated_v2</t>
  </si>
  <si>
    <t>HPro_AST_3</t>
  </si>
  <si>
    <t>IC0657_CatC19_AnoNNF_rho1279_AUX1NaN_AUX2NaN_5-1_accelerated_v2</t>
  </si>
  <si>
    <t>IC1538_CatNNF_AnoNNF_rho1282_6-6</t>
  </si>
  <si>
    <t>HPro_AST_v4.xml</t>
  </si>
  <si>
    <t>IC1577_CatB10889-TR_AnoB10882-TR_rho1282_3-7</t>
  </si>
  <si>
    <t>Initial accelerated stress test</t>
  </si>
  <si>
    <t>IC1804_CatGen4.1.60_AnoGen2.3_rho1282_1.3ppm_Fe_RC_7-1</t>
  </si>
  <si>
    <t>Markus</t>
  </si>
  <si>
    <t>_START_STOP_IC_168h_v2_RC.xml</t>
  </si>
  <si>
    <t>Reverse current. B1 for 4.1.60</t>
  </si>
  <si>
    <t>IC1805_CatGen4.1.60_AnoGen2.3_rho1282_1.3ppm_Fe_RC_7-2</t>
  </si>
  <si>
    <t>IC1825_CatDNC_AnoDNA_rho1279_CRoperation_after5000hoursCC_6-5_part2</t>
  </si>
  <si>
    <t>Morten</t>
  </si>
  <si>
    <t>Start test CR_onoff</t>
  </si>
  <si>
    <t>Reverse current</t>
  </si>
  <si>
    <t>IC0350_CatNNF-AnoNNF-rho1276_AUX1Cat_AUX2Ano-1-5</t>
  </si>
  <si>
    <t>Mathias</t>
  </si>
  <si>
    <t>QnD_RT_6h_v1</t>
  </si>
  <si>
    <t>Heating plate was hot when experiment began despite KOH being replaced by cooler KOH. Heating was turned off, initial temperature of cell was 38 degC.</t>
  </si>
  <si>
    <t>H2 foam (white binder)</t>
  </si>
  <si>
    <t>IC0350_CatNNF-AnoNNF-rho1276_AUX1Cat_AUX2Ano-1-5.png</t>
  </si>
  <si>
    <t>IC0351_CatNNF-AnoNNF-rho1276_AUX1Cat_AUX2Ano-2-1</t>
  </si>
  <si>
    <t>IC0352_CatNNF-AnoNNF-rho1276_AUX1Cat_AUX2Ano-3-8</t>
  </si>
  <si>
    <t>IC0359_CatNNF_AnoANF_rho1276_AUX1Cat_AUX2Ano-3-6</t>
  </si>
  <si>
    <t>QnD_RT_6h_v2</t>
  </si>
  <si>
    <t>0,5 mm PTFE</t>
  </si>
  <si>
    <t>IC0358_CatNNF_AnoANF_rho1276_AUX1Cat_AUX2Ano-3-7</t>
  </si>
  <si>
    <t>IC0357_CatNNF_AnoANF_rho1276_AUX1Cat_AUX2Ano-3-8</t>
  </si>
  <si>
    <t>IC0364_CatNNF_AnoANF_rho1276_AUX1NaN_AUX2NaN-3-6</t>
  </si>
  <si>
    <t>QnD_RT_3h_v2</t>
  </si>
  <si>
    <t>0,5 mm PTFE.</t>
  </si>
  <si>
    <t>IC0363_CatNNF_AnoANF_rho1276_AUX1NaN_AUX2NaN-3-7</t>
  </si>
  <si>
    <t xml:space="preserve">0,5 mm PTFE. </t>
  </si>
  <si>
    <t>IC0362_CatNNF_AnoANF_rho1276_AUX1NaN_AUX2NaN-3-8</t>
  </si>
  <si>
    <t>IC0377_CatNNF_AnoNNF_rho1276_AUX1Lol_AUX2Lol-2-1</t>
  </si>
  <si>
    <t>IC0378_CatNNF_AnoNNF_rho1276_AUX1Lol_AUX2Lol-2-7</t>
  </si>
  <si>
    <t>IC0379_CatNNF_AnoNNF_rho1276_AUX1Lol_AUX2Lol-3-2</t>
  </si>
  <si>
    <t>IC0401A_CatNNF_AnoNNF_rho1276_AUX1Cat_AUX2Ano_270rpm_1-2</t>
  </si>
  <si>
    <t>CC4A</t>
  </si>
  <si>
    <t>IC0401B_CatNNF_AnoNNF_rho1276_AUX1Cat_AUX2Ano_450rpm_1-2</t>
  </si>
  <si>
    <t>IC0401C_CatNNF_AnoNNF_rho1276_AUX1Cat_AUX2Ano_0rpm_1-2</t>
  </si>
  <si>
    <t>IC0401D_CatNNF_AnoNNF_rho1276_AUX1Cat_AUX2Ano_100rpm_1-2</t>
  </si>
  <si>
    <t xml:space="preserve">IC0397_CatNNF_AnoNNF_rho1276_AUX1Cat_AUX2Ano_1-8		</t>
  </si>
  <si>
    <t>IC0402_CatNNF_AnoNNF_rho1276_AUX1Cat_AUX2Ano_3-3</t>
  </si>
  <si>
    <t xml:space="preserve"> </t>
  </si>
  <si>
    <t>IC0401E_CatNNF_AnoNNF_rho1276_AUX1Cat_AUX2Ano_270rpm_1-2</t>
  </si>
  <si>
    <t>IC0407_CatT1+NNF_AnoNNF_rho1276_AUX1Cat_AUX2Ano_3-8</t>
  </si>
  <si>
    <t>QnD_RT_9h_v1</t>
  </si>
  <si>
    <t>4 mm PTFE</t>
  </si>
  <si>
    <t>IC0408_CatT1+NNF_AnoNNF_rho1276_AUX1Cat_AUX2Ano_3-6</t>
  </si>
  <si>
    <t>IC0409_CatT1+NNF_AnoNNF_rho1276_AUX1Cat_AUX2Ano_2-1</t>
  </si>
  <si>
    <t>IC0411_CatNNF_AnoNNF_rho1276_AUX1Cat_AUX2Ano_3-4</t>
  </si>
  <si>
    <t>IC0410_CatNNF_AnoNNF_rho1276_AUX1Cat_AUX2Ano_3-3</t>
  </si>
  <si>
    <t>IC0414_CatS01-05008-N1+NNF_AnoNNF+2x0.25mmPTFE_rho1276_AUX1Cat_AUX2Ano_3-3</t>
  </si>
  <si>
    <t>IC0401G_CatNNF_AnoNNF_rho1276_AUX1Cat_AUX2Ano_0rpm_1-2</t>
  </si>
  <si>
    <t>CC4A x 20</t>
  </si>
  <si>
    <t xml:space="preserve">IC0418_CatTL2A1_AnoA2_rho1276_AUX1Cat_AUX2Ano_1-5
</t>
  </si>
  <si>
    <t xml:space="preserve">IC0419_CatTL2A1_AnoA2_rho1276_AUX1Cat_AUX2Ano_1-8
</t>
  </si>
  <si>
    <t>IC0420_CatTL2A1_AnoA2_rho1276_AUX1Cat_AUX2Ano_2-1</t>
  </si>
  <si>
    <t>IC0435_CatT4_AnoT4_SepT4_rho1276_AUX1NaN_AUX2NaN_1-2</t>
  </si>
  <si>
    <t>T4 pre-heated KOH (70 deg C)</t>
  </si>
  <si>
    <t>IC0436_CatT3_AnoT3_SepT4_rho1276_AUXNaN_AUX2NaN_T4_Membrane_1-5</t>
  </si>
  <si>
    <t>IC0453_CatT3_AnoT3_SepT4_rho1276_AUX1NaN_AUX2NaN_3-5</t>
  </si>
  <si>
    <t>_QC_IC_58.5h_temp_cond_v1_TEST_PHASE_no_rest</t>
  </si>
  <si>
    <t>Gen4 membrane</t>
  </si>
  <si>
    <t>IC0454_CatT3_AnoT3_SepT4_rho1276_AUX1NaN_AUX2NaN_3-6</t>
  </si>
  <si>
    <t>T3 pre-heated KOH (70 deg C), T4 separator</t>
  </si>
  <si>
    <t>IC0480_CatA3_AnoA3_SepT4_rho1276_AUX1NaN_AUX2NaN_3-7</t>
  </si>
  <si>
    <t>_QC_IC_58.5h_temp_cond_v1_TEST_PHASE_12_hours</t>
  </si>
  <si>
    <t>T4 separator</t>
  </si>
  <si>
    <t>IC0481_CatA3_AnoA3_SepT4_rho1276_AUX1NaN_AUX2NaN_3-8</t>
  </si>
  <si>
    <t>Gen 4 separator</t>
  </si>
  <si>
    <t>IC0499_CatA3_AnoA3_SepT4_rho1276_AUX1NaN_AUX2NaN_3-7</t>
  </si>
  <si>
    <t>Gen4 separator, Measurement conducted in room temperature</t>
  </si>
  <si>
    <t>IC0500_CatT4_AnoT4_SepT4_rho1276_AUX1NaN_AUX2NaN_3-8</t>
  </si>
  <si>
    <t>IC0575_CatT4_AnoT4_Sep4_rho1279_AUX1NaN_AUX2NaN_3-8</t>
  </si>
  <si>
    <t>IC0576_CatA3_AnoA3_Sep_T4_rho1279_AUX1NaN_AUX2NaN_3-7</t>
  </si>
  <si>
    <t>IC0594_CatT3_AnoT3_SepT4_rho1279_AUX1NaN_AUX2NaN_3-6</t>
  </si>
  <si>
    <t>IC0595_CatT4_AnoT4_SepT4_rho1279_AUX1NaN_AUX2NaN_3-7</t>
  </si>
  <si>
    <t>IC0596_CatT4_AnoT4_SepT4_rho1279_AUX1NaN_AUX2NaN_3-8</t>
  </si>
  <si>
    <t>When dissasembeling the stirrer was sticked to the cell</t>
  </si>
  <si>
    <t>IC0706_CatT4_AnoT4_SepT4_rho1279_AUX1NaN_AUX2NaN_3-5_1of3</t>
  </si>
  <si>
    <t>Peter Mihaly</t>
  </si>
  <si>
    <t>T4 1/3</t>
  </si>
  <si>
    <t>IC0707_CatT4_AnoT4_SepT4_rho1279_AUX1NaN_AUX2NaN_3-6_2of3</t>
  </si>
  <si>
    <t>T4 2/3</t>
  </si>
  <si>
    <t>IC0708_CatT4_AnoT4_SepT4_rho1279_AUX1NaN_AUX2NaN_3-7_3of3</t>
  </si>
  <si>
    <t>T4 3/3, refill systewm was off</t>
  </si>
  <si>
    <t>IC0709_CatT3_AnoT3_SepT4_rho1279_AUX1NaN_AUX2NaN_3-8</t>
  </si>
  <si>
    <t xml:space="preserve">T3 </t>
  </si>
  <si>
    <t>IC0751_CatT4_AnoT4_rho1279_AUX1NaN_AUX2NaN_3-5</t>
  </si>
  <si>
    <t>_QC_IC_58.5h_temp_cond_v1_TEST_PHASE_12_hours.xml</t>
  </si>
  <si>
    <t>IC0750_CatT3_AnoT3_rho1279_AUX1NaN_AUX2NaN_3-6</t>
  </si>
  <si>
    <t>IC0749_CatA3_AnoA3_rho1279_AUX1NaN_AUX2NaN_3-7</t>
  </si>
  <si>
    <t>IC0748_CatA3_AnoA3_rho1279_AUX1NaN_AUX2NaN_3-8</t>
  </si>
  <si>
    <t>IC0836_CatC2_AnoC2_rho1279_1-6</t>
  </si>
  <si>
    <t>_QC_IC_58.5h_temp_cond_v1_TEST_PHASE_6_hours.xml</t>
  </si>
  <si>
    <t>Stopped due to voltage peak</t>
  </si>
  <si>
    <t>IC0681_CatT3_AnoT3_rho1279_AUXNaN_AUX2NaN_3-5</t>
  </si>
  <si>
    <t>Assembled by Emil Hougaard</t>
  </si>
  <si>
    <t>IC0682_CatT3_AnoT3_rho1279_AUXNaN_AUX2NaN_3-6</t>
  </si>
  <si>
    <t>IC0683_CatA3_AnoA3_rho1279_AUXNaN_AUX2NaN_3-7</t>
  </si>
  <si>
    <t>IC0684_CatA3_AnoA3_rho1279_AUXNaN_AUX2NaN_3-8</t>
  </si>
  <si>
    <t>IC0808_CatT3_AnoT3_rho1279_3-5</t>
  </si>
  <si>
    <t>QC_IC_58.5h_temp_cond_v1_TEST_PHASE_no_rest</t>
  </si>
  <si>
    <t>Preheated KOH</t>
  </si>
  <si>
    <t>IC0809_CatT4_AnoT4_rho1279_3-6</t>
  </si>
  <si>
    <t>IC0811_CatA3_AnoA3_rho1279_3-7</t>
  </si>
  <si>
    <t>IC0810_CatA3_AnoA3_rho1279_3-8</t>
  </si>
  <si>
    <t>IC0834_CatT3_AnoT3_rho1279_3-8</t>
  </si>
  <si>
    <t>H2 Giga Mesh vs. Foam</t>
  </si>
  <si>
    <t>IC0085_CatNF_AnoGK01006_T90_rho1287_AUX1Ano_AUX2Cat_1-3</t>
  </si>
  <si>
    <t>Gergo IC samples</t>
  </si>
  <si>
    <t>IC0085_CatNF_AnoGK01006_T90_rho1287_AUX1Ano_AUX2Cat_1-3.png</t>
  </si>
  <si>
    <t>IC0086_CatNF_AnoGK01006_T90_rho1287_AUX1Ano_AUX2Cat_3-5</t>
  </si>
  <si>
    <t xml:space="preserve">*Cut-off on plot </t>
  </si>
  <si>
    <t>IC0086_CatNF_AnoGK01006_T90_rho1287_AUX1Ano_AUX2Cat_3-5.png</t>
  </si>
  <si>
    <t>IC0144_CatNNF_AnoGK009_rho1287_AUX1Cat_AUX2Ano_3-3</t>
  </si>
  <si>
    <t xml:space="preserve">PULSED 30 sec ON/OFF </t>
  </si>
  <si>
    <t>IC0144_CatNNF_AnoGK009_rho1287_AUX1Cat_AUX2Ano_3-3.png</t>
  </si>
  <si>
    <t>IC0145_CatNNF_AnoGK006_T90_rho1287_AUX1NaN_AUX2NaN_3-4</t>
  </si>
  <si>
    <t>30 SEC - 1000 mA</t>
  </si>
  <si>
    <t>IC0145_CatNNF_AnoGK006_T90_rho1287_AUX1NaN_AUX2NaN_3-4.png</t>
  </si>
  <si>
    <t>IC0150_CatNNF_AnoGK011_rho1287_AUX1Cat_AUX2Ano_3-3</t>
  </si>
  <si>
    <t>IC0150_CatNNF_AnoGK011_rho1287_AUX1Cat_AUX2Ano_3-3.png</t>
  </si>
  <si>
    <t>IC0151_CatNNF_AnoGK010_T90_rho1287_AUX1NaN_AUX2NaN_3-4</t>
  </si>
  <si>
    <t>IC0151_CatNNF_AnoGK010_T90_rho1287_AUX1NaN_AUX2NaN_3-4.png</t>
  </si>
  <si>
    <t>IC0165_CatNNF_AnoGK012_T90_rho1287_AUX1NaN_AUX2NaN_2-5</t>
  </si>
  <si>
    <t>1 min ON/OFF, 5 min, 10 mA/cm2</t>
  </si>
  <si>
    <t>IC0165_CatNNF_AnoGK012_T90_rho1287_AUX1NaN_AUX2NaN_2-5.png</t>
  </si>
  <si>
    <t>IC0166_CatNNF_AnoGK013_T90_rho1287_AUX1NaN_AUX2NaN_2-7</t>
  </si>
  <si>
    <t>1 min ON/OFF, 3 min, 10 mA/cm2</t>
  </si>
  <si>
    <t>IC0166_CatNNF_AnoGK013_T90_rho1287_AUX1NaN_AUX2NaN_2-7.png</t>
  </si>
  <si>
    <t>IC0251_CatNNF_AnoGK19_rho1287_AUX1NaN_AUX2NaN_2-7</t>
  </si>
  <si>
    <t>30 SEC ON/OFF for 3 minutes in FeCl2 solution</t>
  </si>
  <si>
    <t>IC0251_CatNNF_AnoGK19_rho1287_AUX1NaN_AUX2NaN_2-7.png</t>
  </si>
  <si>
    <t>IC0252_CatNNF_AnoGK20_rho1287_AUX1NaN_AUX2NaN_2-8</t>
  </si>
  <si>
    <t>30 SEC ON/OFF for 5 minutes in FeCl2 solution (FeCl2 from now on until further notice)</t>
  </si>
  <si>
    <t>IC0252_CatNNF_AnoGK20_rho1287_AUX1NaN_AUX2NaN_2-8.png</t>
  </si>
  <si>
    <t>IC0292_CatNNF_AnoGK25_rho1276_AUX1NaN_AUX2NaN_preheated-KOH(70C)_58.5hour-12hour_1-8</t>
  </si>
  <si>
    <t>10 SEC ON/OFF (0.05 Hz) for 3 minutes in FeCl2 solution</t>
  </si>
  <si>
    <t>IC0293_CatNNF_AnoGK26_rho1276_AUX1NaN_AUX2NaN_preheatedKOH(70)_58.5hour_2-7</t>
  </si>
  <si>
    <t>1 SEC ON/OFF (0.5 Hz) for 3 minutes in FeCl2 solution</t>
  </si>
  <si>
    <t>IC0294_CatNNF_AnoGK27_rho1276_AUX1NaN_AUX2NaN_preheatedKOH(70)_58.5hour_3-2</t>
  </si>
  <si>
    <t>0.1 SEC ON/OFF (5 Hz) for 3 minutes in FeCl2 solution</t>
  </si>
  <si>
    <t>IC0300_CatNNF_AnoGK28_rho1276_AUX1NaN_AUX2NaN_70hours_1-8</t>
  </si>
  <si>
    <t>3 min PULSED - 50 Hz - 0.1 M conc. FeCl2 solution - 70-hour experiment</t>
  </si>
  <si>
    <t>IC0310_CatNNF_AnoGK29_rho1276_AUX1NaN_AUX2NaN_64h-experiment_2-5</t>
  </si>
  <si>
    <t>QC_IC_58.5h...6_hours</t>
  </si>
  <si>
    <t>3 min PULSED - 50 Hz - 0.5 M conc. FeCl2 solution - 64-hour experiment
NOT comparable data - was running at 80 deg</t>
  </si>
  <si>
    <t>IC0311_CatNNF_AnoGK30_rho1276_AUX1NaN_AUX2NaN_64h-experiment_2-7</t>
  </si>
  <si>
    <t>3 min PULSED - 50 Hz - 1.0 M conc. FeCl2 solution - 64-hour experiment
NOT comparable data - was running at 80 deg</t>
  </si>
  <si>
    <t>IC0318_CatNNF_AnoGK29_rho1276_AUX1_NaN_AUX2NaN_64h-exp_1-8</t>
  </si>
  <si>
    <t>50 Hz - 0.5 M conc. - preheated KOH (70 deg)</t>
  </si>
  <si>
    <t>IC0319_CatNNF_AnoGK30_rho1276_AUX1_NaN_AUX2NaN_64h-exp_2-5</t>
  </si>
  <si>
    <t>50 Hz - 1.0 M conc. - preheated KOH (70 deg)</t>
  </si>
  <si>
    <t>IC0346_CatNNF_AnoGK31_rho1276_AUX1NaN_AUX2NaN_1-3</t>
  </si>
  <si>
    <t>0.05 Hz, 6 min plating, 50% duty cycle</t>
  </si>
  <si>
    <t>IC0353_CatNNF_AnoGK32_rho1276_AUX1NaN_AUX2NaN_1-3</t>
  </si>
  <si>
    <t>0.5 Hz, 6 min plating, 50% duty cycle</t>
  </si>
  <si>
    <t>IC0354_CatNNF_AnoGK33_rho1276_AUX1NaN_AUX2NaN_1-5</t>
  </si>
  <si>
    <t>5 Hz, 6 min plating, 50% duty cycle</t>
  </si>
  <si>
    <t>IC0355_CatNNF_AnoGK34_rho1276_AUX1NaN_AUX2NaN_3-5</t>
  </si>
  <si>
    <t>50 Hz, 6 min plating, 50% duty cycle</t>
  </si>
  <si>
    <t>IC0356_CatNNF_AnoGK35_rho1276_AUX1NaN_AUX2NaN_3-6</t>
  </si>
  <si>
    <t>IC0368_CatNNF_AnoGK36_rho1276_AUX1NaN_AUX2NaN_1-3</t>
  </si>
  <si>
    <t>?</t>
  </si>
  <si>
    <t>3 min plating at 5 Hz WITH magnetic stirrer, 1 of 2.</t>
  </si>
  <si>
    <t>IC0368_CatNNF_AnoGK36_rho1276_AUX1NaN_AUX2NaN_1-3.png</t>
  </si>
  <si>
    <t>IC0369_CatNNF_AnoGK37_rho1276_AUX1NaN_AUX2NaN_1-5</t>
  </si>
  <si>
    <t>3 min plating at 5 Hz WITH magnetic stirrer, 2 of 2.</t>
  </si>
  <si>
    <t>IC0383_CatNNF_AnoGK38_rho1276_AUX1Cat_AUX2Ano_1-8</t>
  </si>
  <si>
    <t>QC_IC_48h_v2_TEST_PHASE</t>
  </si>
  <si>
    <t>Pretreated cathode, 70 degrees KOH.
Bubbled nitrogen in the solution before adding iron. 80:20 - Ni:Fe ratio.</t>
  </si>
  <si>
    <t>IC0383_CatNNF_AnoGK38_rho1276_AUX1Cat_AUX2Ano_1-8.png</t>
  </si>
  <si>
    <t>IC0385_CatNNF_AnoGK40_rho1276_AUX1Cat_AUX2Ano_2-7</t>
  </si>
  <si>
    <t>Pretreated cathode, 70 degrees KOH.
Bubbled nitrogen in the solution before adding iron. 60:40 - Ni:Fe ratio.</t>
  </si>
  <si>
    <t>IC0385_CatNNF_AnoGK40_rho1276_AUX1Cat_AUX2Ano_2-7.png</t>
  </si>
  <si>
    <t>IC0386_CatNNF_AnoGK41_rho1276_AUX1Cat_AUX2Ano_2-8</t>
  </si>
  <si>
    <t>IC0386_CatNNF_AnoGK41_rho1276_AUX1Cat_AUX2Ano_2-8.png</t>
  </si>
  <si>
    <t>IC0384_CatNNF_AnoGK39_rho1276_AUX1Cat_AUX2Ano_2-5</t>
  </si>
  <si>
    <t>Pretreated cathode, 70 degrees KOH. Bubbled nitrogen in the solution before adding iron. 80:20 - Ni:Fe ratio.</t>
  </si>
  <si>
    <t>IC0384_CatNNF_AnoGK39_rho1276_AUX1Cat_AUX2Ano_2-5.png</t>
  </si>
  <si>
    <t>IC0404_CatNNF_AnoGK42_rho1276_AUX1Cat_AUX2Ano_1-3</t>
  </si>
  <si>
    <t>80-20, NO stirring</t>
  </si>
  <si>
    <t>IC0404_CatNNF_AnoGK42_rho1276_AUX1Cat_AUX2Ano_1-3.png</t>
  </si>
  <si>
    <t>IC0405_CatNNF_AnoGK43_rho1276_AUX1Cat_AUX2Ano_1-5</t>
  </si>
  <si>
    <t>IC0405_CatNNF_AnoGK43_rho1276_AUX1Cat_AUX2Ano_1-5.png</t>
  </si>
  <si>
    <t>IC0406_CatNNF_AnoGK44_rho1276_AUX1Cat_AUX2Ano_2-4</t>
  </si>
  <si>
    <t>DC for 3 minutes</t>
  </si>
  <si>
    <t>IC0406_CatNNF_AnoGK44_rho1276_AUX1Cat_AUX2Ano_2-4.png</t>
  </si>
  <si>
    <t>IC0444_CatNNF_AnoGK48_LEFT_rho1276_AUX1Cat_AUX2Ano_3-1</t>
  </si>
  <si>
    <t>Fe(NO3)3 was used! 30 min DC plating with stirring. 1 of 2.</t>
  </si>
  <si>
    <t>IC0445_CatNNF_AnoGK48_RIGHT_rho1276_AUX1Cat_AUX2Ano_3-2</t>
  </si>
  <si>
    <t>Fe(NO3)3 was used! 30 min DC plating with stirring. 2 of 2</t>
  </si>
  <si>
    <t>IC0446_CatNNF_AnoGK47_rho1276_AUX1Cat_AUX2Ano_3-3</t>
  </si>
  <si>
    <t>Fe(NO3)3 was used. 30 min DC plating without stirring. 1 of 2.</t>
  </si>
  <si>
    <t>IC0447_CatNNF_AnoGK47_rho1276_AUX1Cat_AUX2Ano_3-5</t>
  </si>
  <si>
    <t>Fe(NO3)3 was used. 30 min DC plating without stirring. 2 of 2.</t>
  </si>
  <si>
    <t>IC0460_CatNNF_AnoGK46_rho1276_AUX1Cat_AUX2Ano_1-5</t>
  </si>
  <si>
    <t>Fe(NO3)3 solution, 3 min DC plating, WITH stirring, 1 of 2.</t>
  </si>
  <si>
    <t>IC0459_CatNNF_AnoGK45_AUX1Cat_AUX2Ano_1-2</t>
  </si>
  <si>
    <t>Fe(NO3)3 solution, 3 min DC plating, NO stirring, 1 of 2.</t>
  </si>
  <si>
    <t>IC0471_CatNNF_Ano_GK49DARK_rho1276_AUX1Cat_AUX2Ano_3-5</t>
  </si>
  <si>
    <t>DC ramping up from 1 to 20 mA/cm2. 1 ofDC ramping up from 1 to 20 mA/cm2. 1 of 2.</t>
  </si>
  <si>
    <t>IC0472_CatNNF_AnoGK49LIGHT_rho1276_AUX1Cat_AUX2Ano_3-6</t>
  </si>
  <si>
    <t>DC ramping up from 1 to 20 mA/cm2. 2 of 2</t>
  </si>
  <si>
    <t>IC0494_CatNNF_AnoGK50-DARK_rho1276_AUX1Cat_AUX2Ano_3-5</t>
  </si>
  <si>
    <t>Recipe 2: DC ramp-up from 1-10 mA/cm2. 300 rpm</t>
  </si>
  <si>
    <t>IC0495_CatNNF_AnoGK50-LIGHT_rho1276_AUX1Cat_AUX2Ano_3-6</t>
  </si>
  <si>
    <t>IC0496_CatNNF_AnoGK51-DARK_rho1276_AUX1Cat_AUXAno_4-2</t>
  </si>
  <si>
    <t>Recipe 3: DC ramp-up from 5-30 mA/cm2. 300 rpm</t>
  </si>
  <si>
    <t>IC0497_CatNNF_AnoGK51-LIGHT_rho1276_AUX1Cat_AUX2Ano_4-3</t>
  </si>
  <si>
    <t>IC0504_CatNNF_AnoGK53_rho1276_AUX1Cat_AUX2Ano_3-5</t>
  </si>
  <si>
    <t>Pulsed plating for 3 minutes at 50 Hz with Fe(NO3)3 solution. 1 of 2</t>
  </si>
  <si>
    <t>IC0505_CatNNF_AnoGK53_rho1276_AUX1Cat_AUX2Ano_3-6</t>
  </si>
  <si>
    <t>Pulsed plating for 3 minutes at 50 Hz with Fe(NO3)3 solution. 2 of 2</t>
  </si>
  <si>
    <t>IC0502_CatNNF_AnoGK52_rho1276_AUX1Cat_AUXAno_4-2</t>
  </si>
  <si>
    <t>Pulsed plating for 3 minutes at 5 Hz with Fe(NO3)3 solution. 1 of 2.</t>
  </si>
  <si>
    <t>IC0503_CatNNF_AnoGK52_rho1276_AUX1Cat_AUXAno_4-3</t>
  </si>
  <si>
    <t>Pulsed plating for 3 minutes at 5 Hz with Fe(NO3)3 solution. 2 of 2.</t>
  </si>
  <si>
    <t>IC0507_CatNNF_AnoGK54_rho1276_AUX1Cat_AUX2Ano_1-6</t>
  </si>
  <si>
    <t>_QC_IC_48h_v2_TEST_PHASE.xml</t>
  </si>
  <si>
    <t>Pulsed plating for 30 minutes, 5 Hz. 1 of 2.</t>
  </si>
  <si>
    <t>IC0508_CatNNF_AnoGK54_rho1276_AUX1Cat_AUX2Ano_1-7</t>
  </si>
  <si>
    <t>Pulsed plating for 30 minutes, 5 Hz. 2 of 2.</t>
  </si>
  <si>
    <t>IC0514_CatNNF_AnoGK56_rho1276_AUX1Cat_AUX2Ano_3-5</t>
  </si>
  <si>
    <t>DC ramp-up, Recipe 1: 1 to 20 mA/cm2, 300 rpm. 1 of 2. 168 hours</t>
  </si>
  <si>
    <t>IC0515_CatNNF_AnoGK56_rho1276_AUX1Cat_AUX2Ano_3-6</t>
  </si>
  <si>
    <t>DC ramp-up, Recipe 1: 1 to 20 mA/cm2, 300 rpm. 2 of 2. 168 hours</t>
  </si>
  <si>
    <t>IC0557_CatNNF_AnoGK57_rho1276_AUX1Cat_AUX2Ano_3-5</t>
  </si>
  <si>
    <t>DC ramp-up, Recipe 1: 1-20 mA/cm2. 200 rpm. 1 of 2</t>
  </si>
  <si>
    <t>IC0558_CatNNF_AnoGK57_rho1276_AUX1Cat_AUX2Ano_3-6</t>
  </si>
  <si>
    <t>DC ramp-up, Recipe 1: 1-20 mA/cm2. 200 rpm. 2 of 2</t>
  </si>
  <si>
    <t>IC0572_CatNNF_AnoGK57_rho1276_AUX1Cat_AUX2Ano_168h_3-6</t>
  </si>
  <si>
    <t xml:space="preserve">DC ramp-up, Recipe 1: 1-20 mA/cm2. 200 rpm. 2 of 2, Continued measurement of IC0558 for 168 hours. </t>
  </si>
  <si>
    <t>IC0605_CatNNF_AnoGK60FAR_rho1279_AUX1Cat_AUX2Ano_3-7</t>
  </si>
  <si>
    <t>Julia</t>
  </si>
  <si>
    <t>both</t>
  </si>
  <si>
    <t>Recipe 1 - Asymmetric plating, This side of the sample was shifted away from the CE.</t>
  </si>
  <si>
    <t>Gergo plated samples</t>
  </si>
  <si>
    <t>IC0593_CatNNF_AnoGK57_rho1276_AUX1Cat_AUX2Ano_3-5</t>
  </si>
  <si>
    <t>0__QC_IC_Gergo_20days.xml</t>
  </si>
  <si>
    <t>IC0113_AnoNF_CatPLD0.2µmNF_T90_rho1287_AUX1Cat_AUX2Ano_1-5</t>
  </si>
  <si>
    <t>QC_IC_168</t>
  </si>
  <si>
    <t>21/10/2024</t>
  </si>
  <si>
    <t>renamed in PL's folder</t>
  </si>
  <si>
    <t>IC0113_AnoNF_CatPLD0.2µmNF_T90_rho1287_AUX1Cat_AUX2Ano_1-5.png</t>
  </si>
  <si>
    <t>IC0114_CatPLD1µmNF_AnoNNF_T90_rho1287_AUX1Cat_AUX2Ano_1-8</t>
  </si>
  <si>
    <t>H2 electrodes PLD</t>
  </si>
  <si>
    <t>IC0114_CatPLD1µmNF_AnoNNF_T90_rho1287_AUX1Cat_AUX2Ano_1-8.png</t>
  </si>
  <si>
    <t>IC0115_CatPLD5µmNF_AnoNNF_T90_rho1287_AUX1Cat_AUX2Ano_1-7</t>
  </si>
  <si>
    <t>IC0115_CatPLD5µmNF_AnoNNF_T90_rho1287_AUX1Cat_AUX2Ano_1-7.png</t>
  </si>
  <si>
    <t>IC0121_CatNNF_AnoPLD5µmNF_T90_rho1287_AUX1Cat_AUX2Ano_1-8</t>
  </si>
  <si>
    <t>28/10/2024</t>
  </si>
  <si>
    <t>IC0121_CatNNF_AnoPLD5µmNF_T90_rho1287_AUX1Cat_AUX2Ano_1-8.png</t>
  </si>
  <si>
    <t>IC0120_CatNNF_AnoPLD0,2µmNF_T90_rho1287_AUX1Cat_AUX2Ano_1-7</t>
  </si>
  <si>
    <t>IC0120_CatNNF_AnoPLD0,2µmNF_T90_rho1287_AUX1Cat_AUX2Ano_1-7.png</t>
  </si>
  <si>
    <t>IC0119_CatNNF_AnoPLD1µmNF_T90_rho1287_AUX1Cat_AUX2Ano_1-5</t>
  </si>
  <si>
    <t>IC0119_CatNNF_AnoPLD1µmNF_T90_rho1287_AUX1Cat_AUX2Ano_1-5.png</t>
  </si>
  <si>
    <t>IC0147_CatPLD0.2um_AnoNNF_rho1287_AUX1Cat_AUX2Ano_1-2</t>
  </si>
  <si>
    <t>13/11/2024</t>
  </si>
  <si>
    <t>IC0147_CatPLD0.2um_AnoNNF_rho1287_AUX1Cat_AUX2Ano_1-2.png</t>
  </si>
  <si>
    <t>IC0148_CatPLD5.0um_AnoNNF_rho1287_AUX1NaN_AUX2Ano_1-8</t>
  </si>
  <si>
    <t>IC0148_CatPLD5.0um_AnoNNF_rho1287_AUX1NaN_AUX2Ano_1-8.png</t>
  </si>
  <si>
    <t>IC0149_CatPLD1um_AnoNNF_rho1287_AUX1Cat_AUX2Ano_1-3</t>
  </si>
  <si>
    <t>14/11/2024</t>
  </si>
  <si>
    <t>IC0149_CatPLD1um_AnoNNF_rho1287_AUX1Cat_AUX2Ano_1-3.png</t>
  </si>
  <si>
    <t>IC0167_CatNNF_AnoPLD0.2µm_T90_rho1287_AUX1Cat_AUX2Ano_3-4</t>
  </si>
  <si>
    <t>27/11/2024</t>
  </si>
  <si>
    <t>IC0167_CatNNF_AnoPLD0.2µm_T90_rho1287_AUX1Cat_AUX2Ano_3-4.png</t>
  </si>
  <si>
    <t>IC0171_CatNFF_AnoPLD1um_rho1287_AUX1NaN_AUX2Ano_NaN_1-8</t>
  </si>
  <si>
    <t>IC0171_CatNFF_AnoPLD1um_rho1287_AUX1NaN_AUX2Ano_NaN_1-8.png</t>
  </si>
  <si>
    <t>IC0194_CatNNF_AnoPLD1um_rho1287_AUX1NaN_AUX2Ano_NaN_1-8</t>
  </si>
  <si>
    <t>IC0194_CatNNF_AnoPLD1um_rho1287_AUX1NaN_AUX2Ano_NaN_1-8.png</t>
  </si>
  <si>
    <t>IC0198_CatNNF_AnoPLD5um_rho1287_AUX1Cat_AUX2Ano_1-2</t>
  </si>
  <si>
    <t>13/12/2024</t>
  </si>
  <si>
    <t>IC0198_CatNNF_AnoPLD5um_rho1287_AUX1Cat_AUX2Ano_1-2.png</t>
  </si>
  <si>
    <r>
      <rPr>
        <sz val="11"/>
        <color rgb="FF000000"/>
        <rFont val="Calibri"/>
        <family val="2"/>
        <scheme val="minor"/>
      </rPr>
      <t>IC0199_CatNNF_AnoPLD0,2um_rho1287_AUX1Ano_AUX2NaN_3</t>
    </r>
    <r>
      <rPr>
        <sz val="11"/>
        <color rgb="FF616161"/>
        <rFont val="Segoe UI"/>
        <family val="2"/>
      </rPr>
      <t>-</t>
    </r>
    <r>
      <rPr>
        <sz val="11"/>
        <color rgb="FF000000"/>
        <rFont val="Calibri"/>
        <family val="2"/>
        <scheme val="minor"/>
      </rPr>
      <t>4</t>
    </r>
  </si>
  <si>
    <t>Battery tester failure along the experiment resulting sudden potential drop; renamed in PL's folder</t>
  </si>
  <si>
    <t>IC0199_CatNNF_AnoPLD0,2um_rho1287_AUX1Ano_AUX2NaN_3-4.png</t>
  </si>
  <si>
    <t>IC0200_CatPLD5um_AnoNNF_rho1287_AUX1Cat_AUX2Ano_3-3</t>
  </si>
  <si>
    <t>Battery tester failure along the experiment resulting sudden potential drop</t>
  </si>
  <si>
    <t>IC0200_CatPLD5um_AnoNNF_rho1287_AUX1Cat_AUX2Ano_3-3.png</t>
  </si>
  <si>
    <t>IC0201_CatNNF_AnoPLD5um_rho1287_AUX1Cat_AUX2NaN_2-8</t>
  </si>
  <si>
    <t>IC0201_CatNNF_AnoPLD5um_rho1287_AUX1Cat_AUX2NaN_2-8.png</t>
  </si>
  <si>
    <t>IC0203_CatNNF_AnoPLD0,2um_rho1287_AUX1Cat_AUX2NaN_2-5</t>
  </si>
  <si>
    <t>16/12/2024</t>
  </si>
  <si>
    <t>IC0203_CatNNF_AnoPLD0,2um_rho1287_AUX1Cat_AUX2NaN_2-5.png</t>
  </si>
  <si>
    <t>IC0202_CatPLD1um_AnoNNF_rho1287_AUX1Cat_AUX2NaN_2-7</t>
  </si>
  <si>
    <t>IC0202_CatPLD1um_AnoNNF_rho1287_AUX1Cat_AUX2NaN_2-7.png</t>
  </si>
  <si>
    <t>IC0477_CatNNF_AnoPLD_Ni_2.5_um_rho1276_AUX1NaN_AUX2NaN_5-6</t>
  </si>
  <si>
    <t>Péter Álmos</t>
  </si>
  <si>
    <t>None</t>
  </si>
  <si>
    <t>QC_IC_58.5</t>
  </si>
  <si>
    <t>07.04.2025</t>
  </si>
  <si>
    <t>Temperature regulator had alarm 2 during run</t>
  </si>
  <si>
    <t>IC0477_CatNNF_AnoPLD_Ni_2.5_um_rho1276_AUX1NaN_AUX2NaN_5-6.png</t>
  </si>
  <si>
    <t>IC0463_CatPLD_2.5um_AnoNNF_rho1276_AUX1NaN_AUX2NaN_1-3</t>
  </si>
  <si>
    <t>QC_IC_58.5_6h</t>
  </si>
  <si>
    <t>1 of 3</t>
  </si>
  <si>
    <t>IC0463_CatPLD_2.5um_AnoNNF_rho1276_AUX1NaN_AUX2NaN_1-3.png</t>
  </si>
  <si>
    <t>IC0464_CatPLD_5um_AnoNNF_rho1276_AUX1NaN_AUX2NaN_2-3</t>
  </si>
  <si>
    <t>IC0464_CatPLD_5um_AnoNNF_rho1276_AUX1NaN_AUX2NaN_2-3.png</t>
  </si>
  <si>
    <t>IC0465_CatPLD_10um_AnoNNF_rho1276_AUX1NaN_AUX2NaN_2-8</t>
  </si>
  <si>
    <t>IC0465_CatPLD_10um_AnoNNF_rho1276_AUX1NaN_AUX2NaN_2-8.png</t>
  </si>
  <si>
    <t>IC0478_CatNNF_AnoPLD_Ni_2.5_um_rho1276_AUX1NaN_AUX2NaN_5-6</t>
  </si>
  <si>
    <t>Anode PLD-Ni 2.5 um, cathode NNF. 1 of 3</t>
  </si>
  <si>
    <t>IC0478_CatNNF_AnoPLD_Ni_2.5_um_rho1276_AUX1NaN_AUX2NaN_5-6.png</t>
  </si>
  <si>
    <t>IC0519_CatPLDNi2.5uM_AnoNNF_rho1276_AUX1NaN_AUX2NaN_4-3</t>
  </si>
  <si>
    <t>3/3, after 6 hours rest period the protocol stopped, and the temperature controller was off</t>
  </si>
  <si>
    <t>NO PLOT</t>
  </si>
  <si>
    <t>IC0527_CatNNF_AnoPLD2.5_um _rho1276_AUX1NaN_AUX2NaN_2-7_2_3</t>
  </si>
  <si>
    <t>2 of 3</t>
  </si>
  <si>
    <t>IC0527_CatNNF_AnoPLD2.5_um _rho1276_AUX1NaN_AUX2NaN_2-7_2_3.png</t>
  </si>
  <si>
    <t>IC0516_CatPLDNi2.5uM_AnoNNF_rho1276_AUX1NaN_AUX2NaN_3-7</t>
  </si>
  <si>
    <t>IC0516_CatPLDNi2.5uM_AnoNNF_rho1276_AUX1NaN_AUX2NaN_3-7.png</t>
  </si>
  <si>
    <t>IC0517_CatPLDNi5uM_AnoNNF_rho1276_AUX1NaN_AUX2NaN_3-8</t>
  </si>
  <si>
    <t>IC0517_CatPLDNi5uM_AnoNNF_rho1276_AUX1NaN_AUX2NaN_3-8.png</t>
  </si>
  <si>
    <t>IC0518_CatPLDNi10uM_AnoNNF_rho1276_AUX1NaN_AUX2NaN_4-2_2_3</t>
  </si>
  <si>
    <t xml:space="preserve">Nerea </t>
  </si>
  <si>
    <t>2 of 3, Gen3 sep</t>
  </si>
  <si>
    <t>IC0518_CatPLDNi10uM_AnoNNF_rho1276_AUX1NaN_AUX2NaN_4-2_2_3.png</t>
  </si>
  <si>
    <t>IC0525_CatPLDNi5uM_AnoNNF_rho1276_AUX1NaN_AUX2NaN_4-3_3_3</t>
  </si>
  <si>
    <t>3 of 3 , Gen3 sep</t>
  </si>
  <si>
    <t>IC0525_CatPLDNi5uM_AnoNNF_rho1276_AUX1NaN_AUX2NaN_4-3_3_3.png</t>
  </si>
  <si>
    <t>IC0526_CatPLD 10 um_AnoNNF_rho1276_AUX1NaN_AUX2NaN_5-6_3/3</t>
  </si>
  <si>
    <t>_QC_IC_58.5h_6h</t>
  </si>
  <si>
    <t>IC0526_CatPLD 10 um_AnoNNF_rho1276_AUX1NaN_AUX2NaN_5-6_3of3.png</t>
  </si>
  <si>
    <t>IC0531_CatNNF_AnoPLDNi2.5um_rho1276_AUX1NaN_AUX2NaN_3-7</t>
  </si>
  <si>
    <t>IC0531_CatNNF_AnoPLDNi2.5um_rho1276_AUX1NaN_AUX2NaN_3-7.png</t>
  </si>
  <si>
    <t>IC0532_CatNNF_AnoPLDNi5um_rho1276_AUX1NaN_AUX2NaN_3-8</t>
  </si>
  <si>
    <t>1 of 3, Gen 3 sep</t>
  </si>
  <si>
    <t>IC0532_CatNNF_AnoPLDNi5um_rho1276_AUX1NaN_AUX2NaN_3-8.png</t>
  </si>
  <si>
    <t>IC0533_CatNNF_AnoPLDNi10um_rho1276_AUX1NaN_AUX2NaN_4-2</t>
  </si>
  <si>
    <t>IC0533_CatNNF_AnoPLDNi10um_rho1276_AUX1NaN_AUX2NaN_4-2.png</t>
  </si>
  <si>
    <t>IC0537_CatNNF_AnoPLDNi5um_rho1276_AUX1NaN_AUX2NaN_3-5</t>
  </si>
  <si>
    <t>pretreated cathode, preheated, 2 of 3</t>
  </si>
  <si>
    <t>IC0537_CatNNF_AnoPLDNi5um_rho1276_AUX1NaN_AUX2NaN_3-5.png</t>
  </si>
  <si>
    <t>IC0538_CatNNF_AnoPLDNi10um_rho1276_AUX1NaN_AUX2NaN_3-6</t>
  </si>
  <si>
    <t>IC0538_CatNNF_AnoPLDNi10um_rho1276_AUX1NaN_AUX2NaN_3-6.png</t>
  </si>
  <si>
    <t>IC0543_CatNNF_AnoPLDNi2.5um_rho1276_AUX1NaN_AUX2NaN_3-7</t>
  </si>
  <si>
    <t>Pretreated NNF, preheated KOH and Beaker Repeat 3/3, using SEM sample</t>
  </si>
  <si>
    <t>IC0543_CatNNF_AnoPLDNi2.5um_rho1276_AUX1NaN_AUX2NaN_3-7.png</t>
  </si>
  <si>
    <t>IC0544_CatPLDNi2.5um_AnoNNF_rho1276_AUX1NaN_AUX2NaN_3-8</t>
  </si>
  <si>
    <t>IC0544_CatPLDNi2.5um_AnoNNF_rho1276_AUX1NaN_AUX2NaN_3-8.png</t>
  </si>
  <si>
    <t>IC0542_Cat_NNF_AnoPLD_Ni_10mm_rho1276_AUX1NaN_AUX2NaN_2-3</t>
  </si>
  <si>
    <t>3 of 3</t>
  </si>
  <si>
    <t>IC0542_Cat_NNF_AnoPLD_Ni_10mm_rho1276_AUX1NaN_AUX2NaN_2-3.png</t>
  </si>
  <si>
    <t>IC0540_CatNNF_AnoPLDNi10um_rho1276_AUX1NaN_AUX2NaN_4-6</t>
  </si>
  <si>
    <t>pretreated cathode, preheated, 3 of 3</t>
  </si>
  <si>
    <t>IC0540_CatNNF_AnoPLDNi10um_rho1276_AUX1NaN_AUX2NaN_4-6.png</t>
  </si>
  <si>
    <t>IC0553_Cat1NiMo5µm_AnoNNF_rho1276_AUX1NaN_AUX2NaN_3-7</t>
  </si>
  <si>
    <t>IC0553_Cat1NiMo5µm_AnoNNF_rho1276_AUX1NaN_AUX2NaN_3-7.png</t>
  </si>
  <si>
    <t>IC0554_CatNNF_Ano1NiMo5µm_rho1276_AUX1NaN_AUX2NaN_3-8</t>
  </si>
  <si>
    <t>IC0554_CatNNF_Ano1NiMo5µm_rho1276_AUX1NaN_AUX2NaN_3-8.png</t>
  </si>
  <si>
    <t>IC0582_Cat1Ni-Mo_5µm_AnoNNF_rho1279_AUX1NaN_AUX2NaN_3-7</t>
  </si>
  <si>
    <t>IC0582_Cat1Ni-Mo_5µm_AnoNNF_rho1279_AUX1NaN_AUX2NaN_3-7.png</t>
  </si>
  <si>
    <t>IC0583_Cat1NiMo5µm_AnoNNF_rho1279_AUX1NaN_AUX2NaN_3-8</t>
  </si>
  <si>
    <t>IC0583_Cat1NiMo5µm_AnoNNF_rho1279_AUX1NaN_AUX2NaN_3-8.png</t>
  </si>
  <si>
    <t>IC0603_CatNiMo3.5µm_AnoNNF_rho1279_AUX1NaN_AUX2NaN_3-6</t>
  </si>
  <si>
    <t>pretreated, preheated</t>
  </si>
  <si>
    <t>IC0603_CatNiMo3.5µm_AnoNNF_rho1279_AUX1NaN_AUX2NaN_3-6.png</t>
  </si>
  <si>
    <t>IC0155_CatNF3_AnoNNF_rho1287_AUX1NaN_AUX2Ano_NaN</t>
  </si>
  <si>
    <t>21/11/24</t>
  </si>
  <si>
    <t>Top left</t>
  </si>
  <si>
    <t>H2SAF</t>
  </si>
  <si>
    <t>IC0155_CatNF3_AnoNNF_rho1287_AUX1NaN_AUX2Ano_NaN.png</t>
  </si>
  <si>
    <t>IC0154_CatNF2_AnoNNF_rho1287_AUX1NaN_AUX2Ano_NaN</t>
  </si>
  <si>
    <t>IC0154_CatNF2_AnoNNF_rho1287_AUX1NaN_AUX2Ano_NaN.png</t>
  </si>
  <si>
    <t>IC0163_CatNF4_AnoNNF_rho1287_AUX1NaN_AUX2Ano_NaN_1-3</t>
  </si>
  <si>
    <t>26/11/24</t>
  </si>
  <si>
    <t>IC0163_CatNF4_AnoNNF_rho1287_AUX1NaN_AUX2Ano_NaN_1-3.png</t>
  </si>
  <si>
    <t>IC0164_CatNF5_AnoNNF_rho1287_AUX1NaN_AUX2Ano_NaN_1-6</t>
  </si>
  <si>
    <t>IC0164_CatNF5_AnoNNF_rho1287_AUX1NaN_AUX2Ano_NaN_1-6.png</t>
  </si>
  <si>
    <t>IC0343_CatS01-R3B200TU_AnoS01-ANF_rho1276_AUX1NaN_AUX2NaN-1-6</t>
  </si>
  <si>
    <t>IC0343_CatS01-R3B200TU_AnoS01-ANF_rho1276_AUX1NaN_AUX2NaN-1-6.png</t>
  </si>
  <si>
    <t>IC0344_CatS01-R1200TU_AnoS01-ANF_rho1276_AUX1NaN_AUX2NaN-1-7</t>
  </si>
  <si>
    <t>QC_IC_169</t>
  </si>
  <si>
    <t>IC0344_CatS01-R1200TU_AnoS01-ANF_rho1276_AUX1NaN_AUX2NaN-1-7.png</t>
  </si>
  <si>
    <t>IC0348_CatR150TU_AnoANF_rho1276_AUX1NaN_AUX2NaN-2-3</t>
  </si>
  <si>
    <t>Andrea / Nerea</t>
  </si>
  <si>
    <t>no compression</t>
  </si>
  <si>
    <t>IC0348_CatR150TU_AnoANF_rho1276_AUX1NaN_AUX2NaN-2-3.png</t>
  </si>
  <si>
    <t>IC0349_CatR3B50TU_AnoANF_rho1276_AUX1NaN_AUX2NaN-2-4</t>
  </si>
  <si>
    <t>IC0349_CatR3B50TU_AnoANF_rho1276_AUX1NaN_AUX2NaN-2-4.png</t>
  </si>
  <si>
    <t>IC0381_CatR3B3hTLF_2T_AnoANF_2T_rho1276_AUX1NaN_AUX2NaN_1-7</t>
  </si>
  <si>
    <t>IC0381_CatR3B3hTLF_2T_AnoANF_2T_rho1276_AUX1NaN_AUX2NaN_1-7.png</t>
  </si>
  <si>
    <t>IC0380_CatR3B3hBRF_2T_AnoANF_2T_rho1276_AUX1NaN_AUX2NaN_1-6</t>
  </si>
  <si>
    <t>IC0380_CatR3B3hBRF_2T_AnoANF_2T_rho1276_AUX1NaN_AUX2NaN_1-6.png</t>
  </si>
  <si>
    <t>IC0382_CatCNF_2T_AnoANF_2T_rho1276_AUX1Cat_AUX2Ano_2-3</t>
  </si>
  <si>
    <t>Pretreated anode and cathode
70 degrees KOH</t>
  </si>
  <si>
    <t>IC0382_CatCNF_2T_AnoANF_2T_rho1276_AUX1Cat_AUX2Ano_2-3.png</t>
  </si>
  <si>
    <t>IC0412_CatCNF_2T_AnoANF_2T_rho1276_AUX1Cat_AUX2Ano_1-6</t>
  </si>
  <si>
    <t>Pretreated anode and cathode, 70 degrees KOH</t>
  </si>
  <si>
    <t>IC0412_CatCNF_2T_AnoANF_2T_rho1276_AUX1Cat_AUX2Ano_1-6.png</t>
  </si>
  <si>
    <t>IC0413_CatCNF_2T_AnoANF_2T_rho1276_AUX1Cat_AUX2Ano_1-7</t>
  </si>
  <si>
    <t>IC0413_CatCNF_2T_AnoANF_2T_rho1276_AUX1Cat_AUX2Ano_1-7.png</t>
  </si>
  <si>
    <t>IC0438_CatR3B5h_2T_AnoANF_2T_rho1276_AUX1NaN_AUX2NaN_1-6</t>
  </si>
  <si>
    <t xml:space="preserve">70 degrees KOH, no pretreatment, compression </t>
  </si>
  <si>
    <t>IC0438_CatR3B5h_2T_AnoANF_2T_rho1276_AUX1NaN_AUX2NaN_1-6.png</t>
  </si>
  <si>
    <t>IC0439_CatR3B5h_2T_AnoANF_2T_rho1276_AUX1NaN_AUX2NaN_2-8</t>
  </si>
  <si>
    <t>70 degrees KOH, compression, no pretreatment</t>
  </si>
  <si>
    <t>IC0439_CatR3B5h_2T_AnoANF_2T_rho1276_AUX1NaN_AUX2NaN_2-8.png</t>
  </si>
  <si>
    <t>IC0466_CatSAF12_2T_AnoANF_2T_rho1276_AUX1NaN_Aux2NaN_1-6</t>
  </si>
  <si>
    <t>Pretreated anode, 70 C KOH, Gen3 membrane</t>
  </si>
  <si>
    <t>IC0466_CatSAF12_2T_AnoANF_2T_rho1276_AUX1NaN_Aux2NaN_1-6.png</t>
  </si>
  <si>
    <t>IC0467_CatSAF13_2T_AnoANF_2T_rho1276_AUX1NaN_Aux2NaN_2-1</t>
  </si>
  <si>
    <t>IC0467_CatSAF13_2T_AnoANF_2T_rho1276_AUX1NaN_Aux2NaN_2-1.png</t>
  </si>
  <si>
    <t>IC0520_CatGEN3_2T_AnoANF_2T_rho1276_AUX1Cat_AUX2Ano_1-6</t>
  </si>
  <si>
    <t>Pretreatment + 70 degrees KOH</t>
  </si>
  <si>
    <t>IC0520_CatGEN3_2T_AnoANF_2T_rho1276_AUX1Cat_AUX2Ano_1-6.png</t>
  </si>
  <si>
    <t>IC0521_CatGEN3_2T_AnoANF_2T_rho1276_AUX1Cat_AUX2Ano_1-7</t>
  </si>
  <si>
    <t>IC0521_CatGEN3_2T_AnoANF_2T_rho1276_AUX1Cat_AUX2Ano_1-7.png</t>
  </si>
  <si>
    <t>IC0566_CatETC2_2T_AnoANF_2T_rho1276_AUX1NaN_AUX2NaN_1-3</t>
  </si>
  <si>
    <t>IC0566_CatETC2_2T_AnoANF_2T_rho1276_AUX1NaN_AUX2NaN_1-3.png</t>
  </si>
  <si>
    <t>IC0567_CatETC4_2T_AnoANF_2T_rho1276_AUX1NaN_AUX2NaN_2-1</t>
  </si>
  <si>
    <t>IC0567_CatETC4_2T_AnoANF_2T_rho1276_AUX1NaN_AUX2NaN_2-1.png</t>
  </si>
  <si>
    <t>IC0580_CatETC3_2T_AnoANF_rho1279_AUX1NaN_AUX2NaN_1-6</t>
  </si>
  <si>
    <t>Nerea/Akos</t>
  </si>
  <si>
    <t>IC0580_CatETC3_2T_AnoANF_rho1279_AUX1NaN_AUX2NaN_1-6.png</t>
  </si>
  <si>
    <t>IC0581_CatETC5_2T_AnoANF_2T_rho1279_AUX1NaN_AUX2NaN_1-7</t>
  </si>
  <si>
    <t>IC0581_CatETC5_2T_AnoANF_2T_rho1279_AUX1NaN_AUX2NaN_1-7.png</t>
  </si>
  <si>
    <t>IC0634_CatETC4_AnoANF_rho1276_AUX1NaN_AUX2NaN_1-7</t>
  </si>
  <si>
    <t>Aleksandra/Carmine</t>
  </si>
  <si>
    <t>Pretreated Anode - not compressed</t>
  </si>
  <si>
    <t>IC0634_CatETC4_AnoANF_rho1276_AUX1NaN_AUX2NaN_1-7.png</t>
  </si>
  <si>
    <t>IC0635_CatETC5_AnoANF_rho1276_AUX1NaN_AUX2NaN_1-6</t>
  </si>
  <si>
    <t>Pretreated Anode, no compression</t>
  </si>
  <si>
    <t>IC0635_CatETC5_AnoANF_rho1276_AUX1NaN_AUX2NaN_1-6.png</t>
  </si>
  <si>
    <t>IC0699_CatETC18_AnoNNF_rho1279_AUX1NaN_AUX2NaN_1-6</t>
  </si>
  <si>
    <t>IC0700_CatETC17_AnoNNF_rho1279_AUX1NaN_AUX2NaN_1-7</t>
  </si>
  <si>
    <t>IC0701_CatETC16_AnoNNF_rho1279_AUX1NaN_AUX2NaN_1-8</t>
  </si>
  <si>
    <t>IC0726_CatETC16_AnoNNF_rho1279_AUX1NaN_AUX2NaN_1-6</t>
  </si>
  <si>
    <t>Carmine/Mohammadreza</t>
  </si>
  <si>
    <t>IC0727_CatETC16_AnoNNF_rho1279_AUX1NaN_AUX2NaN_1-7</t>
  </si>
  <si>
    <t>IC0728_CatETC16_AnoNNF_rho1279_AUX1NaN_AUX2NaN_1-8</t>
  </si>
  <si>
    <t>IC0918_CatPreNNF_AnoPreNNF_rho1279_1-6</t>
  </si>
  <si>
    <t>_168h_48hCC_10cyclesCCwithRCshutoff.xml</t>
  </si>
  <si>
    <t xml:space="preserve">
Preheated KOH, Beaker, Pretreated electrodes</t>
  </si>
  <si>
    <t>Julie Pulse Plating</t>
  </si>
  <si>
    <t>IC0920_CatPreNNF_AnoPreNNF_rho1279_1-7</t>
  </si>
  <si>
    <t>IC0921_CatPulse-1_AnoPulse-1_rho_1279_1-8</t>
  </si>
  <si>
    <t>IC0937_CatPreNNF_AnoPreNNF_rho1279_3-4</t>
  </si>
  <si>
    <t>IC0938_CatPreNNF_AnoPreNNF_rho1279_2-2</t>
  </si>
  <si>
    <t>IC0939_CatPreNNF_AnoPreNNF_rho1279_1-6</t>
  </si>
  <si>
    <t>IC0940_CatPreNNF_AnoPreNNF_rho1279_1-7</t>
  </si>
  <si>
    <t>IC0941_CatPreNNF_AnoPreNNF_rho1279_2-1</t>
  </si>
  <si>
    <t>IC0942_CatPreNNF_AnoPreNNF_rho1279_1-8</t>
  </si>
  <si>
    <t>IC0946_CatPulse-1_AnoPulse-1_rho1279_5-2</t>
  </si>
  <si>
    <t>IC0947_CatPulse-1_AnoPulse-1_rho1279_5-5</t>
  </si>
  <si>
    <t>Preheated KOH Please save in IC_Logbook: H2-SAF</t>
  </si>
  <si>
    <t xml:space="preserve">
IC1299_CatPC-3_AnoPC-3_rho1281_1-3</t>
  </si>
  <si>
    <t xml:space="preserve">
preheated beaker, preheated KOH, 1/1</t>
  </si>
  <si>
    <t>C1300_CatCC-4_AnoCC-4_rho1281_1-5</t>
  </si>
  <si>
    <t>IC1334_CatPC-6_AnoPC-6_rho1281_1-5</t>
  </si>
  <si>
    <t>preheated beaker, preheated KOH, 1/1</t>
  </si>
  <si>
    <t>Julie puls plating (white binder)</t>
  </si>
  <si>
    <t>IC1333_CatPC-5_AnoPC-5_rho1281_1-3</t>
  </si>
  <si>
    <t>IC1413_CatPC-12_AnoPC-12_rho1281_1-8</t>
  </si>
  <si>
    <t>preheated beaker, preheated KOH, 1/2. Ended before do to high voltage after short time</t>
  </si>
  <si>
    <t>IC1414_CatPC-11_AnoPC-11_rho1281_1-5</t>
  </si>
  <si>
    <t xml:space="preserve">preheated beaker, preheated KOH, 1/2. Ended before do to fine trend and capacity issues </t>
  </si>
  <si>
    <t>IC1415_CatPC-11_AnoPC-11_rho1281_1-3</t>
  </si>
  <si>
    <t xml:space="preserve">preheated beaker, preheated KOH, 2/2. Ended before do to fine trend and capacity issues </t>
  </si>
  <si>
    <t>IC1420_CatPC-12_AnoPC-12_rho1281_1-8</t>
  </si>
  <si>
    <t>IC1424_CatPC-13_AnoPC-13_rho1281_1-3</t>
  </si>
  <si>
    <t>IC1423_CatPC-3_AnoPC-3_rho1281_1-5</t>
  </si>
  <si>
    <t>IC1442_CatPC-13_AnoPC-13_rho1281_1-8</t>
  </si>
  <si>
    <t>Preheated beaker and KOH, duplicate 2/2</t>
  </si>
  <si>
    <t>Pulse Plating</t>
  </si>
  <si>
    <t>IC1444_CatPC-14_AnoPC-14_rho1281_1-5</t>
  </si>
  <si>
    <t>Preheated KOH and beaker, duplicate 2/2</t>
  </si>
  <si>
    <t>IC1443_CatPC-14_AnoPC-14_rho1281_1-3</t>
  </si>
  <si>
    <t>Preheated KOH and beaker, duplicate 1/2</t>
  </si>
  <si>
    <t xml:space="preserve">
IC1478_CatPC-16T_AnoPC-16T_rho1281_1-3</t>
  </si>
  <si>
    <t>Preheated KOH and beaker</t>
  </si>
  <si>
    <t>IC1479_CatPC-16B_AnoPC-16B_rho1281_1-5</t>
  </si>
  <si>
    <t>IC1496_CatCC-17B_AnoPC-17B_rho1281_1-3</t>
  </si>
  <si>
    <t>IC1497_CatCC-17T_AnoPC-17T_rho1281_1-5</t>
  </si>
  <si>
    <t>IC1750_CatPC7_AnoPC7_rho1282_1.3ppm_Fe_7-7</t>
  </si>
  <si>
    <t>IC1751_CatPC8_AnoPC8_rho1282_1.3ppm_Fe_7-8</t>
  </si>
  <si>
    <t>IC0766_CatT3A9k2_AnoA9k2T3_rho1279_3-5</t>
  </si>
  <si>
    <t xml:space="preserve">Preheated beaker and KOH, T3 Porous transport layer 1 of 2, IC 1 Cathode IC 4 Anode </t>
  </si>
  <si>
    <t>IC0767_CatT3A9k4_AnoA9k4T3_rho1279_3-6</t>
  </si>
  <si>
    <t>IC0768_CatT3A9k8_AnoA9k8T3_rho1279_3-7</t>
  </si>
  <si>
    <t>IC0769_CatT3A9k12_AnoA9k12T3_rho1279_3-8</t>
  </si>
  <si>
    <t>IC0781_CatT3A9k12_AnoA9k12T3_rho1279_1-1</t>
  </si>
  <si>
    <t>Preheated beaker and KOH</t>
  </si>
  <si>
    <t>IC0780_CatT3A9k8_AnoA9k8T3_rho1279_1-2</t>
  </si>
  <si>
    <t>IC0784_CatT3A5k8_AnoA5k8T3_rho1279_3-5</t>
  </si>
  <si>
    <t>IC0785_CatT3A5k8_AnoA5k8T3_rho1279_3-6</t>
  </si>
  <si>
    <t>IC0783_CatT3A5k12_AnoA5k12T3_rho1279_3-8</t>
  </si>
  <si>
    <t>IC0782_CatT3A5k12_AnoA5k12T3_rho1279_3-7</t>
  </si>
  <si>
    <t>IC0123_CatNNF_AnoSPR11_T90_rho1287_AUX1Cat_AUX2Ano_3-6</t>
  </si>
  <si>
    <t>MLF</t>
  </si>
  <si>
    <t>MLF samples</t>
  </si>
  <si>
    <t>IC0123_CatNNF_AnoSPR11_T90_rho1287_AUX1Cat_AUX2Ano_3-6.png</t>
  </si>
  <si>
    <t>IC0122_CatNNF_AnoSPR60_T90_rho1287_AUX1Cat_AUX2Ano_2-8</t>
  </si>
  <si>
    <t>IC0122_CatNNF_AnoSPR60_T90_rho1287_AUX1Cat_AUX2Ano_2-8.png</t>
  </si>
  <si>
    <t>IC0308_CatSPR70_AnoSPR70_rho1279_AUX1Cat_AUXAno_1-6</t>
  </si>
  <si>
    <t>IC0308_CatSPR70_AnoSPR70_rho1279_AUX1Cat_AUXAno_1-6.png</t>
  </si>
  <si>
    <t>IC0309_CatNNF_AnoNNF_rho1279_AUX1Cat_AUXAno_1-7</t>
  </si>
  <si>
    <t>IC0309_CatNNF_AnoNNF_rho1279_AUX1Cat_AUXAno_1-7.png</t>
  </si>
  <si>
    <t xml:space="preserve">Synthesis recipe (liq/gas) </t>
  </si>
  <si>
    <t>Synthesis time (h)</t>
  </si>
  <si>
    <t>Synthesis temperature (°C)</t>
  </si>
  <si>
    <t>Coating test on (anode/cathode/both)</t>
  </si>
  <si>
    <t>CatAWJ_004, AnoNNF</t>
  </si>
  <si>
    <t>22/02/2023</t>
  </si>
  <si>
    <t>At time = 240 hours, the temperature was changed from 80 to 85 C.</t>
  </si>
  <si>
    <t>IC0002_CatAWJ004_AnoNNF_T80_rho1191_AUX1Cat_AUX2Ano</t>
  </si>
  <si>
    <t>Cathode</t>
  </si>
  <si>
    <t>CatAWJ_006, AnoNNF</t>
  </si>
  <si>
    <t>16/02/2023</t>
  </si>
  <si>
    <t>stopped, 80C</t>
  </si>
  <si>
    <t>IC0001_CatAWJ006_AnoNNF_T80_rho1217_AUX1Ano_AUX2Cat</t>
  </si>
  <si>
    <t>CatAWJ_007, AnoNNF</t>
  </si>
  <si>
    <t>backplate the other way around, 80C</t>
  </si>
  <si>
    <t>IC0001_CatAWJ007_AnoNNF0000_T80_rho1217_AUX1Cat_AUX2Ano</t>
  </si>
  <si>
    <t>CatAWJ_008, AnoNNF</t>
  </si>
  <si>
    <t>Long time, 93C</t>
  </si>
  <si>
    <t>IC0001_CatAWJ008_AnoNNF_T93_rho1217_AUX1Ano_AUX2Cat_old</t>
  </si>
  <si>
    <t>CatAWJ_010, AnoNNF</t>
  </si>
  <si>
    <t>80C</t>
  </si>
  <si>
    <t>IC0001_CatAWJ010_AnoNNF_T80_rho1217_AUX1NaN_AUX2NaN</t>
  </si>
  <si>
    <t>CatAWJ_011, AnoNNF</t>
  </si>
  <si>
    <t>20/02/2023</t>
  </si>
  <si>
    <t>Stirring switched on after XX hours, 20/2/2023 at 10am, 80C</t>
  </si>
  <si>
    <t>IC0001_CatAWJ011_AnoNNF_T80_rho1217_AUX1Ano_AUX2Cat</t>
  </si>
  <si>
    <t>CatAWJ_013, AnoNNF</t>
  </si>
  <si>
    <t>IC003_CatAWJ0013_AnoNNF_T80_rho1191_AUX1NaN_AUX2NaN</t>
  </si>
  <si>
    <t>CatAWJ_015, AnoNNF</t>
  </si>
  <si>
    <t>27/02/2023</t>
  </si>
  <si>
    <t>stopped, 90C</t>
  </si>
  <si>
    <t>IC0001_CatAWJ015_AnoNNF_T90_rho1191_AUX1NaN_AUX2NaN</t>
  </si>
  <si>
    <t>CatNNF, AnoAWJ_016</t>
  </si>
  <si>
    <t>IC0001_CatNNF_AnoAWJ016_T80_rho1191_AUX1Cat_AUX2Ano</t>
  </si>
  <si>
    <t>Anode</t>
  </si>
  <si>
    <t>CatAWJ_018, AnoAWJ_017</t>
  </si>
  <si>
    <t>28/02/2023</t>
  </si>
  <si>
    <t>83C</t>
  </si>
  <si>
    <t>IC0001_CatAWJ018_AnoAWJ017_T83_rho1191_AUX1Ano_AUX2Cat</t>
  </si>
  <si>
    <t>CatAWJ_026, AnoAWJ_025</t>
  </si>
  <si>
    <t>15/03/2023</t>
  </si>
  <si>
    <t>IC0025_CatAWJ026_AnoAWJ25_T85_rho1191_AUX1Cat_AUX2Ano</t>
  </si>
  <si>
    <t>CatNNF, AnoAWJ_027</t>
  </si>
  <si>
    <t>13/03/2023</t>
  </si>
  <si>
    <t>temperature off from day 2 to 7, 92C</t>
  </si>
  <si>
    <t>IC0001_CatNNF_AnoAWJ27_T92_rho1191_AUX1NaN_AUX2NaN</t>
  </si>
  <si>
    <t>CatAWJ_029, AnoAWJ_052</t>
  </si>
  <si>
    <t>CatAWJ_036, AnoAWJ_037</t>
  </si>
  <si>
    <t>24/03/2023</t>
  </si>
  <si>
    <t>both electrodes ex-situ H2S 2h@87C without AUX, 85C</t>
  </si>
  <si>
    <t>IC0036_CatAWJ036_AnoAWJ037_T85_rho1244_AUX1NaN_AUX2NaN</t>
  </si>
  <si>
    <t>CatAWJ_038, AnoAWJ_039</t>
  </si>
  <si>
    <t>29/03/2023</t>
  </si>
  <si>
    <t>test, 80C</t>
  </si>
  <si>
    <t>IC0038_CatAWJ038_AnoAWJ039_T80_rho1244_AUX1Cat_AUX2Ano</t>
  </si>
  <si>
    <t>CatAWJ_042, AnoNNF</t>
  </si>
  <si>
    <t>27/03/2023</t>
  </si>
  <si>
    <t>96C</t>
  </si>
  <si>
    <t>IC0001_CatAWJ42_AnoNNF_T96_rho1244_AUX1Cat_AUX2Ano</t>
  </si>
  <si>
    <t>CatAWJ_044, AnoAWJ_045</t>
  </si>
  <si>
    <t>85C, ex-situ H2S 2h@87C, Only AUX on ano, cathode LP broke during assembly, addition of water after 6 days</t>
  </si>
  <si>
    <t>IC0002_CatAWJ044_AnoAWJ045_T85_rho1244_AUX1Ano_AUX2NaN</t>
  </si>
  <si>
    <t>CatAWJ_050, AnoAWJ_051</t>
  </si>
  <si>
    <t>CatAWJ_057, AnoAWJ_056</t>
  </si>
  <si>
    <t>82C</t>
  </si>
  <si>
    <t>IC050523_CatAWJ057_AnoAWJ056_T82_rho1231_AUX1Ano_AUX2Cat</t>
  </si>
  <si>
    <t>CatAWJ_059, AnoAWJ_060</t>
  </si>
  <si>
    <t>CatAWJ_062, AnoAWJ_063</t>
  </si>
  <si>
    <t>19/04/2023</t>
  </si>
  <si>
    <t>85C</t>
  </si>
  <si>
    <t>IC0001_CatAWJ063_AnoAWJ062_T85_rho1241_AUX1Ano_AUX2Cat</t>
  </si>
  <si>
    <t>CatAWJ_065, AnoAWJ_064</t>
  </si>
  <si>
    <t>90C, 50 mL/min</t>
  </si>
  <si>
    <t>IC0105_CatAWJ065_AnoAWJ064_T90_rho1231_AUX1Ano_AUX2Cat</t>
  </si>
  <si>
    <t>CatAWJ_007, AnoAWJ_066</t>
  </si>
  <si>
    <t>IC0105_CatAWJ007_AnoAWJ066_T85_rho1231_AUX1Ano_AUX2Cat</t>
  </si>
  <si>
    <t>CatAWJ_069, AnoAWJ_068</t>
  </si>
  <si>
    <t>88C</t>
  </si>
  <si>
    <t>IC050523_CatAWJ069_AnoAWJ068_T88_rho1231_AUX1Ano_AUX2Cat</t>
  </si>
  <si>
    <t>CatAWJ_077, AnoAWJ_072</t>
  </si>
  <si>
    <t>17/05/2023</t>
  </si>
  <si>
    <t>99C test</t>
  </si>
  <si>
    <t>IC1705_CatAWJ077_AnoAWJ072_T90_rho1269_AUX1NaN_AUX2NaN</t>
  </si>
  <si>
    <t>CatAWJ_073, AnoAWJ_075</t>
  </si>
  <si>
    <t>23/05/2023</t>
  </si>
  <si>
    <t>IC2305_CatAWJ073_Ano075_T90_rho1269_AUX1Cat_AUX2Ano</t>
  </si>
  <si>
    <t>CatAWJ_078, AnoAWJ_076</t>
  </si>
  <si>
    <t>IC2305_CatAWJ078_AnoAWJ076_T90_rho1269_AUX1Cat_AUX2Ano</t>
  </si>
  <si>
    <t>CatAWJ_076, AnoNNF</t>
  </si>
  <si>
    <t>ProcessedData_IC0001_CatAWJ0076_AnoNNF_T80_rho1217_AUX1Ano_AUX2Cat.csv</t>
  </si>
  <si>
    <t>CatAWJ_081, AnoAWJ_079</t>
  </si>
  <si>
    <t>22/06/2023</t>
  </si>
  <si>
    <t>90C, 0.5 A current density 400 min</t>
  </si>
  <si>
    <t>IC2206-0.5Acm2_CatAWJ081_AnoAWJ0079_T90_rho1237_AUX1NaN_AUX2Ano</t>
  </si>
  <si>
    <t>CatAWJ_007, AnoAWJ_066 second</t>
  </si>
  <si>
    <t>50 mL/min</t>
  </si>
  <si>
    <t>IC2305second_CatAWJ007_AnoAWJ066_T90_rho1269_AUX1Cat_AUX2Ano</t>
  </si>
  <si>
    <t>CatAWJ_080, AnoAWJ_074</t>
  </si>
  <si>
    <t>26/05/2023</t>
  </si>
  <si>
    <t>IC2605_CatAWJ080_AnoAWJ074_T88_rho1287_AUX1Cat_AUX2Ano</t>
  </si>
  <si>
    <t>CatAWJ_081, AnoAWJ_083</t>
  </si>
  <si>
    <t>87C</t>
  </si>
  <si>
    <t>IC2605_CatAWJ081_AnoAWJ083_T87_rho1287_AUX1Cat_AUX2Ano</t>
  </si>
  <si>
    <t>CatAWJ_084, AnoAWJ_082</t>
  </si>
  <si>
    <t>90C</t>
  </si>
  <si>
    <t>IC2605_CatAWJ084_AnoAWJ082_T90_rho1287_AUX1Cat_AUX2Ano</t>
  </si>
  <si>
    <t>IC2606_CatAWJ081_AnoAWJ079_T90_rho1227_AUX1Cat_AUX2Ano</t>
  </si>
  <si>
    <t>CatAWJ_094, AnoAWJ_095</t>
  </si>
  <si>
    <t>IC0001_CatAWJ94_AnoAWJ95_T90_rho1287_AUX1ano_AUX2cat</t>
  </si>
  <si>
    <t>CatAWJ_106, AnoAWJ_107</t>
  </si>
  <si>
    <t>IC0602_CatAWJ106_AnoAWJ107_T90_rho1282_AUX1Cat_AUX2Ano</t>
  </si>
  <si>
    <t>CatAWJ_108, AnoAWJ_109</t>
  </si>
  <si>
    <t>IC0602_CatAWJ108_AnoAWJ109_T90_rho1282_AUX1Cat_AUX2Ano</t>
  </si>
  <si>
    <t>CatAWJ_111, AnoAWJ_110</t>
  </si>
  <si>
    <t>IC0602_CatAWJ111_AnoAWJ110_T90_rho1282_AUX1Cat_AUX2Ano</t>
  </si>
  <si>
    <t>CatAWJ_113, AnoNNF</t>
  </si>
  <si>
    <t>IC0602_CatAWJ113_AnoNNF_T90_rho1282_AUX1Cat_AUX2Ano</t>
  </si>
  <si>
    <t>CatAWJ_115, AnoAWJ_114</t>
  </si>
  <si>
    <t>IC0602_CatAWJ115_AnoAWJ114_T90_rho1282_AUX1Cat_AUX2Ano</t>
  </si>
  <si>
    <t>CatAWJ_116, AnoAWJ_117</t>
  </si>
  <si>
    <t>IC0602_CatAWJ116_AnoAWJ117_T90_rho1282_AUX1Cat_AUX2Ano</t>
  </si>
  <si>
    <t>CatSESO016, AnoSESO016</t>
  </si>
  <si>
    <t>17/10/2023</t>
  </si>
  <si>
    <t>90C, new protocol</t>
  </si>
  <si>
    <t>IC1710_CatSESO016_AnoSESO016_T90_rho1287_AUX1NaN_AUX2NaN</t>
  </si>
  <si>
    <t>IC0001_CatHS14_AnoHS11_T90_rho1287_AUX1NaN_AUX2NaN_2-7</t>
  </si>
  <si>
    <t>21/08/2024</t>
  </si>
  <si>
    <t>IC0001_CatHS14_AnoHS11_T90_rho1287_AUX1NaN_AUX2NaN_2-7.png</t>
  </si>
  <si>
    <t>IC0082_CatHS14_AnoHS11_T90_rho1287_AUX1NaN_AUX2NaN_2-7</t>
  </si>
  <si>
    <t>07/10/2024</t>
  </si>
  <si>
    <t>Plot from ultralong, data avaliable in two files</t>
  </si>
  <si>
    <t>IC0082_CatHS14_AnoHS11_T90_rho1287_AUX1NaN_AUX2NaN_2-7.png</t>
  </si>
  <si>
    <t>IC0083_AnoHS16_CatHS19_T90_rho1287_AUX1Nan_AUX2NaN_2-5</t>
  </si>
  <si>
    <t>IC0083_AnoHS16_CatHS19_T90_rho1287_AUX1Nan_AUX2NaN_2-5.png</t>
  </si>
  <si>
    <t>IC0092_CatHS21_AnoHS20_T90_rho1287_AUX1Nan_AUX2NaN_1-3</t>
  </si>
  <si>
    <t>Ákos</t>
  </si>
  <si>
    <t>23/10/2024</t>
  </si>
  <si>
    <t>4h, 110C</t>
  </si>
  <si>
    <t>IC0092_CatHS21_AnoHS20_T90_rho1287_AUX1Nan_AUX2NaN_1-3.png</t>
  </si>
  <si>
    <t>IC0108_AnoNFE_HS1_CatNFE_HS6_T90_rho1287_AUX1Nan_AUX2NaN_1-2</t>
  </si>
  <si>
    <t>Temperature fluctuations</t>
  </si>
  <si>
    <t>HS-NFE-MSH</t>
  </si>
  <si>
    <t>IC0108_AnoNFE_HS1_CatNFE_HS6_T90_rho1287_AUX1Nan_AUX2NaN_1-2.png</t>
  </si>
  <si>
    <t>IC0109_AnoNFE_HS4_CatNFE_HS5_T90_rho1287_AUX1Nan_AUX2NaN_3-5</t>
  </si>
  <si>
    <t>IC0109_AnoNFE_HS4_CatNFE_HS5_T90_rho1287_AUX1Nan_AUX2NaN_3-5.png</t>
  </si>
  <si>
    <t>IC0110_CatHS34_AnoHS35_T90_rho1287_AUX1NaN_AUX2_NaN_3-1</t>
  </si>
  <si>
    <t>IC0110_CatHS34_AnoHS35_T90_rho1287_AUX1NaN_AUX2_NaN_3-1.png</t>
  </si>
  <si>
    <t>IC0111_CatHS32_AnoHS33_T90_rho1287_AUX1NaN_AUX2_NaN_3-3</t>
  </si>
  <si>
    <t>IC0111_CatHS32_AnoHS33_T90_rho1287_AUX1NaN_AUX2_NaN_3-3.png</t>
  </si>
  <si>
    <t>IC0112_CatHS30_AnoHS31_T90_rho1287_AUX1NaN_AUX2NaN_3-4</t>
  </si>
  <si>
    <t>4h 110C, cathode was damaged, partialy stuck to membrane</t>
  </si>
  <si>
    <t>IC0112_CatHS30_AnoHS31_T90_rho1287_AUX1NaN_AUX2NaN_3-4.png</t>
  </si>
  <si>
    <t>IC0116_AnoNNFNFE_CatNNFNFE_T90_rho1287_AUX1Nan_AUX2NaN_70%porosityNFE_2-4</t>
  </si>
  <si>
    <t>IC0116_AnoNNFNFE_CatNNFNFE_T90_rho1287_AUX1Nan_AUX2NaN_70% porosity NFE_2-4.png</t>
  </si>
  <si>
    <t>IC0117_CatNNFNFE_AnoNNFNFE_T90_rho1287_AUX1Ano_AUX2_Cat_1-6_70%porosityNFE</t>
  </si>
  <si>
    <t>30/10/2024</t>
  </si>
  <si>
    <t>IC0117_CatNNFNFE_AnoNNFNFE_T90_rho1287_AUX1Ano_AUX2_Cat_1-6 - 70% porosity NFE.png</t>
  </si>
  <si>
    <t>IC0129_AnoNNFNFE_CatNNFNF_T90_rho1287_AUX1Nan_AUX2NaN_70%porosityNFE_1-1</t>
  </si>
  <si>
    <t>IC0129_AnoNNFNFE_CatNNFNF_T90_rho1287_AUX1Nan_AUX2NaN_70% porosity NFE_1-1.png</t>
  </si>
  <si>
    <t>IC0137_Cat4XMSH_Ano4XMSH_T90_rho1287_AUX1Ano_AUX2_Cat_1-6</t>
  </si>
  <si>
    <t>IC0137_Cat4XMSH_Ano4XMSH_T90_rho1287_AUX1Ano_AUX2_Cat_1-6.png</t>
  </si>
  <si>
    <t>IC0138_CatMHS2_XM+3XMSH_AnoMHS1_XM+3XMSH_T90_rho1287_AUX1Ano_AUX2_Cat_1-1</t>
  </si>
  <si>
    <t>IC0138_CatMHS2_XM+3XMSH_AnoMHS1_XM+3XMSH_T90_rho1287_AUX1Ano_AUX2_Cat_1-1.png</t>
  </si>
  <si>
    <t>IC0081_CatHS16_AnoNNF_T90_rho1240_AUX1NaN_AUX2NaN-CH13</t>
  </si>
  <si>
    <t>another IC0081 exists on gen3car-gen2 sheet</t>
  </si>
  <si>
    <t>IC0081_CatHS16_AnoNNF_T90_rho1240_AUX1NaN_AUX2NaN-CH13.png</t>
  </si>
  <si>
    <t>IC0162_CatNNF_AnoLS1_T90_rho1287_AUX1NaN_AUX2NaN_3-3</t>
  </si>
  <si>
    <t>LS - lig sulf</t>
  </si>
  <si>
    <t>IC0162_CatNNF_AnoLS1_T90_rho1287_AUX1NaN_AUX2NaN_3-3.png</t>
  </si>
  <si>
    <t>IC0159_AnoNFE_HS4_CatNFE_HS5_T90_rho1287_AUX1Nan_AUX2NaN_1-1-CHANGED ELECTROLYTE</t>
  </si>
  <si>
    <t>17h 110C, changed electrolyte</t>
  </si>
  <si>
    <t>IC0159_AnoNFE_HS4_CatNFE_HS5_T90_rho1287_AUX1Nan_AUX2NaN_1-1-CHANGED ELECTROLYTE.png</t>
  </si>
  <si>
    <t>IC0179_CatHSs27cm_AnoHSs41cm_rho1287_AUX1NaN_AUX2NaN_1-2</t>
  </si>
  <si>
    <t>IC0179_CatHSs27cm_AnoHSs41cm_rho1287_AUX1NaN_AUX2NaN_1-2.png</t>
  </si>
  <si>
    <t>IC0124_CatNNF+NFEH2S-S1_AnoNNF+NFEH2S-S1_T90_rho1287_AUX1NaN_AUX2_NaN_3-1</t>
  </si>
  <si>
    <t>IC0124_CatNNF+NFEH2S-S1_AnoNNF+NFEH2S-S1_T90_rho1287_AUX1NaN_AUX2_NaN_3-1.png</t>
  </si>
  <si>
    <t>IC0180_CatHSs14cm_AnoHSs54cm_rho1287_AUX1NaN_AUX2NaN_1-3</t>
  </si>
  <si>
    <t>IC0180_CatHSs14cm_AnoHSs54cm_rho1287_AUX1NaN_AUX2NaN_1-3.png</t>
  </si>
  <si>
    <t>Glycerin, cysteine, 100C, 17h</t>
  </si>
  <si>
    <t>IC0212_CatLS3_AnoLS3_rho1287_AUX1NaN_AUX2NaN_2-5</t>
  </si>
  <si>
    <t>isopropanol, cysteine, 125C, 4h</t>
  </si>
  <si>
    <t>IC0212_CatLS3_AnoLS3_rho1287_AUX1NaN_AUX2NaN_2-5.png</t>
  </si>
  <si>
    <t>IC0244_CatLS4b_AnoLS4a_rho1287_AUX1NaN_AUX2NaN_1-2</t>
  </si>
  <si>
    <t>23/01/2025</t>
  </si>
  <si>
    <t>isopropanol, cysteine, 150C, 4h</t>
  </si>
  <si>
    <t>IC0245_CatLS5b_AnoLS5a_rho1287_AUX1NaN_AUX2NaN_1-3</t>
  </si>
  <si>
    <t>isopropanol, thiourea, 150C, 4h</t>
  </si>
  <si>
    <t>IC0172_CatNFE-HS7_AnoNFE-HS8_rho1287_AUX1NaN_AUX2Ano_NaN_1-1</t>
  </si>
  <si>
    <t>15/01/2025</t>
  </si>
  <si>
    <t>17h, 110C</t>
  </si>
  <si>
    <t>IC0172_CatNFE-HS7_AnoNFE-HS8_rho1287_AUX1NaN_AUX2Ano_NaN_1-1.png</t>
  </si>
  <si>
    <t>IC0265_CatHS_LP2_AnoNNF_rho1287_AUX1NaN_AUX2NaN_2-7</t>
  </si>
  <si>
    <t>IC0265_CatHS_LP2_AnoNNF_rho1287_AUX1NaN_AUX2NaN_2-7.png</t>
  </si>
  <si>
    <t>IC0284_CatNNF_AnoHS_LP6_rho1287_AUX1NaN_AUX2NaN_1-3</t>
  </si>
  <si>
    <t>IC0284_CatNNF_AnoHS_LP6</t>
  </si>
  <si>
    <t>IC0264_CatHS_LP1_AnoNNF_rho1287_AUX1NaN_AUX2NaN_2-8</t>
  </si>
  <si>
    <t>IC0264_CatHS_LP1_AnoNNF_rho1287_AUX1NaN_AUX2NaN_2-8.png</t>
  </si>
  <si>
    <t>IC0307_CatNNF_AnoHS_LP5_rho1287_AUX1NaN_AUX2NaN_1-5</t>
  </si>
  <si>
    <t>IC0347_CatHS-FC1C_AnoHS-FC1A_rho1276_AUX1Cat_AUX2Ano_1-2</t>
  </si>
  <si>
    <t>IC0347_CatHS-FC1C_AnoHS-FC1A.png</t>
  </si>
  <si>
    <t>IC0421_CatLS9c_AnoLS9a_rho1276_AUX1NaN_AUX2NaN_2-7</t>
  </si>
  <si>
    <t>sofficheck</t>
  </si>
  <si>
    <t>IC0421_CatLS9c_AnoLS9a_rho1276_AUX1NaN_AUX2NaN_2-7.png</t>
  </si>
  <si>
    <t>IC0422_CatLS10c_AnoLS10a_rho1276_AUX1NaN_AUX2NaN_2-8</t>
  </si>
  <si>
    <t>IC0422_CatLS10c_AnoLS10a_rho1276_AUX1NaN_AUX2NaN_2-8.png</t>
  </si>
  <si>
    <t>IC0416_CatLS7c_AnoLS7a_rho1276_AUX1NaN_AUX2NaN_1-1</t>
  </si>
  <si>
    <t>IC0416_CatLS7c_AnoLS7a_rho1276_AUX1NaN_AUX2NaN_1-1.png</t>
  </si>
  <si>
    <t>IC0448_CatLS15c_AnoLS15a_rho1276_AUX1Cat_AUX2Ano_3-7</t>
  </si>
  <si>
    <t xml:space="preserve">Soffi </t>
  </si>
  <si>
    <t>IC0448_CatLS15c_AnoLS15a_rho1276_AUX1Cat_AUX2Ano_3-7.png</t>
  </si>
  <si>
    <t>IC0449_CatLS15c_AnoLS15a_rho1276_AUX1NaN_Aux2NaN_3-8</t>
  </si>
  <si>
    <t>IC0449_CatLS15c_AnoLS15a_rho1276_AUX1NaN_Aux2NaN_3-8.png</t>
  </si>
  <si>
    <t>IC0417_CatLS6c_AnoLS6a_rho1276_AUX1NaN_AUX2NaN_1-3</t>
  </si>
  <si>
    <t>IC0417_CatLS6c_AnoLS6a_rho1276_AUX1NaN_AUX2NaN_1-3.png</t>
  </si>
  <si>
    <t>IC0437_CatLS8c_AnoLS8a_rho1276_AUX1NaN_AUX2NaN_2-3</t>
  </si>
  <si>
    <t>Was tightened with 1 Nm instead of 0.45 Nm</t>
  </si>
  <si>
    <t>IC0437_CatLS8c_AnoLS8a_rho1276_AUX1NaN_Aux2NaN_2-3.png</t>
  </si>
  <si>
    <t>IC0443_CatHS-FC7C_AnoHS-FC7A_rho1276_AUX1Cat_AUX2Ano_1-1</t>
  </si>
  <si>
    <t>flowcell outside the oven, 140C, 100mL/min</t>
  </si>
  <si>
    <t>IC0443_CatHS-FC7C_AnoHS-FC7A.png</t>
  </si>
  <si>
    <t>IC0434_CatHS-FC6C_AnoHS-FC6A_rho1276_AUX1Cat_AUX2Ano_2-7</t>
  </si>
  <si>
    <t>75 mL/min, 110C</t>
  </si>
  <si>
    <t>IC0434_CatHS-FC6C_AnoHS-FC6A.png</t>
  </si>
  <si>
    <t>IC0450_CatLS17c_AnoLS17a_rho1276_AUX1NaN_AUX2NaN_3-7</t>
  </si>
  <si>
    <t>liq sulfided by PhD Andreas with cysteine</t>
  </si>
  <si>
    <t>IC0450_CatLS17c_AnoLS17a_rho1276_AUX1NaN_AUX2NaN_3-7.png</t>
  </si>
  <si>
    <t>IC0451_CatLS16c_AnoLS16a_rho1276_AUX1NaN_Aux2NaN_3-8</t>
  </si>
  <si>
    <t>IC0451_CatLS16c_AnoLS16a_rho1276_AUX1NaN_Aux2NaN_3-8_cust.png</t>
  </si>
  <si>
    <t>IC0452_CatLS13c_AnoLS13a_rho1276_AUX1NaN_Aux2NaN_4-1</t>
  </si>
  <si>
    <t>liq sulfided by Anders with cysteine, 150C</t>
  </si>
  <si>
    <t>IC0452_CatLS13c_AnoLS13a_rho1276_AUX1NaN_Aux2NaN_4-1.png</t>
  </si>
  <si>
    <t>IC0473_CatLS18C_AnoLS18A_rho1276_AUX1Cat_AUX2Ano_1-1_1of2</t>
  </si>
  <si>
    <t>liq sulfided by Anders with thiourea, 150C</t>
  </si>
  <si>
    <t>IC0473_CatLS18C_AnoLS18A_rho1276_AUX1Cat_AUX2Ano_1-1_1of2.png</t>
  </si>
  <si>
    <t>saved electrolyte</t>
  </si>
  <si>
    <t>IC0479_CatHS-FC10C_AnoHS-FC10A_rho1276_AUX1Cat_AUX2Ano_1-2</t>
  </si>
  <si>
    <t>flowcell outside the oven, rt, 100 mL/min, wet membrane, preheated KOH</t>
  </si>
  <si>
    <t>IC0479_CatHS-FC10C_AnoHS-FC10A.png</t>
  </si>
  <si>
    <t>IC0489_CatLSw1_AnoLSw1_rho1276_AUX1NaN_AUX2NaN-1</t>
  </si>
  <si>
    <t>Peter Almos</t>
  </si>
  <si>
    <t>1of1</t>
  </si>
  <si>
    <t>IC0489_CatLSw1_AnoLSw1_rho1276_AUX1NaN_AUX2NaN-1.png</t>
  </si>
  <si>
    <t>IC0498_CatLSW2_AnoLSW2_rho1276_AUX1NaN_AUX2NaN_5-6</t>
  </si>
  <si>
    <t>18/04/2025</t>
  </si>
  <si>
    <t>IC0498_CatLSW2_AnoLSW2_rho1276_AUX1NaN_AUX2NaN_5-6.png</t>
  </si>
  <si>
    <t>IC0535_CatLS19C_AnoLS19A_rho1276_AUX1Ano_AUX2Cat_1-2_pulse</t>
  </si>
  <si>
    <t>carmine</t>
  </si>
  <si>
    <t>1_ImmersionAgingProcedure_pulse_DN_Soffi</t>
  </si>
  <si>
    <t>liq sulfided Anders and then pulsed program</t>
  </si>
  <si>
    <t>IC0535_CatLS19C_AnoLS19A_rho1276_AUX1Ano_AUX2Cat_1-2_pulse.png</t>
  </si>
  <si>
    <t>IC0529_CatNNF_AnoNNF_rho1276_AUX1NaN_AUX2NaN_2-7</t>
  </si>
  <si>
    <t>IC0529_CatNNF_AnoNNF_rho1276_AUX1NaN_AUX2NaN_2-7.png</t>
  </si>
  <si>
    <t>IC0548_CatLS21a_AnoNNF_rho1276_AUX1Cat_AUX2Ano_1-2_1of2</t>
  </si>
  <si>
    <t>Decided to stop it because it was running strange (200mV more than replicate)</t>
  </si>
  <si>
    <t>IC0548_CatLS21a_AnoNNF_rho1276_AUX1Cat_AUX2Ano_1-2_1of2.png</t>
  </si>
  <si>
    <t>IC0556_CatNNF_AnoNNF_rho1276_AUX1NaN_AUX2NaN_2-7</t>
  </si>
  <si>
    <t>cutom</t>
  </si>
  <si>
    <t>pretreated, preheated KOH</t>
  </si>
  <si>
    <t>IC0556_CatNNF_AnoNNF_rho1276_AUX1NaN_AUX2NaN_2-7.png</t>
  </si>
  <si>
    <t>IC0506_CatLS20C_AnoLS20A_rho1276_AUX1Cat_AUX2Ano_1-5</t>
  </si>
  <si>
    <t>IC0506_CatLS20C_AnoLS20A_rho1276_AUX1Cat_AUX2Ano_1-5.png</t>
  </si>
  <si>
    <t>IC0552_CatLS21b_AnoNNF_rho1276_AUX1Cat_AUX2Ano_2-3_2of2</t>
  </si>
  <si>
    <t>IC0552_CatLS21b_AnoNNF_rho1276_AUX1Cat_AUX2Ano_2-3_2of2.png</t>
  </si>
  <si>
    <t>IC0430_CatHS-FC4C_AnoHS-FC4A_rho1276_AUX1Cat_AUX2Ano_2-5</t>
  </si>
  <si>
    <t>110C, 100mL/min, 14 rounds of coiling</t>
  </si>
  <si>
    <t>IC0430_CatHS-FC4C_AnoHS-FC4A_rho1276_AUX1Cat_AUX2Ano_2-5.png</t>
  </si>
  <si>
    <t>IC0565_CatLS21c_AnoNNF_rho1276_AUX1Cat_AUX2Ano_1-2_3of3</t>
  </si>
  <si>
    <t>liquid sulfiding cathode</t>
  </si>
  <si>
    <t>IC0565_CatLS21c_AnoNNF_rho1276_AUX1Cat_AUX2Ano_1-2_3of3.png</t>
  </si>
  <si>
    <t xml:space="preserve">0,5538g weight cathode </t>
  </si>
  <si>
    <t>IC0493_CatLS19c_AnoLS19a_rho1276_AUX1Cat_AUX2Ano_4-1</t>
  </si>
  <si>
    <t>Started again</t>
  </si>
  <si>
    <t>Experiment started again as IC</t>
  </si>
  <si>
    <t>IC0493_CatLS19c_AnoLS19a_rho1276_AUX1Cat_AUX2Ano_4-1.png</t>
  </si>
  <si>
    <t>IC0474_CatLS18C_AnoLS18A_rho1276_AUX1Cat_AUX2Ano_1-1_2of2</t>
  </si>
  <si>
    <t>0_ImmersionCellStandardProcedure_DN.xml</t>
  </si>
  <si>
    <t>2of2</t>
  </si>
  <si>
    <t>IC0474_CatLS18C_AnoLS18A_rho1276_AUX1Cat_AUX2Ano_1-1_2of2.png</t>
  </si>
  <si>
    <t>IC0592_CatLS19c_AnoLS19a_rho1276_AUX1Cat_AUX2Ano_4-1_2of3</t>
  </si>
  <si>
    <t xml:space="preserve"> finished after 700 h called IC0493_CatLS19c_AnoLS19a_rho1276_AUX1Cat_AUX2Ano_4-1_2of3 new electrolyte added and new IC number. </t>
  </si>
  <si>
    <t>IC0592_CatLS19c_AnoLS19a_rho1276_AUX1Cat_AUX2Ano_4-1_2of3.png</t>
  </si>
  <si>
    <t>IC0632_CatNNF_AnoLS23AB_rho1279_AUX1NaN_AUX2NaN_4-1</t>
  </si>
  <si>
    <t>30/05/2025</t>
  </si>
  <si>
    <t>LS23_AB, beaker depth: 97.84, new clamp system, GEN3 (grey bag)</t>
  </si>
  <si>
    <t>IC0632_CatNNF_AnoLS23AB_rho1279_AUX1NaN_AUX2NaN_4-1.png</t>
  </si>
  <si>
    <t>IC0633_CatNNF_AnoLS23TR_rho1279_AUX1NaN_AUX2NaN_4-2</t>
  </si>
  <si>
    <t>LS23_TR, beaker depth: 98.45, new clamp system. Gen3 membrane</t>
  </si>
  <si>
    <t>IC0633_CatNNF_AnoLS23TR_rho1279_AUX1NaN_AUX2NaN_4-2.png</t>
  </si>
  <si>
    <t>IC0651_CatLS20_AnoNNF_rho1279_AUX1Cat_AUX2Ano_4-1</t>
  </si>
  <si>
    <t>LS20, weight before EC: 0.5434g, pretreated anode, preheated KOH and beaker</t>
  </si>
  <si>
    <t>IC0651_CatLS20_AnoNNF_rho1279_AUX1Cat_AUX2Ano_4-1.png</t>
  </si>
  <si>
    <t>IC0652_CatLS21_AnoNNF_rho1279_AUX1NaN_AUX2NaN_4-2</t>
  </si>
  <si>
    <t>LS21, weight before EC: 0.2276g, pretreated anode, preheated KOH and beaker</t>
  </si>
  <si>
    <t>IC0652_CatLS21_AnoNNF_rho1279_AUX1NaN_AUX2NaN_4-2.png</t>
  </si>
  <si>
    <t>IC0658_CatLSW3_AnoLSW3_rho1279_AUX1NaN_AUX2Ano_1-1</t>
  </si>
  <si>
    <t xml:space="preserve">preheated beaker and KOH, Weight: Cathode 0.1994 g, A:0.4742 g </t>
  </si>
  <si>
    <t>IC0658_CatLSW3_AnoLSW3_rho1279_AUX1NaN_AUX2Ano_1-1.png</t>
  </si>
  <si>
    <t>IC0659_CatLSW4_AnoLSW4_rho1279_AUX1NaN_AUX2Ano_1-2</t>
  </si>
  <si>
    <t xml:space="preserve">preheated beaker and KOH, Weight: Cathode 0.1949g, A:0.4995 g </t>
  </si>
  <si>
    <t>IC0659_CatLSW4_AnoLSW4_rho1279_AUX1NaN_AUX2Ano_1-2.png</t>
  </si>
  <si>
    <t>IC0429_CatHS-FC5C_AnoHS-FC5A_rho1276_AUX1Cat_AUX2Ano_1-8</t>
  </si>
  <si>
    <t>140C, 100mL/min, 14 rounds of coiling</t>
  </si>
  <si>
    <t>IC0685_CatLS27_AnoLS27_rho1279_AUX1NaN_AUX2Ano_1-1_1of2</t>
  </si>
  <si>
    <t>IC0686_CatLS27_AnoLS27_rho1279_AUX1NaN_AUX2Ano_1</t>
  </si>
  <si>
    <t>IC0195_CatNiMeshKOHActivated_AnoNNF_rho1287_AUX1NaN_AUX2NaN_1-3</t>
  </si>
  <si>
    <t>IC0195_CatNiMeshKOHActivated_AnoNNF_rho1287_AUX1NaN_AUX2NaN_1-3.png</t>
  </si>
  <si>
    <t>IC0196_CatNiMesh_AnoNNF_rho1287_AUX1NaN_AUX2NaN_1-6</t>
  </si>
  <si>
    <t>IC0196_CatNiMesh_AnoNNF_rho1287_AUX1NaN_AUX2NaN_1-6.png</t>
  </si>
  <si>
    <t>IC0197_CatNiFelt70_AnoNNF_rho1287_AUX1NaN_AUX2NaN_3-1</t>
  </si>
  <si>
    <t>IC0197_CatNiFelt70_AnoNNF_rho1287_AUX1NaN_AUX2NaN_3-1.png</t>
  </si>
  <si>
    <t>IC0218_CatFelt70_AnoFelt70_rho1287_AUX1NaN_AUX2NaN_1-2</t>
  </si>
  <si>
    <t>27/12/2024</t>
  </si>
  <si>
    <t>IC0218_CatFelt70_AnoFelt70_rho1287_AUX1NaN_AUX2NaN_1-2.png</t>
  </si>
  <si>
    <t>IC0217_CatFelt80_AnoFelt80_rho1287_AUX1NaN_AUX2NaN_1-3</t>
  </si>
  <si>
    <t>IC0217_CatFelt80_AnoFelt80_rho1287_AUX1NaN_AUX2NaN_1-3.png</t>
  </si>
  <si>
    <t>IC0216_CatS01_W01_AnoS01_W01_rho1287_AUX1NaN_AUX2NaN_1-5</t>
  </si>
  <si>
    <t>IC0216_CatS01_W01_AnoS01_W01_rho1287_AUX1NaN_AUX2NaN_1-5.png</t>
  </si>
  <si>
    <t>IC0215_CatNNFC_W01_AnoNNFA_rho1287_AUX1NaN_AUX2NaN_2-1</t>
  </si>
  <si>
    <t>IC0215_CatNNFC_W01_AnoNNFA_rho1287_AUX1NaN_AUX2NaN_2-1.png</t>
  </si>
  <si>
    <t>IC0214_CatS01_W01_AnoNNFA_rho1287_AUX1NaN_AUX2NaN_2-3</t>
  </si>
  <si>
    <t>IC0214_CatS01_W01_AnoNNFA_rho1287_AUX1NaN_AUX2NaN_2-3.png</t>
  </si>
  <si>
    <t>IC0213_CatS01_Felt80_AnoS01Felt80_rho1287_AUX1NaN_AUX2ANaN_2-4</t>
  </si>
  <si>
    <t>IC0213_CatS01_Felt80_AnoS01Felt80_rho1287_AUX1NaN_AUX2ANaN_2-4.png</t>
  </si>
  <si>
    <t>IC0211_CatFelt80_AnoFelt80_rho1287_AUX1Cat_AUX2Ano_2-7</t>
  </si>
  <si>
    <t>IC0211_CatFelt80_AnoFelt80_rho1287_AUX1Cat_AUX2Ano_2-7.png</t>
  </si>
  <si>
    <t>IC0210_CatFelt80_AnoFelt80_rho1287_AUX1NaN_AUX2NaN_2-8</t>
  </si>
  <si>
    <t>IC0210_CatFelt80_AnoFelt80_rho1287_AUX1NaN_AUX2NaN_2-8.png</t>
  </si>
  <si>
    <t>IC0219_CatFelt70_AnoFelt70_Rho1287_AUX1NaN_AUX2NaN_1-6</t>
  </si>
  <si>
    <t>IC0219_CatFelt70_AnoFelt70_Rho1287_AUX1NaN_AUX2NaN_1-6.png</t>
  </si>
  <si>
    <t>IC0220_CatFelt70_AnoFelt70_rho1287_AUX1NaN_AUX2NaN_1-2</t>
  </si>
  <si>
    <t>IC0220_CatFelt70_AnoFelt70_rho1287_AUX1NaN_AUX2NaN_1-2.png</t>
  </si>
  <si>
    <t>IC0255_CatS01-02030-N4_Ano01-02030-N4_rho1287_AUX1Cat_AUX2Ano_pH4.0_2A_TU60_2-3</t>
  </si>
  <si>
    <t>23/1/2025</t>
  </si>
  <si>
    <t>IC0255_CatS01-02030-N4_Ano01-02030-N4_rho1287_AUX1Cat_AUX2Ano_pH4.0_2A_TU60_2-3.png</t>
  </si>
  <si>
    <t>IC0256_CatS01-02030-N4_Ano01-02030-N4_rho1287_AUX1Cat_AUX2Ano_pH4.0_2A_TU60_2-4</t>
  </si>
  <si>
    <t>IC0256_CatS01-02030-N4_Ano01-02030-N4_rho1287_AUX1Cat_AUX2Ano_pH4.0_2A_TU60_2-4.png</t>
  </si>
  <si>
    <t>IC0271_CatS01_CNF_AnoS01_ANF_rho1287_AUX1NaN_AUX2NaN_1-7</t>
  </si>
  <si>
    <t>IC0271_CatS01_CNF_AnoS01_ANF_rho1287_AUX1NaN_AUX2NaN_1-7.png</t>
  </si>
  <si>
    <t>IC0272_2xCNF_Ano2xANF_rho1287_AUX1NaN_AUX2NaN_3-2</t>
  </si>
  <si>
    <t>IC0275_CatNF_AnoFenano1_rho1287_AUX1Ano_AUX2NaN_1-2</t>
  </si>
  <si>
    <t>IC0275_CatNF_AnoFenano1_rho1287_AUX1Ano_AUX2NaN_1-2.png</t>
  </si>
  <si>
    <t>IC0295_CatS01_CNF_AnoS01_ANF_rho1276_AUX1NaN_AUX2NaN_1-7</t>
  </si>
  <si>
    <t>IC0295_CatS01_CNF_AnoS01_ANF_rho1276_AUX1NaN_AUX2NaN_1-7.png</t>
  </si>
  <si>
    <t>IC0296_Cat2xCNF_Ano2xANF_rho1276_AUX1NaN_AUX2NaN_2-1</t>
  </si>
  <si>
    <t>IC0296_Cat2xCNF_Ano2xANF_rho1276_AUX1NaN_AUX2NaN_2-1.png</t>
  </si>
  <si>
    <t>IC0322_CatNF_AnoNFnanoFe_rho1276_AUX1NaN_AUX2NaN</t>
  </si>
  <si>
    <t>test of iron nano particles</t>
  </si>
  <si>
    <t>IC0322_CatNF_AnoNFnanoFe_rhoxxxx_AUX1NaN_AUX2NaN.png</t>
  </si>
  <si>
    <t>70 degrees KOH. EG9C: Ni foam in 125 degrees, 4 h, thiourea + 0.01M H2SO4</t>
  </si>
  <si>
    <t>IC1855_CatA31_AnoA31_rho1282_1.3ppm_Fe_4-1</t>
  </si>
  <si>
    <t xml:space="preserve">T4 porous transfer layers </t>
  </si>
  <si>
    <t>External/Mesh</t>
  </si>
  <si>
    <t>IC1856_CatA31_AnoA31_rho1282_1.3ppm_Fe_6-1</t>
  </si>
  <si>
    <t>IC1857_CatA31_AnoA31_rho1282_1.3ppm_Fe_1-6</t>
  </si>
  <si>
    <t>IC1871_CatExt-S3-T4_AnoEXTS3-T4_rho1282_1.3ppm_Fe_4-4</t>
  </si>
  <si>
    <t>External electrodes supplier 3/transport layer 4 - 3000hr, stopped due to overfilling beaker, 2 new test assembled, IC1876 and IC1877</t>
  </si>
  <si>
    <t>IC1862_CatA31_AnoA31_rho1282_1.3ppm_Fe_8-1</t>
  </si>
  <si>
    <t>A31 active layer pretreated, T4 transport layer (no pretreatment), 168 h test</t>
  </si>
  <si>
    <t>IC1863_CatA31_AnoA31_rho1282_1.3ppm_Fe_8-2</t>
  </si>
  <si>
    <t>IC1868_CatCVD-T4_AnoCommMesh-T4_rho1282_1.3ppm_Fe_2-6</t>
  </si>
  <si>
    <t>H2-FOAM_Vigan_168h_PolCurveAtEnd_14h.xml</t>
  </si>
  <si>
    <t>H2_FOAM_Vigan_168h, untreated CommMesh, T4 transport layer not pretreated</t>
  </si>
  <si>
    <t>IC1869_CatCommMesh-T4_AnoCVD-T4_rho1282_1.3ppm_Fe_2-5</t>
  </si>
  <si>
    <t>IC1866_CatCommMesh-T4_AnoCommMesh-T4_rho1282_1.3ppm_Fe_1-8</t>
  </si>
  <si>
    <t>IC1867_CatCommMesh-T4_AnoCommMesh-T4_rho1282_1.3ppm_Fe_1-6</t>
  </si>
  <si>
    <t>IC1873_CatExt-S4-T4_AnoA31-T4_rho1282_1.3ppm_Fe_6-6</t>
  </si>
  <si>
    <t>Cathode: External electrodes supplier 4/transport layer 4; Anode: A31-T4 - 3000hr</t>
  </si>
  <si>
    <t>IC1874_CatExt-S4-T4_AnoA31-T4_rho1282_1.3ppm_Fe_6-8</t>
  </si>
  <si>
    <t>IC1875_CatExt-S4-T4_AnoA31-T4_rho1282_1.3ppm_Fe_7-4</t>
  </si>
  <si>
    <t>IC1870_CatExt-S3-T4_AnoEXTS3-T4_rho1282_1.3ppm_Fe_4-3</t>
  </si>
  <si>
    <t>External electrodes supplier 3/transport layer 4 - 3000hr</t>
  </si>
  <si>
    <t>IC1872_CatExt-S3-T4_AnoEXTS3-T4_rho1282_1.3ppm_Fe_4-5</t>
  </si>
  <si>
    <t>IC1878_CatCommMesh-T4_AnoCVD-T4_rho1282_1.3ppm_Fe_2-5</t>
  </si>
  <si>
    <r>
      <rPr>
        <b/>
        <sz val="11"/>
        <color rgb="FF000000"/>
        <rFont val="Calibri"/>
        <scheme val="minor"/>
      </rPr>
      <t>Stopped due to unsatisfactory performance</t>
    </r>
    <r>
      <rPr>
        <sz val="11"/>
        <color rgb="FF000000"/>
        <rFont val="Calibri"/>
        <scheme val="minor"/>
      </rPr>
      <t>. Reassembly. Electrodes and the transport layer are all from IC1868 and all were rinsed with water. Fresh Membrane. CVD tested as anode. 181h test</t>
    </r>
  </si>
  <si>
    <t>IC1879_CatCommMesh-T4_AnoCVD-T4_rho1282_1.3ppm_Fe_2-6</t>
  </si>
  <si>
    <r>
      <rPr>
        <b/>
        <sz val="11"/>
        <color rgb="FF000000"/>
        <rFont val="Calibri"/>
        <scheme val="minor"/>
      </rPr>
      <t>Stopped due to unsatisfactory performance</t>
    </r>
    <r>
      <rPr>
        <sz val="11"/>
        <color rgb="FF000000"/>
        <rFont val="Calibri"/>
        <scheme val="minor"/>
      </rPr>
      <t>. Reassembly.  Electrodes and the transport layer are all from IC1869 and all were rinsed with water. Fresh Membrane. CVD tested as anode. 181h test</t>
    </r>
  </si>
  <si>
    <t>IC1876_CatExt-S3-T4_AnoExt-S3-T4_rho1282_1.3ppm_Fe_4-1</t>
  </si>
  <si>
    <t>IC1877_CatExt-S3-T4_AnoExt-S3-T4_rho1282_1.3ppm_Fe_5-3</t>
  </si>
  <si>
    <t>IC1716_CatDNC_AnoNNF_rho1281_5ppm_Fe_7-6</t>
  </si>
  <si>
    <r>
      <rPr>
        <b/>
        <sz val="11"/>
        <color theme="1"/>
        <rFont val="Calibri"/>
        <family val="2"/>
        <scheme val="minor"/>
      </rPr>
      <t xml:space="preserve">Misscalculated iron content, stopped due to this mistake. </t>
    </r>
    <r>
      <rPr>
        <sz val="11"/>
        <color theme="1"/>
        <rFont val="Calibri"/>
        <family val="2"/>
        <scheme val="minor"/>
      </rPr>
      <t>3000h test. 5 ppm Fe added. denora cathode stopped because of poor Fe solution</t>
    </r>
  </si>
  <si>
    <t>OTHERS (blue binder)</t>
  </si>
  <si>
    <t>IC1717_CatDNC_AnoNNF_rho1282_5ppm_Fe_7-7</t>
  </si>
  <si>
    <t>IC1718_CatDNC_AnoNNF_rho1282_20ppm_Fe_7-8</t>
  </si>
  <si>
    <t>IC1719_CatDNC_AnoNNF_rho1281_20ppm_Fe_2-5</t>
  </si>
  <si>
    <t>IC1017_CatDNC_Ano_DNA_rho1279_1-6</t>
  </si>
  <si>
    <t>Alesandra</t>
  </si>
  <si>
    <t>DeNora electrodes, 3000h test</t>
  </si>
  <si>
    <t>IC1018_CatDNC_Ano_DNA_rho1279_1-7</t>
  </si>
  <si>
    <t>DeNora electodes, 3000h test</t>
  </si>
  <si>
    <t>Long term testing</t>
  </si>
  <si>
    <t>IC1885_CatExt-S2-T4_AnoExt-S2-T4_rho1282_1.3ppm_Fe_1-8</t>
  </si>
  <si>
    <t>24 h leaching for the meshes. No pretreatment for T4.</t>
  </si>
  <si>
    <t>IC0224_CatA003270_AnoNNF_rho1287_AUX1Cat_AUX2Ano_pH_3.5_2-4</t>
  </si>
  <si>
    <t>Flemming</t>
  </si>
  <si>
    <t>Sensitivity analysis: ph 3.5</t>
  </si>
  <si>
    <t>IC0224_CatA003270_AnoNNF_rho1287_AUX1Cat_AUX2Ano_pH_3.5_2-4.png</t>
  </si>
  <si>
    <t>IC0223_CatA003269_AnoNNF_rho1287_AUX1Cat_AUX2Ano_pH_3.5_2-7</t>
  </si>
  <si>
    <t>IC0223_CatA003269_AnoNNF_rho1287_AUX1Cat_AUX2Ano_pH_3.5_2-7.png</t>
  </si>
  <si>
    <t>IC0222_CatA003268_AnoNNF_rho1287_AUX1Cat_AUX2Ano_pH_3.5_2-8</t>
  </si>
  <si>
    <t>IC0222_CatA003268_AnoNNF_rho1287_AUX1Cat_AUX2Ano_pH_3.5_2-8.png</t>
  </si>
  <si>
    <t>IC0230_CatA003271_AnoNNF_rho1287_AUX1Cat_AUX2Ano_pH_4.5_3-2</t>
  </si>
  <si>
    <t>13/1/2025</t>
  </si>
  <si>
    <t>Sensitivity analysis: ph 4.5</t>
  </si>
  <si>
    <t>IC0230_CatA003271_AnoNNF_rho1287_AUX1Cat_AUX2Ano_pH_4.5_3-2.png</t>
  </si>
  <si>
    <t>IC0231_CatA003272_AnoNNF_rho1287_AUX1Cat_AUX2Ano_pH_4.5_3-3</t>
  </si>
  <si>
    <t>IC0231_CatA003272_AnoNNF_rho1287_AUX1Cat_AUX2Ano_pH_4.5_3-3.png</t>
  </si>
  <si>
    <t>IC0232_CatA003273_AnoNNF_rho1287_AUX1Cat_AUX2Ano_pH_4.5_3-4</t>
  </si>
  <si>
    <t>IC0232_CatA003273_AnoNNF_rho1287_AUX1Cat_AUX2Ano_pH_4.5_3-4.png</t>
  </si>
  <si>
    <t>IC0235_CatS1_AnoNNF_rho1287_AUX1Cat_AUX2Ano_pH4.0_2A_TU50_3-8</t>
  </si>
  <si>
    <t>14/1/2025</t>
  </si>
  <si>
    <t>Sensitivity study pH: 4.0 Current: 2A TU: 50 g/L</t>
  </si>
  <si>
    <t>IC0235_CatS1_AnoNNF_rho1287_AUX1Cat_AUX2Ano_pH4.0_2A_TU50_3-8.png</t>
  </si>
  <si>
    <t>IC0236_CatS2_AnoNNF_rho1287_AUX1Cat_AUX2Ano_pH3.5_2A_TU50_3-7</t>
  </si>
  <si>
    <t>Sensitivity study pH: 3.5 Current: 2A TU: 50 g/L</t>
  </si>
  <si>
    <t>IC0236_CatS2_AnoNNF_rho1287_AUX1Cat_AUX2Ano_pH3.5_2A_TU50_3-7.png</t>
  </si>
  <si>
    <t>IC0237_CatS3_AnoNNF_rho1287_AUX1Cat_AUX2Ano_pH4.5_2A_TU50_2-8</t>
  </si>
  <si>
    <t>Sensitivity study pH: 4.5 Current: 2A TU: 50 g/L</t>
  </si>
  <si>
    <t>IC0237_CatS3_AnoNNF_rho1287_AUX1Cat_AUX2Ano_pH4.5_2A_TU50_2-8.png</t>
  </si>
  <si>
    <t>IC0238_CatS4_AnoNNF_rho1287_AUX1Cat_AUX2Ano_pH4.0_1.6A_TU50_2-7</t>
  </si>
  <si>
    <t>Sensitivity study pH: 4.0 Current: 1.6A TU: 50 g/L</t>
  </si>
  <si>
    <t>IC0238_CatS4_AnoNNF_rho1287_AUX1Cat_AUX2Ano_pH4.0_1.6A_TU50_2-7.png</t>
  </si>
  <si>
    <t>IC0239_CatS5_AnoNNF_rho1287_AUX1Cat_AUX2Ano_pH4.0_2.4A_TU50_2-4</t>
  </si>
  <si>
    <t>Sensitivity study pH: 4.0 Current: 2.4A TU: 50 g/L</t>
  </si>
  <si>
    <t>TU Conc current density</t>
  </si>
  <si>
    <t>IC0239_CatS5_AnoNNF_rho1287_AUX1Cat_AUX2Ano_pH4.0_2.4A_TU50_2-4.png</t>
  </si>
  <si>
    <t>IC0240_CatS6_AnoNNF_rho1287_AUX1Cat_AUX2Ano_pH4.0_2A_TU40_2-3</t>
  </si>
  <si>
    <t>15/1/2025</t>
  </si>
  <si>
    <t>Sensitivity study pH: 4.0 Current: 2.0A TU: 40 g/L</t>
  </si>
  <si>
    <t>IC0240_CatS6_AnoNNF_rho1287_AUX1Cat_AUX2Ano_pH4.0_2A_TU40_2-3.png</t>
  </si>
  <si>
    <t>IC0241_CatS7_AnoNNF_rho1287_AUX1Cat_AUX2Ano_pH4.0_2A_TU60_2-5</t>
  </si>
  <si>
    <t>Sensitivity study pH: 4.0 Current: 2.0A TU: 60 g/L</t>
  </si>
  <si>
    <t>IC0241_CatS7_AnoNNF_rho1287_AUX1Cat_AUX2Ano_pH4.0_2A_TU60_2-5.png</t>
  </si>
  <si>
    <t>IC0246_CatS8_AnoNNF_rho1287_AUX1Ano_AUX2Cat_pH4.0_2A_TU50__Cl30_3-3</t>
  </si>
  <si>
    <t>22/1/2025</t>
  </si>
  <si>
    <t>Sensitivity analysis: ph 4.0</t>
  </si>
  <si>
    <t>IC0246_CatS8_AnoNNF_rho1287_AUX1Ano_AUX2Cat_pH4.0_2A_TU50__Cl30_3-3.png</t>
  </si>
  <si>
    <t>IC0257_CatS9_AnoNNF_rho1287_AUX1Ano_AUX2Cat_pH4.0_2A_TU50__Cl47_2-5</t>
  </si>
  <si>
    <t>24/1/2025</t>
  </si>
  <si>
    <t>Sensitivity analysis: pH: 4.0 Current: 2.0A TU: 50 g/L Chlorides: 47 g/L</t>
  </si>
  <si>
    <t>IC0257_CatS9_AnoNNF_rho1287_AUX1Ano_AUX2Cat_pH4.0_2A_TU50__Cl47_2-5.png</t>
  </si>
  <si>
    <t>IC0261_CatA003286_AnoNNF_rho1287_AUX1Cat_AUX2Ano_pH_5.0_3-4</t>
  </si>
  <si>
    <t>31/1/2025</t>
  </si>
  <si>
    <t xml:space="preserve">Sensitivity analysis: ph 5.0 </t>
  </si>
  <si>
    <t>IC0261_CatA003286_AnoNNF_rho1287_AUX1Cat_AUX2Ano_pH_5.0_3-4.png</t>
  </si>
  <si>
    <t>IC0262_CatA003287_AnoNNF_rho1287_AUX1Cat_AUX2Ano_pH_5.0_2-1</t>
  </si>
  <si>
    <t>IC0262_CatA003287_AnoNNF_rho1287_AUX1Cat_AUX2Ano_pH_5.0_2-1.png</t>
  </si>
  <si>
    <t>IC0263_CatA003288_AnoNNF_rho1287_AUX1Cat_AUX2Ano_pH_5.0_1-1</t>
  </si>
  <si>
    <t>IC0263_CatA003288_AnoNNF_rho1287_AUX1Cat_AUX2Ano_pH_5.0_1-1.png</t>
  </si>
  <si>
    <t>IC0266_CatA3292_AnoNNF_rho1287_AUX1Cat_AUX2Ano_2-3_pH3.0_NEWbath27</t>
  </si>
  <si>
    <t>Sensitivity test:
pH = 3.0
NEW bath 27
Sample 1 of 3</t>
  </si>
  <si>
    <t>IC0266_CatA3292_AnoNNF_rho1287_AUX1Cat_AUX2Ano_2-3_pH3.0_NEWbath27.png</t>
  </si>
  <si>
    <t>IC0267_CatA3293_AnoNNF_rho1287_AUX1Cat_AUX2Ano_pH3.0_NEWbath27-2-4</t>
  </si>
  <si>
    <t>Sensitivity test:
pH = 3
NEW bath 27
Sample 2 of 3</t>
  </si>
  <si>
    <t>IC0267_CatA3293_AnoNNF_rho1287_AUX1Cat_AUX2Ano_pH3.0_NEWbath27-2-4.png</t>
  </si>
  <si>
    <t>IC0268_CatA3294_AnoNNF_rho1287_AUX1Cat_AUX2Ano_2-3_pH3.0_NEWbath27</t>
  </si>
  <si>
    <t>Sensitivity test:
pH = 3.0
NEW bath 27
Sample 3 of 3</t>
  </si>
  <si>
    <t>IC0268_CatA3294_AnoNNF_rho1287_AUX1Cat_AUX2Ano_2-3_pH3.0_NEWbath27.png</t>
  </si>
  <si>
    <t>IC0269_CatA3291_AnoNNF_rho1287_AUX1Cat_AUX2Ano_3-3_pH2.50_NEWbath27</t>
  </si>
  <si>
    <t>Sensitivity test:
pH = 2.5
NEW bath 27
Sample 3 of 3</t>
  </si>
  <si>
    <t>IC0269_CatA3291_AnoNNF_rho1287_AUX1Cat_AUX2Ano_3-3_pH2.50_NEWbath27.png</t>
  </si>
  <si>
    <t>IC0270_CatA3290_AnoNNF_rho1287_AUX1Cat_AUX2Ano_pH2.5_NEWbath27_1-8</t>
  </si>
  <si>
    <t>Sensitivity test:
pH = 2.5
NEW bath 27
Sample 2 of 3</t>
  </si>
  <si>
    <t>IC0270_CatA3290_AnoNNF_rho1287_AUX1Cat_AUX2Ano_pH2.5_NEWbath27_1-8.png</t>
  </si>
  <si>
    <t>IC0276_CatA3289_AnoNNF_rho1287_AUX1Cat_AUX2Ano_pH2.5_NEWbath27_3-4</t>
  </si>
  <si>
    <t>Sensitivity test:
pH = 2.5
NEW bath 27
Sample 1 of 3</t>
  </si>
  <si>
    <t>IC0276_CatA3289_AnoNNF_rho1287_AUX1Cat_AUX2Ano_pH2.5_NEWbath27_3-4.png</t>
  </si>
  <si>
    <t>IC0321_Cat200TU1A_AnoNNF_rho1276_AUX1Cat_AUX2Ano_2-7</t>
  </si>
  <si>
    <t>It stopped after 14 hours</t>
  </si>
  <si>
    <t>IC0320_Cat200TU0.5A_AnoNNF_rho1276_AUX1Cat_AUX2Ano_3-1</t>
  </si>
  <si>
    <t>non-treated anode, Power outage after 85 hours</t>
  </si>
  <si>
    <t>IC0320_Cat200TU0.5A_AnoNNF_rho1276_AUX1Cat_AUX2Ano_3-1.png</t>
  </si>
  <si>
    <t>IC0327_Cat200TU0.5A_AnoNNF_rho1276_AUX1Cat_AUX2Ano_2-8</t>
  </si>
  <si>
    <t>2nd try, untreated anode. Some kind of problems with either connection orbattery tester -&gt; unstable potential</t>
  </si>
  <si>
    <t>IC0327_Cat200TU0.5A_AnoNNF_rho1276_AUX1Cat_AUX2Ano_2-8.png</t>
  </si>
  <si>
    <t>IC0323_Cat300TU3A_AnoNNF_rho1276_AUX1Cat_AUX2Ano_3-3</t>
  </si>
  <si>
    <t>IC0323_Cat300TU3A_AnoNNF_rho1276_AUX1Cat_AUX2Ano_3-3.png</t>
  </si>
  <si>
    <t>IC0330_Cat200TU1A_AnoNNF_rho1276_AUX1Cat_AUX2Ano_1-8</t>
  </si>
  <si>
    <t>non-treated anode</t>
  </si>
  <si>
    <t>IC0330_Cat200TU1A_AnoNNF_rho1276_AUX1Cat_AUX2Ano_1-8.png</t>
  </si>
  <si>
    <t>IC0329_Cat200TU0.5A-5hrs_AnoNNF_rho1276_AUX1Cat_AUX2Ano_2-5</t>
  </si>
  <si>
    <t>IC0329_Cat200TU0.5A-5hrs_AnoNNF_rho1276_AUX1Cat_AUX2Ano_2-5.png</t>
  </si>
  <si>
    <t>IC0328_Cat200TU3A_AnoNNF_rho1276_AUX1Cat_AUX2Ano_2-7</t>
  </si>
  <si>
    <t>IC0328_Cat200TU3A_AnoNNF_rho1276_AUX1Cat_AUX2Ano_2-7.png</t>
  </si>
  <si>
    <t>IC0326_Cat200TUCurrentRamp_AnoNNF_rho1276_AUX1Cat_AUX2Ano_3-4</t>
  </si>
  <si>
    <t>IC0326_Cat200TUCurrentRamp_AnoNNF_rho1276_AUX1Cat_AUX2Ano_3-4.png</t>
  </si>
  <si>
    <t>IC0345_Cat200TU0.5A-5hours_AnoNNF_rho1276_AUX1Cat_AUX2Ano_3-1</t>
  </si>
  <si>
    <t>Non-pretreated NNF anode. Second electrode from 200 TU 0.5A plating</t>
  </si>
  <si>
    <t>IC0345_Cat200TU0.5A-5hours_AnoNNF_rho1276_AUX1Cat_AUX2Ano_3-1.png</t>
  </si>
  <si>
    <t>IC0370_Cat200TU_1A_AnoNNF_rho1276_AUX1Cat_AUX2Ano_1-8</t>
  </si>
  <si>
    <t>QC_IC_24h_v1</t>
  </si>
  <si>
    <t>Pretreated anode, 70 degrees KOH</t>
  </si>
  <si>
    <t>IC0370_Cat200TU_1A_AnoNNF_rho1276_AUX1Cat_AUX2Ano_1-8.png</t>
  </si>
  <si>
    <t>IC0371_Cat200TU_3A_AnoNNF_rho1276_AUX1Cat_AUX2Ano_2-5</t>
  </si>
  <si>
    <t>IC0371_Cat200TU_3A_AnoNNF_rho1276_AUX1Cat_AUX2Ano_2-5.png</t>
  </si>
  <si>
    <t>IC0372_Cat200TU_0.5A_5h_AnoNNF_rho1276_AUX1Cat_AUX2Ano_3-1</t>
  </si>
  <si>
    <t>IC0372_Cat200TU_0.5A_5h_AnoNNF_rho1276_AUX1Cat_AUX2Ano_3-1.png</t>
  </si>
  <si>
    <t>IC0360_Cat200TU0.5A-2run_1AnoNNF_rho1276_AUX1Cat_AUX2Ano_3-3</t>
  </si>
  <si>
    <t>Pretreated anode
2 run, first electrode (0.5A)
Not preheated KOH</t>
  </si>
  <si>
    <t>IC0360_Cat200TU0.5A-2run_1AnoNNF_rho1276_AUX1Cat_AUX2Ano_3-3.png</t>
  </si>
  <si>
    <t>IC0361_Cat200TU0.5A-2run_2AnoNNF_rho1276_AUX1Cat_AUX2Ano_3-4</t>
  </si>
  <si>
    <t>IC0361_Cat200TU0.5A-2run_2AnoNNF_rho1276_AUX1Cat_AUX2Ano_3-4.png</t>
  </si>
  <si>
    <t>IC0389_Cat200TU1A-AnoNNF_rho1276_AUX1Cat_AUX2Ano_2-1</t>
  </si>
  <si>
    <t>24h
Pretreated anode
Started a day after it was assembled because of the fire</t>
  </si>
  <si>
    <t>IC0389_Cat200TU1A-AnoNNF_rho1276_AUX1Cat_AUX2Ano_2-1.png</t>
  </si>
  <si>
    <t>IC0388_Cat200TU0.5A-5h_2AnoNNF_rho1276_AUX1Cat_AUX2Ano_2-5</t>
  </si>
  <si>
    <t>IC0388_Cat200TU0.5A-5h_2AnoNNF_rho1276_AUX1Cat_AUX2Ano_2-5.png</t>
  </si>
  <si>
    <t>IC0440_CatRCP50-1of3_AnoNNF_rho1276_AUX1Cat_AUX2Ano_GEN3_Membrane_2-4</t>
  </si>
  <si>
    <t>pretreated (acetone, HCl)</t>
  </si>
  <si>
    <t>IC0440_CatRCP50-1of3_AnoNNF_rho1276_AUX1Cat_AUX2Ano_GEN3_Membrane_2-4.png</t>
  </si>
  <si>
    <t>IC0441_CatRCP50-2of3_AnoNNF_rho1276_AUX1Cat_AUX2Ano_GEN3_Membrane_2-4</t>
  </si>
  <si>
    <t>IC0441_CatRCP50-2of3_AnoNNF_rho1276_AUX1Cat_AUX2Ano_GEN3_Membrane_2-4.png</t>
  </si>
  <si>
    <t>IC0455_CatRCP50_AnoNNF_rho1276_AUX1Cat_AUX2Ano_3-1</t>
  </si>
  <si>
    <t>Recipe 50; 3 of 3.</t>
  </si>
  <si>
    <t>IC0455_CatRCP50_AnoNNF_rho1276_AUX1Cat_AUX2Ano_3-1.png</t>
  </si>
  <si>
    <t>IC0456_CatRCP51_AnoNNF_rho1276_AUX1Cat_AUX2Ano_3-2</t>
  </si>
  <si>
    <t>Recipe 51; 1 of 3.</t>
  </si>
  <si>
    <t>IC0456_CatRCP51_AnoNNF_rho1276_AUX1Cat_AUX2Ano_3-2.png</t>
  </si>
  <si>
    <t>IC0457_CatRCP51_AnoNNF_rho1276_AUX1Cat_AUX2Ano_3-3</t>
  </si>
  <si>
    <t>Recipe 51; 2 of 3.</t>
  </si>
  <si>
    <t>IC0457_CatRCP51_AnoNNF_rho1276_AUX1Cat_AUX2Ano_3-3.png</t>
  </si>
  <si>
    <t>IC0461_CatRCP51_AnoNNF_rho1276_AUX1NaN_AUX2NaN_4-2</t>
  </si>
  <si>
    <t>Recipe 51; 3 of 3, no lollipop.</t>
  </si>
  <si>
    <t>Current Ramping, Rcp 50-55 &amp; 60-62</t>
  </si>
  <si>
    <t>https://hydrogenpro.sharepoint.com/:i:/s/AdvancedSurfacePlatingApS/ERWLL54K1exChUVS5Z9UqGIBmnrmdhc1XmINlyekqEw9-Q?e=oaMVhC</t>
  </si>
  <si>
    <t>IC0462_CatRCP52_AnoNNF_rho1276_AUX1Cat_AUX2Ano_4-3</t>
  </si>
  <si>
    <t>Recipe 52; 1 of 3.</t>
  </si>
  <si>
    <t>IC0462_CatRCP52_AnoNNF.png</t>
  </si>
  <si>
    <t>IC0482_CatRCP53_AnoNNF_rho1276_AUX1NaN_AUX2NaN_2-3</t>
  </si>
  <si>
    <t>Recipe 53; 1 of 3</t>
  </si>
  <si>
    <t>IC0482_CatRCP53_AnoNNF_1of3.png</t>
  </si>
  <si>
    <t>IC0483_CatRCP53_AnoNNF_rho1276_AUX1NaN_AUX2NaN_2-4</t>
  </si>
  <si>
    <t>Recipe 53; 2 of 3</t>
  </si>
  <si>
    <t>IC0483_CatRCP53_AnoNNF.png</t>
  </si>
  <si>
    <t>IC0484_CatRCP53_AnoNNF_rho1276_AUX1NaN_AUX2NaN_2-8</t>
  </si>
  <si>
    <t>_QC_IC_168h_v2</t>
  </si>
  <si>
    <t>Recipe 53; 3 of 3, pretreated KOH</t>
  </si>
  <si>
    <t>https://hydrogenpro.sharepoint.com/:i:/s/AdvancedSurfacePlatingApS/EbVw7Kc1rdVJk9AUgObiMIYB26GHtfUUrZivg5KYOGO4VA?e=SlLLBk</t>
  </si>
  <si>
    <t>IC0485_CatRCP54_AnoNNF_rho1276_AUX1NaN_AUX2NaN_5-7_1of3</t>
  </si>
  <si>
    <t>1 of 3
pretreated, preheated KOH</t>
  </si>
  <si>
    <t>IC0485_CatRCP54_AnoNNF_rho1276_AUX1NaN_AUX2NaN_5-7_1of3.png</t>
  </si>
  <si>
    <t>IC0486_CatRCP54_AnoNNF_rho1276_AUX1NaN_AUX2NaN_5-8_2of3</t>
  </si>
  <si>
    <t>2 of 3
pretreated, preheated KOH</t>
  </si>
  <si>
    <t>IC0486_CatRCP54_AnoNNF_rho1276_AUX1NaN_AUX2NaN_5-8_2of3.png</t>
  </si>
  <si>
    <t>IC0490_CatRCP54_AnoNNF_rho1276_AUX1NaN_AUX2NaN_3-1</t>
  </si>
  <si>
    <t>3 of 3
pretreated, preheated KOH</t>
  </si>
  <si>
    <t>IC0490_CatRCP54_AnoNNF_rho1276_AUX1NaN_AUX2NaN_3-1.png</t>
  </si>
  <si>
    <t>IC0491_CatRCP55_AnoNNF_rho1276_AUX1NaN_AUX2NaN_3-2</t>
  </si>
  <si>
    <t>IC0491_CatRCP55_AnoNNF_rho1276_AUX1NaN_AUX2NaN_3-2.png</t>
  </si>
  <si>
    <t>IC0492_CatRCP55_AnoNNF_rho1276_AUX1NaN_AUX2NaN_3-3</t>
  </si>
  <si>
    <t>IC0492_CatRCP55_AnoNNF_rho1276_AUX1NaN_AUX2NaN_3-3.png</t>
  </si>
  <si>
    <t>IC0512_CatRCP57_AnoNNF_rho1276_AUX1NaN_AUX2NaN_3-4_1of3</t>
  </si>
  <si>
    <t>1 of 3
pretreated, preheated KOH, corrupted data, temperature controller turned off at around 16 hours of working</t>
  </si>
  <si>
    <t>Ramp plating Recipe 56-57 (white binder)</t>
  </si>
  <si>
    <t>IC0512_CatRCP57_AnoNNF_rho1276_AUX1NaN_AUX2NaN_3-4_1of3.png</t>
  </si>
  <si>
    <t>IC0510_CatRCP56_AnoNNF_rho1276_AUX1NaN_AUX2NaN_5-8_1of3</t>
  </si>
  <si>
    <t>1 of 3 pretreated, preheated KOH</t>
  </si>
  <si>
    <t>IC0510_CatRCP56_AnoNNF_rho1276_AUX1NaN_AUX2NaN_5-8_1of3.png</t>
  </si>
  <si>
    <t>IC0510_CatRCP56_AnoNNF_rho1276_AUX1NaN_AUX2NaN_5-8_2of3</t>
  </si>
  <si>
    <t>2 of 3 pretreated, preheated KOH</t>
  </si>
  <si>
    <t>IC0510_CatRCP56_AnoNNF_rho1276_AUX1NaN_AUX2NaN_5-8_2of3.png</t>
  </si>
  <si>
    <t>IC0513_CatRCP57_AnoNNF_rho1276_AUX1NaN_AUX2NaN_2-3_2of3</t>
  </si>
  <si>
    <t>preatreated, preheated KOH and beaker</t>
  </si>
  <si>
    <t>IC0513_CatRCP57_AnoNNF_rho1276_AUX1NaN_AUX2NaN_2-3_2of3.png</t>
  </si>
  <si>
    <t>IC0511_CatRCP56_AnoNNF_rho1276_AUX1NaN_AUX2NaN_2-4_3of3</t>
  </si>
  <si>
    <t>3of3, pretreated, preheated KOH and beaker</t>
  </si>
  <si>
    <t>IC0511_CatRCP56_AnoNNF_rho1276_AUX1NaN_AUX2NaN_2-4_3of3.png</t>
  </si>
  <si>
    <t>IC0523_CatRCP54@70C_AnoNNF_rho1276_AUX1NaN_AUX2NaN_3-2_2of3</t>
  </si>
  <si>
    <t>IC0523_CatRCP54@70C_AnoNNF_rho1276_AUX1NaN_AUX2NaN_3-2_2of3.png</t>
  </si>
  <si>
    <t>IC0525_CatRCP54@70C_AnoNNF_rho1276_AUX1NaN_AUX2NaN_3-3_3of3</t>
  </si>
  <si>
    <t xml:space="preserve">3 of 3 pretreated, preheated KOH and beakers
</t>
  </si>
  <si>
    <t>IC0525_CatRCP54@70C_AnoNNF_rho1276_AUX1NaN_AUX2NaN_3-3_3of3.png</t>
  </si>
  <si>
    <t>IC0522_CatRCP54@70C_AnoNNF_rho1276_AUX1NaN_AUX2NaN_3-1_1of3</t>
  </si>
  <si>
    <t>pretreated, preheated KOH and beakers, gen3memb</t>
  </si>
  <si>
    <t>IC0522_CatRCP54@70C_AnoNNF_rho1276_AUX1NaN_AUX2NaN_3-1_1of3.png</t>
  </si>
  <si>
    <t>IC0524_CatRCP57_AnoNNF_rho1276_AUX1NaN_AUX2NaN_2-8_3of3</t>
  </si>
  <si>
    <t>pretreated, preheated KOH and beaker, Memb.gen3, Possible leak ph10 of heater plate</t>
  </si>
  <si>
    <t>IC0524_CatRCP57_AnoNNF_rho1276_AUX1NaN_AUX2NaN_2-8_3of3.png</t>
  </si>
  <si>
    <t>IC0528_CatRCP54@82C _AnoNNF_rho1276_AUX1NaN_AUX2NaN_3-4_1of3</t>
  </si>
  <si>
    <t>1of3, pretreated, preheated KOH and beaker Memb.gen 3</t>
  </si>
  <si>
    <t>IC0528_CatRCP54@82C _AnoNNF_rho1276_AUX1NaN_AUX2NaN_3-4_1of3.png</t>
  </si>
  <si>
    <t>IC0536_CatRCP57_AnoNNF_rho1276_AUX1NaN_AUX2NaN_2-4_4of3</t>
  </si>
  <si>
    <t>Recipe 57; 4 of 3, pretreated, preheated</t>
  </si>
  <si>
    <t>IC0536_CatRCP57_AnoNNF_rho1276_AUX1NaN_AUX2NaN_2-4_4of3.png</t>
  </si>
  <si>
    <t>IC0559_CatRCP60_AnoNNF_rho1276_AUX1NaN_AUX2NaN_3-1_1of2</t>
  </si>
  <si>
    <t>Recipe 60; 1 of 2, pretreated, preheated</t>
  </si>
  <si>
    <t>IC0559_CatRCP60_AnoNNF_rho1276_AUX1NaN_AUX2NaN_3-1_1of2.png</t>
  </si>
  <si>
    <t>IC0560_CatRCP60_AnoNNF_rho1276_AUX1NaN_AUX2NaN_3-2_2of2</t>
  </si>
  <si>
    <t>Recipe 60; 2 of 2, pretreated, preheated</t>
  </si>
  <si>
    <t>IC0560_CatRCP60_AnoNNF_rho1276_AUX1NaN_AUX2NaN_3-2_2of2.png</t>
  </si>
  <si>
    <t>IC0561_CatRCP61_AnoNNF_rho1276_AUX1NaN_AUX2NaN_3-3_1of2</t>
  </si>
  <si>
    <t>Recipe 61; 1 of 2, pretreated, preheated</t>
  </si>
  <si>
    <t>IC0561_CatRCP61_AnoNNF_rho1276_AUX1NaN_AUX2NaN_3-3_1of2.png</t>
  </si>
  <si>
    <t>IC0562_CatRCP61_AnoNNF_rho1276_AUX1NaN_AUX2NaN_3-4_2of2</t>
  </si>
  <si>
    <t>Recipe 61; 2 of 2, pretreated, preheated</t>
  </si>
  <si>
    <t>IC0562_CatRCP61_AnoNNF_rho1276_AUX1NaN_AUX2NaN_3-4_2of2.png</t>
  </si>
  <si>
    <t>IC0577_CatRCP62_AnoNNF_rho1276_AUX1NaN_AUX2NaN_2-4_2of3</t>
  </si>
  <si>
    <t>IC0577_CatRCP62_AnoNNF_rho1276_AUX1NaN_AUX2NaN_2-4_2of3.png</t>
  </si>
  <si>
    <t>IC0579_CatRCP56repeat_AnoNNFA_rho1276_AUX1NaN_AUX2NaN_1-5_1of3</t>
  </si>
  <si>
    <t>preheated, 1of3</t>
  </si>
  <si>
    <t>IC0579_CatRCP56repeat_AnoNNFA_rho1276_AUX1NaN_AUX2NaN_1-5_1of3.png</t>
  </si>
  <si>
    <t>IC0585_CatRCP55_AnoNNF_rho1276_AUX1NaN_AUX2NaN_4-6_3of3</t>
  </si>
  <si>
    <t>pretreated, preheated, gen 3, 3 of 3</t>
  </si>
  <si>
    <t>IC0585_CatRCP55_AnoNNF_rho1276_AUX1NaN_AUX2NaN_4-6_3of3.png</t>
  </si>
  <si>
    <t>IC0589_CatRCP56ETCH@5A_AnoNNF_rho1279_AUX1NaN_AUX2NaN_3-3</t>
  </si>
  <si>
    <t>IC0589_CatRCP56ETCH@5A_AnoNNF_rho1279_AUX1NaN_AUX2NaN_3-3.png</t>
  </si>
  <si>
    <t>IC0591_CatRCP56repeat_AnoNNF_rho1279_AUX1NaN_AUX2NaN_3-1</t>
  </si>
  <si>
    <t>IC0591_CatRCP56repeat_AnoNNF_rho1279_AUX1NaN_AUX2NaN_3-1.png</t>
  </si>
  <si>
    <t>IC0590_CatRCP56repeat_AnoNNF_rho1279_AUX1NaN_AUX2NaN_3-2</t>
  </si>
  <si>
    <t>IC0590_CatRCP56repeat_AnoNNF_rho1279_AUX1NaN_AUX2NaN_3-2.png</t>
  </si>
  <si>
    <t>IC0588_CatRCP56ETCH@5A_AnoNNF_rho1279_AUX1NaN_AUX2NaN_3-4</t>
  </si>
  <si>
    <t>IC0588_CatRCP56ETCH@5A_AnoNNF_rho1279_AUX1NaN_AUX2NaN_3-4.png</t>
  </si>
  <si>
    <t>IC0600_CatRCP56_AnoNNF_rho1279_AUX1NaN_AUX2NaN_2-3_2of3</t>
  </si>
  <si>
    <t>2of3, pretreated anode, preheated KOH and beaker</t>
  </si>
  <si>
    <t>IC0600_CatRCP56_AnoNNF_rho1279_AUX1NaN_AUX2NaN_2-3_2of3.png</t>
  </si>
  <si>
    <t>IC0601_CatRCP56_AnoNNF_rho1279_AUX1NaN_AUX2NaN_2-5_3of3</t>
  </si>
  <si>
    <t>3of3, pretreated anode, preheated KOH and beaker</t>
  </si>
  <si>
    <t>IC0601_CatRCP56_AnoNNF_rho1279_AUX1NaN_AUX2NaN_2-5_3of3.png</t>
  </si>
  <si>
    <t>IC0636_CatC17_AnoNNF_rho1279_AUX1NaN_AUX2NaN_1-2_3of3</t>
  </si>
  <si>
    <t>3of3, test stopped to change the membrane; the measurement continues as IC0641 on channel 1-2</t>
  </si>
  <si>
    <t>IC0636_CatC17_AnoNNF_rho1279_AUX1NaN_AUX2NaN_1-2_3of3.png</t>
  </si>
  <si>
    <t>IC0623_CatC13_AnoNNF_rho1279_AUX1NaN_AUX2NaN_2-6_1of3</t>
  </si>
  <si>
    <t>Etching thicker coatings Flemming</t>
  </si>
  <si>
    <t>IC0623_CatC13_AnoNNF_rho1279_AUX1NaN_AUX2NaN_2-6_1of3.png</t>
  </si>
  <si>
    <t>IC0622_CatC13_AnoNNF_rho1279_AUX1NaN_AUX2NaN_2-8_2of3</t>
  </si>
  <si>
    <t>IC0622_CatC13_AnoNNF_rho1279_AUX1NaN_AUX2NaN_2-8_2of3.png</t>
  </si>
  <si>
    <t>IC0621_CatC13_AnoNNF_rho1279_AUX1NaN_AUX2NaN_3-1_3of3</t>
  </si>
  <si>
    <t>IC0621_CatC13_AnoNNF_rho1279_AUX1NaN_AUX2NaN_3-1_3of3.png</t>
  </si>
  <si>
    <t>IC0620_CatC14_AnoNNF_rho1279_AUX1NaN_AUX2NaN_3-2_1of3</t>
  </si>
  <si>
    <t>IC0620_CatC14_AnoNNF_rho1279_AUX1NaN_AUX2NaN_3-2_1of3.png</t>
  </si>
  <si>
    <t>IC0619_CatC14_AnoNNF_rho1279_AUX1NaN_AUX2NaN_3-3_2of3</t>
  </si>
  <si>
    <t>IC0618_CatC14_AnoNNF_rho1279_AUX1NaN_AUX2NaN_3-4_3of3</t>
  </si>
  <si>
    <t>IC0618_CatC14_AnoNNF_rho1279_AUX1NaN_AUX2NaN_3-4_3of3.png</t>
  </si>
  <si>
    <t>IC0628_CatC15_AnoNNF_rho1279_AUX1NaN_AUX2NaN_4-3_3of3</t>
  </si>
  <si>
    <t>Pretreated anode, preheated KOH and beaker, 2 of 3, beaker depth 97-99</t>
  </si>
  <si>
    <t>IC0628_CatC15_AnoNNF_rho1279_AUX1NaN_AUX2NaN_4-3_3of3.png</t>
  </si>
  <si>
    <t>IC0629_CatC16_AnoNNF_rho1279_AUX1NaN_AUX2NaN_4-5_1of3</t>
  </si>
  <si>
    <t>Pretreated anode, preheated KOH and beaker, 1 of 3</t>
  </si>
  <si>
    <t>IC0629_CatC16_AnoNNF_rho1279_AUX1NaN_AUX2NaN_4-5_1of3.png</t>
  </si>
  <si>
    <t>IC0630_CatC16_AnoNNF_rho1279_AUX1NaN_AUX2NaN_4-6_2of3</t>
  </si>
  <si>
    <t>Pretreated anode, preheated KOH and beaker, 2 of 3, beaker depth 97-99, was running for 10 min then had to briefly stop to change potential measuring cables.</t>
  </si>
  <si>
    <t>IC0630_CatC16_AnoNNF_rho1279_AUX1NaN_AUX2NaN_4-6_2of3.png</t>
  </si>
  <si>
    <t>IC0626_CatC15_AnoNNF_rho1279_AUX1NaN_AUX2NaN_2-2_1of3</t>
  </si>
  <si>
    <t>IC0626_CatC15_AnoNNF_rho1279_AUX1NaN_AUX2NaN_2-2_1of3.png</t>
  </si>
  <si>
    <t>IC0627_CatC15_AnoNNF_rho1279_AUX1NaN_AUX2NaN_2-5_2of3</t>
  </si>
  <si>
    <t>IC0627_CatC15_AnoNNF_rho1279_AUX1NaN_AUX2NaN_2-5_2of3.png</t>
  </si>
  <si>
    <t>IC0631_CatC16_AnoNNF_rho1279_AUX1NaN_AUX2NaN_5-2_3of3</t>
  </si>
  <si>
    <t>Pretreated anode, preheated KOH and beaker, 3 of 3, beaker depth 97-99</t>
  </si>
  <si>
    <t>IC0638_CatC17_AnoNNF_rho1279_AUX1NaN_AUX2NaN_5-8_1of3</t>
  </si>
  <si>
    <t>IC0638_CatC17_AnoNNF_rho1279_AUX1NaN_AUX2NaN_5-8_1of3.png</t>
  </si>
  <si>
    <t>IC0637_CatC17_AnoNNF_rho1279_AUX1NaN_AUX2NaN_1-5_2of3</t>
  </si>
  <si>
    <t>Alekandra</t>
  </si>
  <si>
    <t>IC0637_CatC17_AnoNNF_rho1279_AUX1NaN_AUX2NaN_1-5_2of3.png</t>
  </si>
  <si>
    <t>IC0641_CatC17_AnoNNF_rho1279_AUX1NaN_AUX2NaN_1-2_3of3</t>
  </si>
  <si>
    <t>reassembled, continued test of IC0636 after membrane change</t>
  </si>
  <si>
    <t>IC0641_CatC17_AnoNNF_rho1279_AUX1NaN_AUX2NaN_1-2_3of3.png</t>
  </si>
  <si>
    <t>IC0645_CatC18_AnoNNF_rho1279_AUX1NaN_AUX2NaN_2-7_1of3</t>
  </si>
  <si>
    <t>C19 position 2, 2of3, Pretreated anode, preheated KOH and beaker</t>
  </si>
  <si>
    <t>IC0645_CatC18_AnoNNF_rho1279_AUX1NaN_AUX2NaN_2-7_1of3.png</t>
  </si>
  <si>
    <t>IC0646_CatC18_AnoNNF_rho1279_AUX1NaN_AUX2NaN_2-8_2of3</t>
  </si>
  <si>
    <t>IC0646_CatC18_AnoNNF_rho1279_AUX1NaN_AUX2NaN_2-8_2of3.png</t>
  </si>
  <si>
    <t>IC0647_CatC18_AnoNNF_rho1279_AUX1NaN_AUX2NaN_3-4_3of3</t>
  </si>
  <si>
    <t>IC0647_CatC18_AnoNNF_rho1279_AUX1NaN_AUX2NaN_3-4_3of3.png</t>
  </si>
  <si>
    <t>IC0648_CatC20_AnoNNF_rho1279_AUX1NaN_AUX2NaN_2-3_1of3</t>
  </si>
  <si>
    <t>1of3, pretreated anode, preheated KOH and beaker</t>
  </si>
  <si>
    <t>IC0648_CatC20_AnoNNF_rho1279_AUX1NaN_AUX2NaN_2-3_1of3.png</t>
  </si>
  <si>
    <t>IC0649_CatC20_AnoNNF_rho1279_AUX1NaN_AUX2NaN_2-4_2of3</t>
  </si>
  <si>
    <t>IC0649_CatC20_AnoNNF_rho1279_AUX1NaN_AUX2NaN_2-4_2of3.png</t>
  </si>
  <si>
    <t>IC0650_CatC20_AnoNNF_rho1279_AUX1NaN_AUX2NaN_2-5_3of3</t>
  </si>
  <si>
    <t>IC0650_CatC20_AnoNNF_rho1279_AUX1NaN_AUX2NaN_2-5_3of3.png</t>
  </si>
  <si>
    <t>IC0654_CatC19_AnoNNF_rho1279_AUX1NaN_AUX2NaN_2-6_2of3</t>
  </si>
  <si>
    <t>IC0654_CatC19_AnoNNF_rho1279_AUX1NaN_AUX2NaN_2-6_2of3.png</t>
  </si>
  <si>
    <t>IC0653_CatC19_AnoNNF_rho1279_AUX1NaN_AUX2NaN_4-6_1of3</t>
  </si>
  <si>
    <r>
      <rPr>
        <sz val="11"/>
        <color rgb="FF000000"/>
        <rFont val="Calibri"/>
        <scheme val="minor"/>
      </rPr>
      <t xml:space="preserve">C19 position 4, 1of3, Pretreated anode, preheated KOH and beaker, </t>
    </r>
    <r>
      <rPr>
        <b/>
        <sz val="11"/>
        <color rgb="FF000000"/>
        <rFont val="Calibri"/>
        <scheme val="minor"/>
      </rPr>
      <t>Cathode taken by Tamas and used for BET/XRD measurements in his RnD project along with the remaining unused coupon</t>
    </r>
  </si>
  <si>
    <t>IC0653_CatC19_AnoNNF_rho1279_AUX1NaN_AUX2NaN_4-6_1of3.png</t>
  </si>
  <si>
    <t>IC0655_CatC19_AnoNNF_rho1279_AUX1NaN_AUX2NaN_5-2_3of3</t>
  </si>
  <si>
    <t>C19 position 5, 3of3, Pretreated anode, preheated KOH and beaker</t>
  </si>
  <si>
    <t>IC0655_CatC19_AnoNNF_rho1279_AUX1NaN_AUX2NaN_5-2_3of3.png</t>
  </si>
  <si>
    <t>IC0678_CatC27_AnoNNF_rho1279_AUX1NaN_AUX2NaN_2-4_1of3</t>
  </si>
  <si>
    <r>
      <rPr>
        <b/>
        <sz val="11"/>
        <color rgb="FF000000"/>
        <rFont val="Calibri"/>
        <family val="2"/>
        <scheme val="minor"/>
      </rPr>
      <t>Stopped under direction of FJ because the voltage was too high.</t>
    </r>
    <r>
      <rPr>
        <sz val="11"/>
        <color rgb="FF000000"/>
        <rFont val="Calibri"/>
        <family val="2"/>
        <scheme val="minor"/>
      </rPr>
      <t xml:space="preserve"> 1of3 C27 cathode, pretreated anode, preheated KOH and beaker </t>
    </r>
  </si>
  <si>
    <t>IC0678_CatC27_AnoNNF_rho1279_AUX1NaN_AUX2NaN_2-4_1of3.png</t>
  </si>
  <si>
    <t>IC0674_CatC26_AnoNNF_rho1279_AUX1NaN_AUX2NaN_2-2_3of3</t>
  </si>
  <si>
    <t>QC_IC_168h_v2</t>
  </si>
  <si>
    <r>
      <rPr>
        <b/>
        <sz val="11"/>
        <color rgb="FF000000"/>
        <rFont val="Calibri"/>
        <family val="2"/>
        <scheme val="minor"/>
      </rPr>
      <t xml:space="preserve">Stopped because heating was off for the weekend </t>
    </r>
    <r>
      <rPr>
        <sz val="11"/>
        <color rgb="FF000000"/>
        <rFont val="Calibri"/>
        <family val="2"/>
        <scheme val="minor"/>
      </rPr>
      <t>3/3</t>
    </r>
  </si>
  <si>
    <t>IC0674_CatC26_AnoNNF_rho1279_AUX1NaN_AUX2NaN_2-2_3of3.png</t>
  </si>
  <si>
    <t>IC0665_CatC23_AnoNNF_rho1279_AUX1NaN_AUX2NaN_1-6</t>
  </si>
  <si>
    <t>IC0665_CatC23_AnoNNF_rho1279_AUX1NaN_AUX2NaN_1-6.png</t>
  </si>
  <si>
    <t>IC0664_CatC23_AnoNNF_rho1279_AUX1NaN_AUX2NaN_1-7</t>
  </si>
  <si>
    <t>IC0664_CatC23_AnoNNF_rho1279_AUX1NaN_AUX2NaN_1-7.png</t>
  </si>
  <si>
    <t>IC0663_CatC23_AnoNNF_rho1279_AUX1NaN_AUX2NaN_2-1</t>
  </si>
  <si>
    <t>IC0663_CatC23_AnoNNF_rho1279_AUX1NaN_AUX2NaN_2-1.png</t>
  </si>
  <si>
    <t>IC0666_CatC24_AnoNNF_rho1279_AUX1NaN_AUX2NaN_2-7_1of3</t>
  </si>
  <si>
    <t>IC0666_CatC24_AnoNNF_rho1279_AUX1NaN_AUX2NaN_2-7_1of3.png</t>
  </si>
  <si>
    <t>IC0667_CatC24_AnoNNF_rho1279_AUX1NaN_AUX2NaN_2-8_2of3</t>
  </si>
  <si>
    <t>IC0667_CatC24_AnoNNF_rho1279_AUX1NaN_AUX2NaN_2-8_2of3.png</t>
  </si>
  <si>
    <t>IC0668_CatC24_AnoNNF_rho1279_AUX1NaN_AUX2NaN_3-4_3of3</t>
  </si>
  <si>
    <t>IC0668_CatC24_AnoNNF_rho1279_AUX1NaN_AUX2NaN_3-4_3of3.png</t>
  </si>
  <si>
    <t>IC0669_CatC25_AnoNNF_rho1279_AUX1NaN_AUX2NaN_4-3_1of3</t>
  </si>
  <si>
    <t>IC0669_CatC25_AnoNNF_rho1279_AUX1NaN_AUX2NaN_4-3_1of3.png</t>
  </si>
  <si>
    <t>IC0670_CatC25_AnoNNF_rho1279_AUX1NaN_AUX2NaN_4-5_2of3</t>
  </si>
  <si>
    <t>IC0670_CatC25_AnoNNF_rho1279_AUX1NaN_AUX2NaN_4-5_2of3.png</t>
  </si>
  <si>
    <t>IC0671_CatC25_AnoNNF_rho1279_AUX1NaN_AUX2NaN_5-8_3of3</t>
  </si>
  <si>
    <t>IC0671_CatC25_AnoNNF_rho1279_AUX1NaN_AUX2NaN_5-8_3of3.png</t>
  </si>
  <si>
    <t>IC0672_CatC26_AnoNNF_rho1279_AUX1NaN_AUX2NaN_1-3_1of3</t>
  </si>
  <si>
    <t>1/3</t>
  </si>
  <si>
    <t>IC0672_CatC26_AnoNNF_rho1279_AUX1NaN_AUX2NaN_1-3_1of3.png</t>
  </si>
  <si>
    <t>IC0673_CatC26_AnoNNF_rho1279_AUX1NaN_AUX2NaN_1-5_2of3</t>
  </si>
  <si>
    <t>QC_IC_168h_v3</t>
  </si>
  <si>
    <t>2/3</t>
  </si>
  <si>
    <t>IC0673_CatC26_AnoNNF_rho1279_AUX1NaN_AUX2NaN_1-5_2of3.png</t>
  </si>
  <si>
    <t>IC0679_CatC27_AnoNNF_rho1279_AUX1NaN_AUX2NaN_2-5_2of3</t>
  </si>
  <si>
    <t>2of3 C27 cathode, pretreated anode, preheated KOH and beaker</t>
  </si>
  <si>
    <t>IC0680_CatC27_AnoNNF_rho1279_AUX1NaN_AUX2NaN_2-6_3of3</t>
  </si>
  <si>
    <t>IC0687_CatC26_AnoNNF_rho1279_AUX1NaN_AUX2NaN_2-2_3of3</t>
  </si>
  <si>
    <t xml:space="preserve">Experiment repeated </t>
  </si>
  <si>
    <t>IC0688_CatC27_AnoNNF_rho1279_AUX1NaN_AUX2NaN_2-4_1of3</t>
  </si>
  <si>
    <t>Carmien</t>
  </si>
  <si>
    <t>Experiment repeated</t>
  </si>
  <si>
    <t>IC0705_CatC22_AnoNNF_rho1279_AUX1NaN_AUX2NaN_2-8_1of3</t>
  </si>
  <si>
    <t>IC0689_CatC22_AnoNNF_rho1279_AUX1NaN_AUX2NaN_3-4_2of3</t>
  </si>
  <si>
    <t>IC0690_CatC22_AnoNNF_rho1279_AUX1NaN_AUX2NaN_3-5_3of3</t>
  </si>
  <si>
    <t>IC0691_CatC21_AnoNNF_rho1279_AUX1NaN_AUX2NaN_3-6_1of3</t>
  </si>
  <si>
    <t>IC0692_CatC21_AnoNNF_rho1279_AUX1NaN_AUX2NaN_3-7_2of3</t>
  </si>
  <si>
    <t>Duplicate</t>
  </si>
  <si>
    <t>IC0693_CatC21_AnoNNF_rho1279_AUX1NaN_AUX2NaN_3-8_3of3</t>
  </si>
  <si>
    <t>IC0718_CatC39_AnoNNF_rho1279_AUX1NaN_AUX2NaN_3-4_3of3</t>
  </si>
  <si>
    <t>BEaker leaked, test stopped</t>
  </si>
  <si>
    <t>IC0704_CatC27_AnoNNF_rho1279_AUX1NaN_AUX2NaN_2-4</t>
  </si>
  <si>
    <t>_QC_168h_v2_without_pol_curves</t>
  </si>
  <si>
    <t>C27 cathode repeated</t>
  </si>
  <si>
    <t>IC0703_CatC27_AnoNNF_rho1279_AUX1NaN_AUX2NaN_2-2</t>
  </si>
  <si>
    <t>IC0702_CatC27_AnoNNF_rho1279_AUX1NaN_AUX2NaN_1-5</t>
  </si>
  <si>
    <t>IC0717_CatC39_AnoNNF_rho1279_AUX1NaN_AUX2NaN_2-8_2of3</t>
  </si>
  <si>
    <t>C39 - RCP59</t>
  </si>
  <si>
    <t>IC0716_CatC39_AnoNNF_rho1279_AUX1NaN_AUX2NaN_2-7_1of3</t>
  </si>
  <si>
    <t>Peter Mihály</t>
  </si>
  <si>
    <t>IC0729_CatC39_AnoNNF_rho1279_AUX1NaN_AUX2NaN_3-4</t>
  </si>
  <si>
    <t>Preheated beaker, anode and KOH</t>
  </si>
  <si>
    <t>IC0752_CatC47_AnoNNF__rho1279_AUX1NaN_AUX2NaN_2-7</t>
  </si>
  <si>
    <t>Pretreated anode, preheated KOH and beaker, 1 of 2</t>
  </si>
  <si>
    <t xml:space="preserve">Ni Sulfamate Plating </t>
  </si>
  <si>
    <t>IC0753_CatC47_AnoNNF__rho1279_AUX1NaN_AUX2NaN_2-8</t>
  </si>
  <si>
    <t>Preheated beaker, anode and KOH, 2/3</t>
  </si>
  <si>
    <t>IC0754_CatC47_AnoNNF__rho1279_AUX1NaN_AUX2NaN_3-4</t>
  </si>
  <si>
    <t>Preheated beaker, anode and KOH, 3/3</t>
  </si>
  <si>
    <t>IC0763_CatRep56E_AnoNNF_rho1279_1-6_1of3</t>
  </si>
  <si>
    <t>ICO764_CatC48Rep56E_AnoNNF_rho1279_1-7_2of3</t>
  </si>
  <si>
    <t>ICO765_CatC48Rep56E_AnoNNF_rho1279_1-8_3of3</t>
  </si>
  <si>
    <t>IC0788_CatC55_AnoA16_Rho1279_3-4</t>
  </si>
  <si>
    <t>QC_IC_3000h</t>
  </si>
  <si>
    <r>
      <rPr>
        <sz val="11"/>
        <color rgb="FF000000"/>
        <rFont val="Calibri"/>
        <family val="2"/>
        <scheme val="minor"/>
      </rPr>
      <t xml:space="preserve">Preheated KOH, preheated beaker, Position 3 for both Cat and Ano. </t>
    </r>
    <r>
      <rPr>
        <b/>
        <sz val="11"/>
        <color rgb="FF000000"/>
        <rFont val="Calibri"/>
        <family val="2"/>
        <scheme val="minor"/>
      </rPr>
      <t>It was stopped early, due to low thiourea content during production</t>
    </r>
  </si>
  <si>
    <t>IC0787_CatC55_AnoA16_Rho1279_2-7</t>
  </si>
  <si>
    <r>
      <rPr>
        <sz val="11"/>
        <color rgb="FF000000"/>
        <rFont val="Calibri"/>
        <family val="2"/>
        <scheme val="minor"/>
      </rPr>
      <t xml:space="preserve">Preheated KOH, preheated beaker, Position 2 for both Cat and Ano. </t>
    </r>
    <r>
      <rPr>
        <b/>
        <sz val="11"/>
        <color rgb="FF000000"/>
        <rFont val="Calibri"/>
        <family val="2"/>
        <scheme val="minor"/>
      </rPr>
      <t>It was stopped early, due to low thiourea content during production</t>
    </r>
  </si>
  <si>
    <t>IC0786_CatC55_AnoA16_Rho1279_2-8</t>
  </si>
  <si>
    <r>
      <rPr>
        <sz val="11"/>
        <color rgb="FF000000"/>
        <rFont val="Calibri"/>
        <family val="2"/>
        <scheme val="minor"/>
      </rPr>
      <t xml:space="preserve">Preheated KOH, preheated beaker, Position 1 for both Cat and Ano. </t>
    </r>
    <r>
      <rPr>
        <b/>
        <sz val="11"/>
        <color rgb="FF000000"/>
        <rFont val="Calibri"/>
        <family val="2"/>
        <scheme val="minor"/>
      </rPr>
      <t>It was stopped early, due to low thiourea content during production</t>
    </r>
  </si>
  <si>
    <t>IC0812_CatNNF_AnoRCP56ES_rho1279_1-1</t>
  </si>
  <si>
    <t>Anode A19 RCP56ES p4</t>
  </si>
  <si>
    <t>IC0813_CatNNF_AnoRCP56ES_rho1279_1-2</t>
  </si>
  <si>
    <t>Anode A19 RCP56ES p5</t>
  </si>
  <si>
    <t>IC0814_CatNNF_AnoRCP56ES_rho1279_1-3</t>
  </si>
  <si>
    <t>Anode A19 RCP56ES p6</t>
  </si>
  <si>
    <t>IC0817_CatNNF_AnoRCP56E_rho1279_1-8</t>
  </si>
  <si>
    <t>Anode A1 RCP56E p9</t>
  </si>
  <si>
    <t>IC0816_CatNNF_AnoRCP56E_rho1279_2-1</t>
  </si>
  <si>
    <t>Anode A1 RCP56E p6</t>
  </si>
  <si>
    <t>IC0815_CatNNF_AnoRCP56E_rho1279_2-2</t>
  </si>
  <si>
    <t>Anode A1 RCP56E p3</t>
  </si>
  <si>
    <t>IC0835_CatA3_AnoA3_rho1279_1-7</t>
  </si>
  <si>
    <t>_QC_IC_58.5h_temp_cond_v1_TEST_PHASE_6hours</t>
  </si>
  <si>
    <t>IC0875_CatNNF_AnoA9Sulfamate_rho_1279_1-8</t>
  </si>
  <si>
    <t>stopped due to heting being turned off</t>
  </si>
  <si>
    <t>IC0848_CatNNF_AnoA11_rho1279_1-6</t>
  </si>
  <si>
    <t>ThioSulfate Plating</t>
  </si>
  <si>
    <t>IC0849_CatNNF_AnoA11_rho1279_1-7</t>
  </si>
  <si>
    <t>IC0850_CatNNF_AnoA11_rho1279_2-1</t>
  </si>
  <si>
    <t>IC0861_CatNNF_AnoRCP56EA_rho1279_1-1</t>
  </si>
  <si>
    <t>Anode - RCP56EA P1</t>
  </si>
  <si>
    <t>IC0862_CatNNF_AnoRCP56EA_rho1279_1-2</t>
  </si>
  <si>
    <t>Anode - RCP56EA P2</t>
  </si>
  <si>
    <t>IC0863_CatNNF_AnoRCP56EA_rho1279_1-3</t>
  </si>
  <si>
    <t>Anode - RCP56EA P3</t>
  </si>
  <si>
    <t>IC0877_CatNNF_AnoA9Sulfamate_rho_1279_4-1</t>
  </si>
  <si>
    <t>Tamás</t>
  </si>
  <si>
    <t>Saved in battery tester raw data</t>
  </si>
  <si>
    <t>IC0876_CatNNF_AnoA9Sulfamate_rho_1279_2-2</t>
  </si>
  <si>
    <t>Power-shortage in the night of 1/09</t>
  </si>
  <si>
    <t>IC0878_CatNNF_AnoA9Sulfamate_rho_1279_1-8</t>
  </si>
  <si>
    <t>IC0885_CatRCP56ESC52_AnoRCP56ESA8_rho1279_1-6</t>
  </si>
  <si>
    <t>Preheated KOH, Beaker, Cat&amp;Ano pos1, 1week experiment</t>
  </si>
  <si>
    <t>IC0886_CatRCP56ESC52_AnoRCP56ESA8_rho1279_1-7</t>
  </si>
  <si>
    <t>_QC_IC_336h_v1</t>
  </si>
  <si>
    <t>Preheated KOH, Beaker, Cat&amp;Ano pos2, 2weeks experiment</t>
  </si>
  <si>
    <t>IC0904_CatNNF_AnoRCP56EST-A18_rho1279_1-1</t>
  </si>
  <si>
    <t>Anode P1,1 week experiment, preheated KOH and beaker,</t>
  </si>
  <si>
    <t>IC0905_CatNNF_AnoRCP56EST-A18_rho1279_1-2</t>
  </si>
  <si>
    <t>Anode P2,1 week experiment, preheated KOH and beaker,</t>
  </si>
  <si>
    <t>IC0906_CatNNF_AnoRCP56EST-A18_rho1279_1-3</t>
  </si>
  <si>
    <t>Anode P3,1 week experiment, preheated KOH and beaker,</t>
  </si>
  <si>
    <t>IC0887_CatRCP56ESC52_AnoRCP56ESA8_rho1279_2-1</t>
  </si>
  <si>
    <t>QC_IC_504h_v1</t>
  </si>
  <si>
    <t>Preheated KOH, Beaker, Cat&amp;Ano pos3, 3weeks experiment, stopped and disassembled under Flemming's directives DATA NOT SAVED</t>
  </si>
  <si>
    <t>IC1019_CatC32_Ano_A16_rho1279_3-3</t>
  </si>
  <si>
    <t>168h test, preheated KOH and beaker</t>
  </si>
  <si>
    <t>IC1020_CatC32_Ano_A16_rho1279_3-4</t>
  </si>
  <si>
    <t>IC1119_CatB5069-TR-RCP80_AnoNNF_rho1279_5-2</t>
  </si>
  <si>
    <t>48h test, Production Sample Recipe 80, cathodic cleaning for NNF, preheated beaker and KOH</t>
  </si>
  <si>
    <t>IC1118_CatB5118-TR-RCP80_AnoNNF_rho1279_3-4</t>
  </si>
  <si>
    <t>IC1378_CatNNF_AnoNEL-5-NiSCo_rho1281_2-2</t>
  </si>
  <si>
    <t>Anode NEL-5 Ni-S-Co, 48h test</t>
  </si>
  <si>
    <t>Ni-S-Co Flemming 2026</t>
  </si>
  <si>
    <t>IC1379_CatNNF_AnoNEL-5-NiSCo_rho1281_3-1</t>
  </si>
  <si>
    <t>IC1380_CatNEL-5-NiSCo_AnoNNF_rho1281_3-2</t>
  </si>
  <si>
    <t>Cathode NEL-5 Ni-S-Co, 48h test</t>
  </si>
  <si>
    <t>IC1381_CatNEL-5-NiSCo_AnoNNF_rho1281_3-4</t>
  </si>
  <si>
    <t>IC1404_CatNNF_AnoB8860-TR_rho1281_4-5_switch</t>
  </si>
  <si>
    <t>Test was started with a switched polarity, initially cathode test was conducted for 2 days, then polarity was switched and the cathode was runned as anode. Studying how the anode works after the sulfur is leached out from the electrode. 
Date started: 2-15-2026</t>
  </si>
  <si>
    <t>IC1404_CatNNF-TR_AnoB8977-TR_rho1281_5-3_switch</t>
  </si>
  <si>
    <t>IC1400_CatNNF_AnoNi-S-Co-Gen3_rho1281_3-2</t>
  </si>
  <si>
    <t xml:space="preserve">48h </t>
  </si>
  <si>
    <t>IC1399_CatNNF_AnoNi-S-Co-Gen3_rho1281_3-4</t>
  </si>
  <si>
    <t>48h</t>
  </si>
  <si>
    <t>IC1401_CatNi_on_Ni_AnoNi_on_Ni_rho1281_2-2</t>
  </si>
  <si>
    <t>Electrodes were fragile while cutting</t>
  </si>
  <si>
    <t>Ni plating (Flemming)</t>
  </si>
  <si>
    <t>IC1402_CatNi_on_Ni_AnoNi_on_Ni_rho1281_2-3</t>
  </si>
  <si>
    <t>IC1485_CatGHS_AnoNNF_rho1281_1-8</t>
  </si>
  <si>
    <t>Light Shade Area, Ni-S-Co, 10 g/L CoSO4-7H2O, 3.5h @3.0 A/dm2, (GHS Inspired), 3 min cathodic, 10 min strike-etch 3.5 A/dm2, 3h 30 min plating</t>
  </si>
  <si>
    <t>IC1486_CatGHS_AnoNNF_rho1281_2-2</t>
  </si>
  <si>
    <t>Middle Section, Ni-S-Co, 10 g/L CoSO4-7H2O, 3.5h @3.0 A/dm2, (GHS Inspired), 3 min cathodic, 10 min strike-etch 3.5 A/dm2, 3h 30 min plating</t>
  </si>
  <si>
    <t>IC1487_CatGHS_AnoNNF_rho1281_2-3</t>
  </si>
  <si>
    <t>Middle Section, Ni-S-Co, 10 g/L CoSO4-7H2O, 3.5h @3.0 A/dm2, (GHS Inspired), 3 min cathodic, 10 min strike-etch 3.5 A/dm2, 3h 30 min plating; lack of nuts noticed after disassembly</t>
  </si>
  <si>
    <t>IC1514_CatNNF_AnoA3371_RCP56ES_0%-TR_rho1281_2-6</t>
  </si>
  <si>
    <t>R&amp;D QC, 168h, RCP56ES_0%_agitation</t>
  </si>
  <si>
    <t>IC1513_CatNNF_AnoA3371_RCP56ES_0%-TR_rho1281_2-3</t>
  </si>
  <si>
    <t>R&amp;D QC, 168h RCP56ES_0%agitation</t>
  </si>
  <si>
    <t>IC1536_CatNi_on_Ni_ES_AnoNi_on_Ni_ES_rho1282_6-4</t>
  </si>
  <si>
    <t>168h test - Part 1, Plated without agitation; Experiment was stopped after 42 hours due to malfunctioning thermoregulator (it was running at 80 degrees for most of the time) and an overflowing beaker</t>
  </si>
  <si>
    <t>Ni-Plating Flemming</t>
  </si>
  <si>
    <t>IC1531_CatA3374-TR-P1_AnoNNF_rho1282_6-1</t>
  </si>
  <si>
    <t>R&amp;D QC, 168h RCP56ES_10%agitation</t>
  </si>
  <si>
    <t>IC1532_CatA3374-TR-P1_AnoNNF_rho1282_6-2</t>
  </si>
  <si>
    <t>IC1533_CatA3374-TR-P1_AnoNNF_rho1282_6-3</t>
  </si>
  <si>
    <t>IC1537_CatNi_on_Ni_ES_AnoNi_on_Ni_ES_rho1282_6-5</t>
  </si>
  <si>
    <t>168h test - Part 2, Plated without agitation</t>
  </si>
  <si>
    <t>IC1560_CatNNF_AnoA3370-P1_rho1281_1-3</t>
  </si>
  <si>
    <t>IC1559_CatNNF_AnoA3370-P2_rho1281_1-5</t>
  </si>
  <si>
    <t>IC1601_CatB1144-TR-P2_AnoNNF_rho1282_4-3</t>
  </si>
  <si>
    <t>Baseline test for poor electrolyte</t>
  </si>
  <si>
    <t>IC1602_CatB1058-TR-P2_AnoNNF_rho1282_4-4</t>
  </si>
  <si>
    <t>IC1603_CatNNF_AnoB1334-TR_rho1282_4-5</t>
  </si>
  <si>
    <t>IC1604_CatB974-TR-P2_AnoNNF_rho1282_4-6</t>
  </si>
  <si>
    <t>IC1611_CatGen3Mod2376_AnoNNF_rho1282_4-1</t>
  </si>
  <si>
    <t>_QC_IC_3000h_v2_without_pol_curves</t>
  </si>
  <si>
    <t>preheated baker and KOH, NNF anode</t>
  </si>
  <si>
    <t>IC1613_CatGen3Mod2376_AnoNNF_rho1282_3-7</t>
  </si>
  <si>
    <t>_QC_IC_3000h_v2_without_pol_curves; preheated baker and KOH, NNF anode</t>
  </si>
  <si>
    <t>IC1612_CatGen3Mod10800_AnoNNF_rho1282_4-2</t>
  </si>
  <si>
    <t>IC1284_CatNEL-5_AnoNNF_rho1281_1-1</t>
  </si>
  <si>
    <t>retest 3000hr v3 - P1</t>
  </si>
  <si>
    <t>IC1285_CatNEL-5_AnoNNF_rho1281_1-2</t>
  </si>
  <si>
    <t>retest 3000hr v3 - P2</t>
  </si>
  <si>
    <t>IC1676_CatGen400_AnoNNF_rho1282_1.3ppm_Fe_6-8</t>
  </si>
  <si>
    <t>3000 h test, Anode: NFF, Cathode: Gen3_3A/dm2_1h, Test was stopped early due to AWRS malfunction.</t>
  </si>
  <si>
    <t>Gen 4 trials (w/ &amp; w/o Co)</t>
  </si>
  <si>
    <t>IC1664_CatGen403_AnoNNF_rho1282_1.3ppm_Fe_1-2</t>
  </si>
  <si>
    <t xml:space="preserve">Stopped early </t>
  </si>
  <si>
    <t>IC1683_CatGen402_AnoGen402_rho1282_7-4</t>
  </si>
  <si>
    <t>IC1699_CatGen401_AnoGen401_rho1282_1.3ppm_Fe_6-6</t>
  </si>
  <si>
    <t>IC1700_CatGen400_AnoGen400_rho1282_1.3ppm_Fe_6-7</t>
  </si>
  <si>
    <t>IC1715_CatGen3.4.120_AnoNNF_rho1282_1.3ppm_Fe_5-5</t>
  </si>
  <si>
    <t>3000h test. Cathode: Gen402_3A/dm2_2h stopped early</t>
  </si>
  <si>
    <t>IC1680_CatGen3.4.120_AnoNNF_rho1282_7-1</t>
  </si>
  <si>
    <t>3000h test, Cathode: Gen3_3A/dm2_2h, stopped early</t>
  </si>
  <si>
    <t>IC1681_CatGen3.4.120_AnoNNF_rho1282_7-2</t>
  </si>
  <si>
    <t>IC1682_CatGen3.4.120_AnoGen3.4.120_rho1282_7-3</t>
  </si>
  <si>
    <t>3000h test, Both cathode and anode: Gen3_3A/dm2_2h, stopped early</t>
  </si>
  <si>
    <t>IC1684_CatGen3.4.120_AnoGen3.4.120_rho1282_7-5</t>
  </si>
  <si>
    <t>IC1712_CatGen3.4.90_AnoNNF_rho1282_1.3ppm_Fe_8-6</t>
  </si>
  <si>
    <t>3000h test, cathode: Gen3_3A/dm2_1.5h, stopped early</t>
  </si>
  <si>
    <t>IC1710_CatGen3.4.90_AnoGen3.4.90_rho1282_1.3ppm_Fe_5-1</t>
  </si>
  <si>
    <t>Stopped early, after disassembly electrolite level little high</t>
  </si>
  <si>
    <t>IC1711_CatGen3.4.90_AnoGen3.4.90_rho1282_1.3ppm_Fe_5-3</t>
  </si>
  <si>
    <t>IC1663_CatGen3.4.210_AnoNNF_rho1282_1.3ppm_Fe_1-1</t>
  </si>
  <si>
    <t>3000hr v3, Cat: Gen3_3A/dm2_3.5h, 1.3 ppm Fe added</t>
  </si>
  <si>
    <t>IC1735_CatGen3.4.210_AnoGen3.4.210_rho1282_1.3ppm_Fe_1-2</t>
  </si>
  <si>
    <t>IC1656_CatGen3.4.210_AnoGen3.4.210_rho1282_1.3ppm_Fe_1-3</t>
  </si>
  <si>
    <t>3000 h test, 37800 C/dm3, coating was fragile during cutting</t>
  </si>
  <si>
    <t>IC1657_CatGen3.4.210_AnoGen3.4.210_rho1282_1.3ppm_Fe_1-5</t>
  </si>
  <si>
    <t>3000 h, 37800 C/dm3, coating was fragile while cutting</t>
  </si>
  <si>
    <t>IC1658_CatGen3.4.60_AnoGen3.4.60_rho1282_1.3ppm_Fe_3-6</t>
  </si>
  <si>
    <t>3000 h, 10800 C/dm3, Sample was fragile while cutting</t>
  </si>
  <si>
    <t>IC1659_CatGen3.4.60_AnoGen3.4.60_rho1282_1.3ppm_Fe_3-7</t>
  </si>
  <si>
    <t>IC1675_CatGen3.4.210_AnoNNF_rho1282_1.3ppm_Fe_2-3</t>
  </si>
  <si>
    <t>IC1736_CatNNF_AnoGen3.4.90_rho1281_1.3ppm_Fe_2-5</t>
  </si>
  <si>
    <t>3000h Test</t>
  </si>
  <si>
    <t>IC1737_CatNNF_AnoGen3.4.90_rho1281_1.3ppm_Fe_3-1</t>
  </si>
  <si>
    <t>IC1777_CatNNF_AnoGen2.2_rho1282_1.3ppm_Fe_5-3</t>
  </si>
  <si>
    <t xml:space="preserve">QC_IC_3000h_v3; A35 Anode, gen 2.2 </t>
  </si>
  <si>
    <t>IC1769_CatGen3.4.90_AnoGen2.2_rho1282_7-1</t>
  </si>
  <si>
    <t>IC1770_CatGen3.4.90_AnoGen2.2_rho1282_7-2</t>
  </si>
  <si>
    <t>IC1778_CatNNF_AnoGen2.2_rho1282_1.3ppm_Fe_8-1</t>
  </si>
  <si>
    <t>QC_IC_3000h_v3; A35 Anode, gen 2.2.</t>
  </si>
  <si>
    <t>IC1779_Cat4.1.90_AnoGen2.2_rho1282_1.3ppm_Fe_8-2</t>
  </si>
  <si>
    <t>IC1780_Cat4.1.90_AnoGen2.2_rho1282_1.3ppm_Fe_8-3</t>
  </si>
  <si>
    <t>QC_IC_3000h_v3; Cathode: Gen4_3A/dm2_1,5h; A35 (gen2.2) anode</t>
  </si>
  <si>
    <t>IC1667_CatGen3.4.60_AnoNNF_rho1282_1.3ppm_Fe_6-2</t>
  </si>
  <si>
    <t>3000 h test, Cathode: Gen3_3A/dm2_1h, NNF anode</t>
  </si>
  <si>
    <t>IC1666_CatGen3.4.60_AnoNNF_rho1282_1.3ppm_Fe_6-1</t>
  </si>
  <si>
    <t>3000 h test, Anode: NFF, Cathode: Gen3_3A/dm2_1h</t>
  </si>
  <si>
    <t>IC1714_CatGen3.4.90_AnoNNF_rho1282_1.3ppm_Fe_8-8</t>
  </si>
  <si>
    <t>IC1713_CatGen3.4.90_AnoNNF_rho1282_1.3ppm_Fe_8-7</t>
  </si>
  <si>
    <t>IC1788_CatGen4.1.60_AnoGen4.1.13_rho1281_1.3ppm_Fe_2-7</t>
  </si>
  <si>
    <t>!! Stopped because the resistance callibration was not approved. To be restarted as IC1792. Cathode: Gen4_3A/dm2_1h; Anode: Gen4_3A/dm2_13min, 3000h_v3 test</t>
  </si>
  <si>
    <t>IC1763_CatGen3.4.60_AnoGen3.4.13_rho1282_1.3ppm_Fe_1-1</t>
  </si>
  <si>
    <t>3000h_v3</t>
  </si>
  <si>
    <t xml:space="preserve">Gen 4 trials </t>
  </si>
  <si>
    <t>IC1764_CatGen3.4.60_AnoGen3.4.13_rho1282_1.3ppm_Fe_1-2</t>
  </si>
  <si>
    <t>IC1765_CatGen4.1.60_AnoGen3.4.13_rho1282_1.3ppm_Fe_1-3</t>
  </si>
  <si>
    <t>IC1766_CatGen4.1.60_AnoGen3.4.13_rho1282_1.3ppm_Fe_1-5</t>
  </si>
  <si>
    <t>IC1790_CatNNF_AnoGen3.4.13_rho1282_1.3ppm_Fe_6-6</t>
  </si>
  <si>
    <t>3000 h test, Anode: Gen3_3A/dm2_13min</t>
  </si>
  <si>
    <t>IC1767_CatNNF_AnoGen3.4.90_rho1282_1.3ppm_Fe_3-6</t>
  </si>
  <si>
    <t>IC1789_CatNNF_AnoGen3.4.13_rho1282_1.3ppm_Fe_2-8</t>
  </si>
  <si>
    <t>_QC_IC_3000h_v3, Anode: Gen3_3A/dm2_13min, NNF cathode</t>
  </si>
  <si>
    <t>IC1803_CatGen4.1.60_AnoGen4.1.13_rho1282_1.3ppm_Fe_1-3</t>
  </si>
  <si>
    <t>IC1819_CatGen4.1.60B3_AnoGen4.1.30B3_rho1282_1.3ppm_Fe_6-1</t>
  </si>
  <si>
    <t>batch 3</t>
  </si>
  <si>
    <t>IC1820_CatGen4.1.60B3_AnoGen4.1.30B3_rho1282_1.3ppm_Fe_6-2</t>
  </si>
  <si>
    <t>IC1806_CatGen4.1.30B3_AnoNNF_rho1282_1.3ppm_Fe_1-2</t>
  </si>
  <si>
    <t>QC_IC_3000h.v3, Cathode: 4.1.30B3, Anode: NNF</t>
  </si>
  <si>
    <t>IC1811_CatGen4.1.60B3_AnoGen4.1.45B3_rho1282_1.3ppm_Fe_8-5</t>
  </si>
  <si>
    <t>IC1807_CatGen4.1.30B3_AnoNNF_rho1282_1.3ppm_Fe_2-6</t>
  </si>
  <si>
    <t>QC_IC_3000h_v3, Cathode: Gen4.1.30B3, Anode: NNF</t>
  </si>
  <si>
    <t>IC1812_CatGen4.1.60B3_AnoGen4.1.45B3_rho1282_1.3ppm_Fe_5-3</t>
  </si>
  <si>
    <t>IC1815_CatGen4.1.60B3_AnoNNF_rho1282_1.3ppm_Fe_4-1</t>
  </si>
  <si>
    <t>IC1816_CatGen4.1.60B3_AnoNNF_rho1282_1.3ppm_Fe_4-2</t>
  </si>
  <si>
    <t>IC1813_CatGen4.1.60B3_AnoGen4.1.13B3_rho1282_1.3ppm_Fe_5-1</t>
  </si>
  <si>
    <t>IC1516_CatGen4v1_AnoGen4v1_rho1281_2-2</t>
  </si>
  <si>
    <t>3000h, Ni-S-Co, 10 g/L CoSO4-7H2O, 3.5h @3.0 A/dm2, (GHS Inspired), 3 min cathodic, 10 min strike-etch 3.5 A/dm2, 3h 30 min plating</t>
  </si>
  <si>
    <t>IC1515_CatGen4v1_AnoGen4v1_rho1281_1-8</t>
  </si>
  <si>
    <t>IC1757_CatGen4.1.60_AnoGen4.1.60_rho1282_1.3ppm_Fe_6-4</t>
  </si>
  <si>
    <t>Gen 4.1.60 both cathode and anode, cathode w/o dark spots, anode w/ dark spots; QC_IC_3000h_v3</t>
  </si>
  <si>
    <t>IC1758_CatGen4.1.60_AnoGen4.1.60_rho1282_1.3ppm_Fe_6-5</t>
  </si>
  <si>
    <t>Gen 4.1.60 both cathode and anode, both w/o dark spots; QC_IC_3000h_v3</t>
  </si>
  <si>
    <t>IC1814_CatGen4.1.60B3_AnoGen4.1.13B3_rho1282_1.3ppm_Fe_6-7</t>
  </si>
  <si>
    <t>IC1741_CatGen4.1.90_AnoGen4.1.90_rho1282_1.3ppm_Fe_7-6</t>
  </si>
  <si>
    <t>Batch 1</t>
  </si>
  <si>
    <t>Gen 4 trials</t>
  </si>
  <si>
    <t>IC1742_CatGen4.1.90_AnoGen4.1.90_rho1282_1.3ppm_Fe_6-7</t>
  </si>
  <si>
    <t>IC1784_CatGen4.1.90_AnoGen2.3_rho1282_1.3ppm_Fe_2-5</t>
  </si>
  <si>
    <t>_QC_IC_3000h_v3, Cathode: Gen4_3A/dm2_1.5h; Anode: Gen2.3 (A34)</t>
  </si>
  <si>
    <t>IC1783_CatGen4.1.90_AnoGen2.3_rho1282_1.3ppm_Fe_3-7</t>
  </si>
  <si>
    <t>IC1796_CatGen4.1.90_AnoGen4.1.13_rho1282_1.3ppm_Fe_8-2</t>
  </si>
  <si>
    <t>IC1795_CatGen4.1.90_AnoGen4.1.13_rho1282_1.3ppm_Fe_8-1</t>
  </si>
  <si>
    <t>IC1810_CatGen4.1.60B2_AnoGen4.1.13B2_rho1282_1.3ppm_Fe_RC_6-6</t>
  </si>
  <si>
    <t>_START_STOP_IC_168h_v2_RC</t>
  </si>
  <si>
    <t>start-stop reverse current. 2nd Batch for both Gen4.1.60 and Gen4.1.13</t>
  </si>
  <si>
    <t>IC1768_CatGen3.4.90_AnoNNF_rho1282_1.3ppm_Fe_Start-Stop_2-3</t>
  </si>
  <si>
    <t>start stop</t>
  </si>
  <si>
    <t>IC1771_CatGen4.1.90_AnoNNF_rho1282_1.3ppm_Fe_Start-Stop_7-3</t>
  </si>
  <si>
    <t>IC1773_CatGen3.4.90_AnoNNF_rho1282_1.3ppm_Fe_Start-Stop_8-5</t>
  </si>
  <si>
    <t>IC1793_CatGen4.1.13_AnoGen4.1.13_rho1282_1.3ppm_Fe_6-1</t>
  </si>
  <si>
    <t>IC1794_CatGen4.1.13_AnoGen4.1.13_rho1282_1.3ppm_Fe_6-2</t>
  </si>
  <si>
    <t>IC1799_CatB13853-TR-P1_AnoNNF_rho1282_1.3ppm_Fe_4-1</t>
  </si>
  <si>
    <t>IC1800_CatB13853-TR-P1_AnoNNF_rho1282_1.3ppm_Fe_4-2</t>
  </si>
  <si>
    <t>IC1801_CatB13851-TR-P1_AnoNNF_rho1282_1.3ppm_Fe_5-1</t>
  </si>
  <si>
    <t>IC1802_CatB13851-TR-P2_AnoNNF_rho1282_1.3ppm_Fe_5-3</t>
  </si>
  <si>
    <t>IC1823_CatGen4.1.60B4_AnoGen4.1.13B4_rho1282_1.3ppm_Fe_6-1</t>
  </si>
  <si>
    <t>IC1824_CatGen4.1.60B4_AnoGen4.1.13B4_rho1282_1.3ppm_Fe_6-2</t>
  </si>
  <si>
    <t>IC1833_Cat4.1.90B3_AnoNNF_rho1282_1.3ppm_Fe_7-3</t>
  </si>
  <si>
    <t>cathode: Gen4_3A/dm2_1.5h, batch 3, protocol: _QC_IC_168h_v1</t>
  </si>
  <si>
    <t>IC1834_Cat4.1.90B3_AnoNNF_rho1282_1.3ppm_Fe_8-5</t>
  </si>
  <si>
    <t>IC1827_CatGen4.1.90B4_AnoNNF_rho1282_1.3ppm_Fe_1-2</t>
  </si>
  <si>
    <t>Cathode: Gen4_3A/dm2_1.5h batch 4; _QC_IC_168h_v1</t>
  </si>
  <si>
    <t>IC1832_CatGen4.1.60B4_AnoNNF_rho1282_1.3ppm_Fe_1-6</t>
  </si>
  <si>
    <t>batch 4 ; QC_IC_168_v1</t>
  </si>
  <si>
    <t>IC1828_CatGen4.1.60B4_AnoNNF_rho1282_1.3ppm_Fe_1-8</t>
  </si>
  <si>
    <t>IC1829_CatGen4.1.90B4_AnoNNF_rho1282_1.3ppm_Fe_2-6</t>
  </si>
  <si>
    <t>Batch 4; QC_IC_168_v1; higher electrolyte level when disassembling</t>
  </si>
  <si>
    <t>IC1839_CatGen4.1.60B4_AnoGen2.3_rho1282_1.3ppm_Fe_1-7</t>
  </si>
  <si>
    <t>168 h test, cathode: Gen4_3A/dm2_1h batch 4, anode: Gen2.3</t>
  </si>
  <si>
    <t>IC1838_CatGen4.1.60B4_AnoGen2.3_rho1282_1.3ppm_Fe_4-1</t>
  </si>
  <si>
    <t>IC1849_CatA3416_AnoNNF_rho1282_1.3ppm_Fe_2-6</t>
  </si>
  <si>
    <t>Cat Gen4.1.60 from R&amp;D line (A3416), assembled with washers, 168h test</t>
  </si>
  <si>
    <t>IC1850_CatA3416_AnoNNF_rho1282_1.3ppm_Fe_2-5</t>
  </si>
  <si>
    <t>IC1847_CatA3417_AnoNNF_rho1282_1.3ppm_Fe_1-8</t>
  </si>
  <si>
    <t>Cat Gen4.1.60 from R&amp;D line (A3417), assembled with washers, 168h test</t>
  </si>
  <si>
    <t>IC1848_CatA3417_AnoNNF_rho1282_1.3ppm_Fe_5-3</t>
  </si>
  <si>
    <t>IC1844_CatGen4.1.60B4_AnoGen2.3_rho1282_1.3ppm_Fe_Start-Stop_8-1</t>
  </si>
  <si>
    <t>48hCC_PolCurve_5hCCOn_100OhmCR_48hCC_Polcurve</t>
  </si>
  <si>
    <t>48hCC_PolCurve_5hCCOn_100OhmCR_48hCC_Polcurve, Cathode: Gen4_3A/dm2_1h B4; Anode: Gen2.3; reverse current</t>
  </si>
  <si>
    <t>IC1845_CatGen4.1.60B4_AnoGen2.3_rho1282_1.3ppm_Fe_Start-Stop_8-2</t>
  </si>
  <si>
    <t>IC1841_CatGen4.1.60B4_AnoNNF_rho1282_1.3ppm_Fe_Start-Stop_6-6</t>
  </si>
  <si>
    <t>48hCC_PolCurve_5hCCOn_100OhmCR_48hCC_Polcurve, Cathode: Gen4_3A/dm2_1h B4; Anode: NNF; reverse current</t>
  </si>
  <si>
    <t>IC1846_CatGen4.1.60B4_AnoGen2.1_rho1282_1.3ppm_Fe_6-2_StartStop</t>
  </si>
  <si>
    <t>start-stop test</t>
  </si>
  <si>
    <t>IC1860_CatA3424-TR_AnoNNF_rho1282_1.3ppm_Fe_5-3</t>
  </si>
  <si>
    <t>Rcp14</t>
  </si>
  <si>
    <t>IC1859_CatA3422-TR_AnoNNF_rho1282_1.3ppm_Fe_2-5</t>
  </si>
  <si>
    <t>Gen4.1.60, 168 h test</t>
  </si>
  <si>
    <t>IC1858_CatA3422-TR_AnoNNF_rho1282_1.3ppm_Fe_2-6</t>
  </si>
  <si>
    <t>IC1861_CatA3424_AnoNNF_rho1282_1.3ppm_Fe_1-8</t>
  </si>
  <si>
    <t>IC0730_CatRCP58EA_AnoRCP58EA_rho1279_AUX1NaN_AUX2NaN_2-1_3of3</t>
  </si>
  <si>
    <t>Aleksandra/tamas</t>
  </si>
  <si>
    <t>QC_IC_3000h, test stopped after 330h</t>
  </si>
  <si>
    <t>IC0731_CatRCP58EA_AnoRCP58EA_rho1279_AUX1NaN_AUX2NaN_2-2_2of3</t>
  </si>
  <si>
    <t>IC0732_CatRCP58EA_AnoRCP58EA_rho1279_AUX1NaN_AUX2NaN_2-6_1of3</t>
  </si>
  <si>
    <t>QC_IC_3000h, test stopped after 1524h - enough data for assessment 
Cat: RCP58EA (C41), Ano: RCP58EA (A6)</t>
  </si>
  <si>
    <t>IC0795_CatRCP56ES_AnoRCP56ES_rho1279_AUX1NaN_AUX2NaN_3-4_3of3</t>
  </si>
  <si>
    <t>test stopped after 902h as it was running 100mV than the other replicates, after power shut down and the electrolyte turned black.
C48 Ni-Sulfamate RCP56ES; A19 Ni-Sulfamate RCP56ES</t>
  </si>
  <si>
    <t>IC0828_CatC53_AnoA13_rho1279_3-5</t>
  </si>
  <si>
    <t>RCP56EA, Stopped after running 710h due to unsatisfactory performance</t>
  </si>
  <si>
    <t>IC0829_CatC53_AnoA13_rho1279_3-6</t>
  </si>
  <si>
    <t>IC0830_CatC53_AnoA13_rho1279_3-7</t>
  </si>
  <si>
    <t>IC0644_CatRCP56E_AnoRCP56E_rho1279_AUX1NaN_AUX2NaN_3-3_3of3</t>
  </si>
  <si>
    <r>
      <rPr>
        <b/>
        <sz val="11"/>
        <color theme="1"/>
        <rFont val="Calibri"/>
        <family val="2"/>
        <scheme val="minor"/>
      </rPr>
      <t>Samples consumed by coating thickness analysis (embedding)</t>
    </r>
    <r>
      <rPr>
        <sz val="11"/>
        <color theme="1"/>
        <rFont val="Calibri"/>
        <family val="2"/>
        <scheme val="minor"/>
      </rPr>
      <t xml:space="preserve"> Preheated KOH and beaker, Cathode position P6, Anode P11, 3/3, 3000 h protocol</t>
    </r>
  </si>
  <si>
    <t>IC0643_CatRCP56_AnoRCP56_rho1279_AUX1NaN_AUX2NaN_3-2_2of3</t>
  </si>
  <si>
    <t>Preheated KOH and beaker, Cathode position P3 cathode scratched, Anode P8, 2/3, 3000 h protocol</t>
  </si>
  <si>
    <t xml:space="preserve">
IC0642_CatRCP56_AnoRCP56_rho1279_AUX1NaN_AUX2NaN_3-1_1of3</t>
  </si>
  <si>
    <t>Preheated KOH and beaker, Cathode position P8, Anode P2, 1/3, 3000 h protocol</t>
  </si>
  <si>
    <t>IC0927_CatA11Longi_AnoA9Longi_rho1279_3-5</t>
  </si>
  <si>
    <t>3000 hours, Longi mesh test long term, Raney mesh coated side facing the separator Raney mesh coated side facing the separator, marked with stamping on the side facing the separator (the other side as a bump)</t>
  </si>
  <si>
    <t>IC0932_CatA11longi_AnoA9longi_rho1279_3-6</t>
  </si>
  <si>
    <t>3000 hours, Longi mesh test long term, preheated beaker and KOH, Raney mesh coated side facing the separator, marked with stamping on the side facing the separator (the other side as a bump)</t>
  </si>
  <si>
    <t>IC0931_CatA11longi_AnoA9longi_rho1279_3-7</t>
  </si>
  <si>
    <t>IC0735_CatNNF_AnoNNF_rho1279_AUX1NaN_AUX2NaN_2-5_3of3</t>
  </si>
  <si>
    <t>IC0755_CatNNF_AnoNNF_rho1279_AUX1NaN_AUX2NaN_2-3_1of3</t>
  </si>
  <si>
    <t>IC0756_CatNNF_AnoNNF_rho1279_AUX1NaN_AUX2NaN_1-5</t>
  </si>
  <si>
    <t>IC0928_CatBSL-W_AnoBSL5.0_rho1279_1-1</t>
  </si>
  <si>
    <t>3000h BSL long term experiment, preheated beaker and KOH</t>
  </si>
  <si>
    <t>IC0929_CatBSL-W_AnoBSL5.0_rho1279_1-2</t>
  </si>
  <si>
    <t>Peter H.</t>
  </si>
  <si>
    <t>IC0930_CatBSL-W_AnoBSL5.0_rho1279_1-3</t>
  </si>
  <si>
    <t>3000h BSL long term experiment, preheated beaker and KOH; beaker leaked on 26/11/25</t>
  </si>
  <si>
    <t>IC1239_CatNEL-5_AnoNNF_rho1281_1-1</t>
  </si>
  <si>
    <r>
      <rPr>
        <b/>
        <sz val="11"/>
        <color theme="1"/>
        <rFont val="Calibri"/>
        <family val="2"/>
        <scheme val="minor"/>
      </rPr>
      <t xml:space="preserve">Stopped because contaminated cathodic cleaning </t>
    </r>
    <r>
      <rPr>
        <sz val="11"/>
        <color theme="1"/>
        <rFont val="Calibri"/>
        <family val="2"/>
        <scheme val="minor"/>
      </rPr>
      <t>- 3000hr v3 - P1</t>
    </r>
  </si>
  <si>
    <t>Lab plating, NEL coating</t>
  </si>
  <si>
    <t>IC1240_CatNEL-5_AnoNNF_rho1281_1-2</t>
  </si>
  <si>
    <r>
      <rPr>
        <b/>
        <sz val="11"/>
        <color theme="1"/>
        <rFont val="Calibri"/>
        <family val="2"/>
        <scheme val="minor"/>
      </rPr>
      <t>Stopped because contaminated cathodic cleaning</t>
    </r>
    <r>
      <rPr>
        <sz val="11"/>
        <color theme="1"/>
        <rFont val="Calibri"/>
        <family val="2"/>
        <scheme val="minor"/>
      </rPr>
      <t xml:space="preserve"> - 3000hr v3 - P2</t>
    </r>
  </si>
  <si>
    <t>Lab plating, NEL coating (probably wrong IC in the folder, IC1246 written, but sample from NEL-5)</t>
  </si>
  <si>
    <t>IC1252_CatB757-TR_AnoNNF_rho1281_1-3</t>
  </si>
  <si>
    <r>
      <rPr>
        <b/>
        <sz val="11"/>
        <color theme="1"/>
        <rFont val="Calibri"/>
        <family val="2"/>
        <scheme val="minor"/>
      </rPr>
      <t xml:space="preserve">Stopped because contaminated cathodic cleaning </t>
    </r>
    <r>
      <rPr>
        <sz val="11"/>
        <color theme="1"/>
        <rFont val="Calibri"/>
        <family val="2"/>
        <scheme val="minor"/>
      </rPr>
      <t>- 3000h Test, preheated beaker, preheated KOH, cathodic cleaned NNF anode, 1/3</t>
    </r>
  </si>
  <si>
    <t>IC1253_CatB757-TR_AnoNNF_rho1281_1-5</t>
  </si>
  <si>
    <r>
      <rPr>
        <b/>
        <sz val="11"/>
        <color theme="1"/>
        <rFont val="Calibri"/>
        <family val="2"/>
        <scheme val="minor"/>
      </rPr>
      <t xml:space="preserve"> Stopped because contaminated cathodic cleaning</t>
    </r>
    <r>
      <rPr>
        <sz val="11"/>
        <color theme="1"/>
        <rFont val="Calibri"/>
        <family val="2"/>
        <scheme val="minor"/>
      </rPr>
      <t xml:space="preserve"> -3000h Test, preheated beaker, preheated KOH, cathodic cleaned NNF anode, 2/3</t>
    </r>
  </si>
  <si>
    <t>IC1254_CatB757-TR_AnoNNF_rho1281_2-5</t>
  </si>
  <si>
    <r>
      <rPr>
        <b/>
        <sz val="11"/>
        <color theme="1"/>
        <rFont val="Calibri"/>
        <family val="2"/>
        <scheme val="minor"/>
      </rPr>
      <t>Stopped because contaminated cathodic cleaning</t>
    </r>
    <r>
      <rPr>
        <sz val="11"/>
        <color theme="1"/>
        <rFont val="Calibri"/>
        <family val="2"/>
        <scheme val="minor"/>
      </rPr>
      <t xml:space="preserve"> - 3000h Test, preheated beaker, preheated KOH, cathodic cleaned NNF anode, 2/3</t>
    </r>
  </si>
  <si>
    <t>IC1247_CatNNF_AnoB578-TR_rho1281_2-6</t>
  </si>
  <si>
    <r>
      <rPr>
        <b/>
        <sz val="11"/>
        <color theme="1"/>
        <rFont val="Calibri"/>
        <family val="2"/>
        <scheme val="minor"/>
      </rPr>
      <t xml:space="preserve">Stopped because contaminated cathodic cleaning </t>
    </r>
    <r>
      <rPr>
        <sz val="11"/>
        <color theme="1"/>
        <rFont val="Calibri"/>
        <family val="2"/>
        <scheme val="minor"/>
      </rPr>
      <t>- 3000h Test, preheated beaker, preheated KOH, cathodic cleaned NNF anode, 2/3</t>
    </r>
  </si>
  <si>
    <t>IC1248_CatNNF_AnoB578-TR_rho1281_3-3</t>
  </si>
  <si>
    <r>
      <rPr>
        <b/>
        <sz val="11"/>
        <color theme="1"/>
        <rFont val="Calibri"/>
        <family val="2"/>
        <scheme val="minor"/>
      </rPr>
      <t>Stopped because contaminated cathodic cleaning</t>
    </r>
    <r>
      <rPr>
        <sz val="11"/>
        <color theme="1"/>
        <rFont val="Calibri"/>
        <family val="2"/>
        <scheme val="minor"/>
      </rPr>
      <t xml:space="preserve"> - 3000hr test - anode degradation test P2</t>
    </r>
  </si>
  <si>
    <t>IC1249_CatNNF_AnoB578-TR_rho1281_3-6</t>
  </si>
  <si>
    <r>
      <rPr>
        <b/>
        <sz val="11"/>
        <color theme="1"/>
        <rFont val="Calibri"/>
        <family val="2"/>
        <scheme val="minor"/>
      </rPr>
      <t>Stopped because contaminated cathodic cleaning</t>
    </r>
    <r>
      <rPr>
        <sz val="11"/>
        <color theme="1"/>
        <rFont val="Calibri"/>
        <family val="2"/>
        <scheme val="minor"/>
      </rPr>
      <t xml:space="preserve"> - 3000hr test - anode degradation test P3</t>
    </r>
  </si>
  <si>
    <t>IC1302_CatNNF_AnoB578-BR-P1_rho1281_2-3</t>
  </si>
  <si>
    <r>
      <t xml:space="preserve">3000 hr , re-test, </t>
    </r>
    <r>
      <rPr>
        <b/>
        <sz val="11"/>
        <color theme="1"/>
        <rFont val="Calibri"/>
        <family val="2"/>
        <scheme val="minor"/>
      </rPr>
      <t>stopped for unsatisfactory performances</t>
    </r>
  </si>
  <si>
    <r>
      <t xml:space="preserve">3000 HR, </t>
    </r>
    <r>
      <rPr>
        <b/>
        <sz val="11"/>
        <color theme="1"/>
        <rFont val="Calibri"/>
        <family val="2"/>
        <scheme val="minor"/>
      </rPr>
      <t>heating plate stopped working</t>
    </r>
  </si>
  <si>
    <t>IC0642_CatRCP56_AnoRCP56_rho1279_AUX1NaN_AUX2NaN_3-1_1of3_restart</t>
  </si>
  <si>
    <r>
      <rPr>
        <b/>
        <sz val="11"/>
        <color theme="1"/>
        <rFont val="Calibri"/>
        <family val="2"/>
        <scheme val="minor"/>
      </rPr>
      <t>Cathode consumed during degradation studies</t>
    </r>
    <r>
      <rPr>
        <sz val="11"/>
        <color theme="1"/>
        <rFont val="Calibri"/>
        <family val="2"/>
        <scheme val="minor"/>
      </rPr>
      <t xml:space="preserve">
It was continued after the first 3000 hours long test stopped. Preheated KOH and beaker, Cathode position P8, Anode P2, 1/3, 3000 h protocol </t>
    </r>
    <r>
      <rPr>
        <b/>
        <sz val="11"/>
        <color theme="1"/>
        <rFont val="Calibri"/>
        <family val="2"/>
        <scheme val="minor"/>
      </rPr>
      <t>Cummulative running time: 6010 hours</t>
    </r>
    <r>
      <rPr>
        <sz val="11"/>
        <color theme="1"/>
        <rFont val="Calibri"/>
        <family val="2"/>
        <scheme val="minor"/>
      </rPr>
      <t xml:space="preserve">
Electrolyte changed at 4700 hours to new KOH with density 1,281 g/cm3
(16/12/2025) Beaker and electrolyte changed with new KOH with density 1,281 g/cm3 due to leakage.</t>
    </r>
  </si>
  <si>
    <t>IC0643_CatRCP56_AnoRCP56_rho1279_AUX1NaN_AUX2NaN_3-2_2of3_restart</t>
  </si>
  <si>
    <r>
      <t xml:space="preserve">It was restarted after the first 3000 hours long test was stopped. Preheated KOH and beaker, Cathode position P3 cathode scratched, Anode P8, 2/3, 3000 h protocol </t>
    </r>
    <r>
      <rPr>
        <b/>
        <sz val="11"/>
        <color theme="1"/>
        <rFont val="Calibri"/>
        <family val="2"/>
        <scheme val="minor"/>
      </rPr>
      <t>Cummulative running time: 6010 hours</t>
    </r>
    <r>
      <rPr>
        <sz val="11"/>
        <color theme="1"/>
        <rFont val="Calibri"/>
        <family val="2"/>
        <scheme val="minor"/>
      </rPr>
      <t xml:space="preserve">
Electrolyte changed at 4700 hours to new KOH with density 1,281 g/cm3</t>
    </r>
  </si>
  <si>
    <t>IC1324_CatB757-BR_AnoB578-BR_rho1281_3-6_70C</t>
  </si>
  <si>
    <t>3000h, 70 degrees, new lid</t>
  </si>
  <si>
    <t>IC1325_CatB757-BR_AnoB578-BR_rho1281_3-7_70C</t>
  </si>
  <si>
    <t>IC0864_CatB757_AnoB578_rho1279_5-5_restart</t>
  </si>
  <si>
    <t>Ano P6 Cat P2 3000h Electrolyte changed at 2780 hours to new KOH with density 1,281 g/cm3</t>
  </si>
  <si>
    <t>IC0864_CatB757_AnoB578_rho1279_5-6</t>
  </si>
  <si>
    <t>IC0865_CatB757_AnoB578_rho1279_5-7</t>
  </si>
  <si>
    <t>Ano P5 Cat P3 3000h Electrolyte changed at 2780 hours to new KOH with density 1,281 g/cm3</t>
  </si>
  <si>
    <t>IC0866_CatB757_AnoB578_rho1279_5-8</t>
  </si>
  <si>
    <t>Ano P4 Cat P4 3000h Electrolyte changed at 2780 hours to new KOH with density 1,281 g/cm3</t>
  </si>
  <si>
    <t>3000h Test, preheated beaker, preheated KOH, cathodic cleaned NNF anode; *the beaker leaked on 15/04/2026 and the new electrolyte has density 1282 g/mL (changed after around 2012 hours)*; Added 1.5ppm iron after 17/04/2026 15:38</t>
  </si>
  <si>
    <t>IC0793_CatRCP56ES_AnoRCP56ES_rho1279_AUX1NaN_AUX2NaN_2-7_1of3</t>
  </si>
  <si>
    <t>3000h Electrolyte changed at 3200 hours to new KOH with density 1,281 g/cm3</t>
  </si>
  <si>
    <t>Ni Sulfamate Plating (white binder)</t>
  </si>
  <si>
    <t>IC0794_CatRCP56ES_AnoRCP56ES_rho1279_AUX1NaN_AUX2NaN_2-8_2of3_Restart</t>
  </si>
  <si>
    <t>IC1301_CatNNF_AnoB578-BR-P2_rho1281_2-1</t>
  </si>
  <si>
    <t>3000 hr - Re-test - just taken off the station and then restarted (continued under same IC ID)</t>
  </si>
  <si>
    <t>IC1303_CatNNF_AnoB578-BR-P3_rho1281_2-4</t>
  </si>
  <si>
    <t>3000 hr, re-test - just taken off the station and then restarted (continued under same IC ID)</t>
  </si>
  <si>
    <t>IC1291_CatB757-BR-P3_AnoNNF_rho1281_3-3</t>
  </si>
  <si>
    <t>3000h Test, preheated beaker, preheated KOH, cathodic cleaned NNF anode - just taken off the station and then restarted (continued under same IC ID)</t>
  </si>
  <si>
    <t>IC1743_CatGen4.1.90_AnoNNF_rho1282_1.3ppm_Fe_6-8</t>
  </si>
  <si>
    <t>IC1744_CatGen4.1.90_AnoNNF_rho1282_1.3ppm_Fe_7-4</t>
  </si>
  <si>
    <t>IC1826_CatGen4.1.60B2_AnoGen2.3_rho1282_0.065ppm_Fe_sp_6-4</t>
  </si>
  <si>
    <t>Cathode: Gen4_3A/dm2_1h batch 2; Anode: Gen2.3; steel plate added on anode side, no additional iron; _QC_IC_3000h_v3</t>
  </si>
  <si>
    <t>Iron Test Samples</t>
  </si>
  <si>
    <t>IC1835_CatGen4.1.60B2_AnoGen2.3_rho1282_0.065ppm_Fe_sp_6-7</t>
  </si>
  <si>
    <t>IC1836_CatGen4.1.60B2_AnoGen4.1.13B3_rho1282_0.065ppm_Fe_sp_7-1</t>
  </si>
  <si>
    <t>Cathode: Gen4_3A/dm2_1h batch 3; Anode: Gen4_3A/dm2_13min batch 3; steel plate added on anode side, no additional iron; _QC_IC_3000h_v3</t>
  </si>
  <si>
    <t>IC1837_CatGen4.1.60B2_AnoGen4.1.13B3_rho1282_0.065ppm_Fe_sp_7-2</t>
  </si>
  <si>
    <t>IC1785_CatNNF_AnoNNF_rho1282_0.065ppm_Fe_sp_7-7</t>
  </si>
  <si>
    <t>_QC_IC_3000h_v3, Steel plate added on anode site, NNF electrodes, no additional Fe added</t>
  </si>
  <si>
    <t>IC1786_CatNNF_AnoNNF_rho1282_0.065ppm_Fe_sp_7-8</t>
  </si>
  <si>
    <t>IC1831_CatGen4.1.60B2_AnoNNF_rho1282_0.065ppm_Fe_sp_2-2</t>
  </si>
  <si>
    <t>Cathode: Gen4_3A/dm2_1h batch 2; Anode: NNF; steel plate added on anode side, no additional iron; _QC_IC_3000h_v3</t>
  </si>
  <si>
    <t>IC1830_CatGen4.1.60B2_AnoNNF_rho1282_0.065ppm_Fe_sp_2-3</t>
  </si>
  <si>
    <t>IC1752_CatNNF_AnoNNF_rho1282_5.0ppm_Fe_4-3</t>
  </si>
  <si>
    <t>5 ppm Fe 3000h test</t>
  </si>
  <si>
    <t>IC1753_CatNNF_AnoNNF_rho1282_5.0ppm_Fe_4-4</t>
  </si>
  <si>
    <t>IC1754_CatNNF_AnoNNF_rho1282_20.0ppm_Fe_4-5</t>
  </si>
  <si>
    <t>20 ppm Fe 3000h test</t>
  </si>
  <si>
    <t>IC1755_CatNNF_AnoNNF_rho1282_20.0ppm_Fe_4-6</t>
  </si>
  <si>
    <t>IC1952_CatDNC_AnoDNA_rho1282_0.065ppm_Fe_0.2SP_7-1</t>
  </si>
  <si>
    <t>3000h test, small steel plate 0.2x original size</t>
  </si>
  <si>
    <t>IC1953_CatDNC_AnoDNA_rho1282_0.065ppm_Fe_0.2SP_7-2</t>
  </si>
  <si>
    <t>IC1951_CatGen4.1.60-B5_AnoGen4.1.13-B6_rho1282_0.065ppm_Fe_0.2SP_6-8</t>
  </si>
  <si>
    <t>3000h test small steel plate 1/5th of original size</t>
  </si>
  <si>
    <t>IC1956_CatGen4.1.60B5_AnoGen4.1.13B6_rho1282_0.065ppm_Fe_sp_2-3</t>
  </si>
  <si>
    <t>3000h v3 protocol, no addition iron added, steel plate on anode site</t>
  </si>
  <si>
    <t>IC1910_CatExt-S2-T4_AnoExt-S2-T4_rho1282_1.3ppm_Fe_On-off_1-8</t>
  </si>
  <si>
    <t xml:space="preserve">24 h leaching for the meshes. No pretreatment for T4. After the 168h protocol, on-off protocol with reverse current was used. </t>
  </si>
  <si>
    <t>IC0090_CatDNC_AnoDNA_T90_rho1287_AUX1Ano_AUX2Cat_3-3</t>
  </si>
  <si>
    <t>IC0090_CatDNC_AnoDNA_T90_rho1287_AUX1Ano_AUX2Cat_3-3.png</t>
  </si>
  <si>
    <t>IC0126_CatNNF_AnoLP_T90_rho1287_AUX1Cat_AUX2Ano_2-3</t>
  </si>
  <si>
    <t xml:space="preserve">Anders </t>
  </si>
  <si>
    <t>IC0126_CatNNF_AnoLP_T90_rho1287_AUX1Cat_AUX2Ano_2-3.png</t>
  </si>
  <si>
    <t>IC0128_CatNNF_AnoHP_T90_rho1287_AUX1Cat_AUX2Ano_3-7</t>
  </si>
  <si>
    <t>IC0128_CatNNF_AnoHP_T90_rho1287_AUX1Cat_AUX2Ano_3-7.png</t>
  </si>
  <si>
    <t>IC0133_CatNNF_AnoHP_rho1287_AUX1Cat_AUX2Ano</t>
  </si>
  <si>
    <t>HP</t>
  </si>
  <si>
    <t>IC0133_CatNNF_AnoHP_rho1287_AUX1Cat_AUX2Ano.png</t>
  </si>
  <si>
    <t>IC0127_CatNNF_AnoLP_T90_rho1287_AUX1Cat_AUX2Ano_3-8</t>
  </si>
  <si>
    <t>IC0127_CatNNF_AnoLP_T90_rho1287_AUX1Cat_AUX2Ano_3-8.png</t>
  </si>
  <si>
    <t>Vigan</t>
  </si>
  <si>
    <t>IC0530_Cat_3M_HNO3_5min_AnoNNF_rho1276_AUX1NaN_AUX2NaN_2-1</t>
  </si>
  <si>
    <t>Filippo?</t>
  </si>
  <si>
    <t>Pretreated anode, preheated KOH</t>
  </si>
  <si>
    <t>IC0530_Cat_3M_HNO3_5min_AnoNNF_rho1276_AUX1NaN_AUX2NaN_2-1.png</t>
  </si>
  <si>
    <t>IC0531_Cat_3M_HNO3_10min_AnoNNF_rho1276_AUX1NaN_AUX2NaN_1-3</t>
  </si>
  <si>
    <t>IC0531_Cat_3M_HNO3_10min_AnoNNF_rho1276_AUX1NaN_AUX2NaN_1-3.png</t>
  </si>
  <si>
    <t>IC0546_CatNNF_2T_AnoGEN3_2T_rho1276_AUX1NaN_AUX2NaN_1-6</t>
  </si>
  <si>
    <t>IC0546_CatNNF_2T_AnoGEN3_2T_rho1276_AUX1NaN_AUX2NaN_1-6.png</t>
  </si>
  <si>
    <t>IC0547_CatNNF_2T_AnoGEN3_2T_rho1276_AUX1NaN_AUX2NaN_1-7</t>
  </si>
  <si>
    <t>IC0547_CatNNF_2T_AnoGEN3_2T_rho1276_AUX1NaN_AUX2NaN_1-7.png</t>
  </si>
  <si>
    <t>IC1109_CatB757-BL_AnoNNF_rho1279_4-5</t>
  </si>
  <si>
    <t>Degradation Test; EIS using Origalys</t>
  </si>
  <si>
    <t>IC1156_CatSMTALL-5_AnoSMBL0-6_rho1281_5-5</t>
  </si>
  <si>
    <t>Stress-Test, 1 week, Sulfamate+TU+Schloetter, preheated KOH and beaker, Both Cathode and Anode from same plated cat.</t>
  </si>
  <si>
    <t>IC1152_CatSMBL0-3_AnoSMBL0-4_rho1281_1-5</t>
  </si>
  <si>
    <t>Stress-Test, 1 week, Sulfamate, preheated KOH and beaker, Both Cathode and Anode from same plated cat.</t>
  </si>
  <si>
    <t>IC1151_CatSMBL0-1_AnoSMBL0-2_rho1281_2-3</t>
  </si>
  <si>
    <t>IC1153_CatSMBL0-5_AnoSMBL0-6_rho1281_2-5</t>
  </si>
  <si>
    <t>IC1154_CatSMTALL-1_AnoSMBL0-2_rho1281_2-6</t>
  </si>
  <si>
    <t>IC1155_CatSMTALL-3_AnoSMBL0-4_rho1281_3-3</t>
  </si>
  <si>
    <t>IC1530_CatB10684-TR-P2_AnoNNF_rho1282_4-4</t>
  </si>
  <si>
    <t>Shutdown_shorter_procedure.xml</t>
  </si>
  <si>
    <t>Shutdown protocol test</t>
  </si>
  <si>
    <t>IC1842_CatGen4.1.60B4_AnoGen4.1.13B4_rho1282_1.3ppm_Fe_Start-Stop_5-1</t>
  </si>
  <si>
    <t>48hCC_PolCurve_5hCCOn_100OhmCR_48hCC_Polcurve.xml</t>
  </si>
  <si>
    <t>48hCC_PolCurve_5hCCOn_100OhmCR_48hCC_Polcurve, Cathode: Gen4_3A/dm2_1h B4; Anode: Gen4_3A/dm2_13min B4; reverse current</t>
  </si>
  <si>
    <t>IC1843_CatGen4.1.60B4_AnoGen4.1.13B4_rho1282_1.3ppm_Fe_Start-Stop_4-2</t>
  </si>
  <si>
    <r>
      <rPr>
        <b/>
        <sz val="11"/>
        <color rgb="FF000000"/>
        <rFont val="Calibri"/>
        <scheme val="minor"/>
      </rPr>
      <t>Leak spotted during disasembly</t>
    </r>
    <r>
      <rPr>
        <sz val="11"/>
        <color rgb="FF000000"/>
        <rFont val="Calibri"/>
        <scheme val="minor"/>
      </rPr>
      <t xml:space="preserve"> - 48hCC_PolCurve_5hCCOn_100OhmCR_48hCC_Polcurve, Cathode: Gen4_3A/dm2_1h B4; Anode: Gen4_3A/dm2_13min B4; reverse current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</si>
</sst>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dd/mm/yyyy;@"/>
    <numFmt numFmtId="166" formatCode="0.0"/>
    <numFmt numFmtId="167" formatCode="[$]dd/mm/yyyy;@" x16r2:formatCode16="[$-en-DK,1]dd/mm/yyyy;@"/>
  </numFmts>
  <fonts count="26" x14ac:knownFonts="1">
    <font>
      <sz val="11"/>
      <color theme="1"/>
      <name val="Calibri"/>
      <family val="2"/>
      <scheme val="minor"/>
    </font>
    <font>
      <sz val="11"/>
      <color theme="1"/>
      <name val="Calibri"/>
      <family val="2"/>
      <scheme val="minor"/>
    </font>
    <font>
      <sz val="11"/>
      <color rgb="FF000000"/>
      <name val="Calibri"/>
      <family val="2"/>
      <scheme val="minor"/>
    </font>
    <font>
      <sz val="11"/>
      <color rgb="FF242424"/>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color rgb="FFFF0000"/>
      <name val="Calibri"/>
      <family val="2"/>
      <scheme val="minor"/>
    </font>
    <font>
      <sz val="11"/>
      <color rgb="FF616161"/>
      <name val="Segoe UI"/>
      <family val="2"/>
    </font>
    <font>
      <sz val="11"/>
      <color rgb="FF000000"/>
      <name val="Calibri"/>
      <family val="2"/>
    </font>
    <font>
      <sz val="11"/>
      <color rgb="FF242424"/>
      <name val="Aptos Narrow"/>
      <family val="2"/>
    </font>
    <font>
      <u/>
      <sz val="11"/>
      <color rgb="FF000000"/>
      <name val="Calibri"/>
      <family val="2"/>
      <scheme val="minor"/>
    </font>
    <font>
      <sz val="10"/>
      <color rgb="FF333333"/>
      <name val="Segoe UI"/>
      <family val="2"/>
    </font>
    <font>
      <b/>
      <sz val="11"/>
      <color rgb="FF000000"/>
      <name val="Calibri"/>
      <family val="2"/>
      <scheme val="minor"/>
    </font>
    <font>
      <b/>
      <sz val="11"/>
      <color rgb="FF000000"/>
      <name val="Calibri"/>
      <family val="2"/>
    </font>
    <font>
      <sz val="9"/>
      <color rgb="FF616161"/>
      <name val="Segoe UI"/>
      <family val="2"/>
    </font>
    <font>
      <sz val="8"/>
      <name val="Calibri"/>
      <family val="2"/>
      <scheme val="minor"/>
    </font>
    <font>
      <sz val="11"/>
      <color rgb="FF242424"/>
      <name val="Aptos Narrow"/>
      <charset val="1"/>
    </font>
    <font>
      <sz val="11"/>
      <color rgb="FF242424"/>
      <name val="Segoe UI"/>
      <charset val="1"/>
    </font>
    <font>
      <sz val="11"/>
      <color rgb="FF242424"/>
      <name val="Segoe UI"/>
      <family val="2"/>
    </font>
    <font>
      <sz val="11"/>
      <color rgb="FF000000"/>
      <name val="Calibri"/>
      <scheme val="minor"/>
    </font>
    <font>
      <b/>
      <sz val="11"/>
      <color rgb="FF000000"/>
      <name val="Calibri"/>
      <scheme val="minor"/>
    </font>
    <font>
      <sz val="9"/>
      <color rgb="FF616161"/>
      <name val="Segoe UI"/>
      <charset val="1"/>
    </font>
    <font>
      <i/>
      <sz val="11"/>
      <color theme="1"/>
      <name val="Calibri"/>
      <family val="2"/>
      <scheme val="minor"/>
    </font>
    <font>
      <sz val="10"/>
      <color rgb="FF333333"/>
      <name val="Segoe UI"/>
    </font>
    <font>
      <sz val="11"/>
      <color rgb="FF242424"/>
      <name val="Aptos Narrow"/>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FAFAFA"/>
        <bgColor indexed="64"/>
      </patternFill>
    </fill>
  </fills>
  <borders count="28">
    <border>
      <left/>
      <right/>
      <top/>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18">
    <xf numFmtId="0" fontId="0" fillId="0" borderId="0" xfId="0"/>
    <xf numFmtId="0" fontId="2" fillId="0" borderId="0" xfId="0" applyFont="1"/>
    <xf numFmtId="0" fontId="3" fillId="0" borderId="0" xfId="0" applyFont="1"/>
    <xf numFmtId="0" fontId="4" fillId="0" borderId="0" xfId="0" applyFont="1"/>
    <xf numFmtId="0" fontId="4" fillId="0" borderId="1" xfId="0" applyFont="1" applyBorder="1"/>
    <xf numFmtId="0" fontId="4" fillId="0" borderId="1" xfId="0" applyFont="1" applyBorder="1" applyAlignment="1">
      <alignment horizontal="center" vertical="center"/>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14" fontId="0" fillId="0" borderId="0" xfId="0" applyNumberFormat="1"/>
    <xf numFmtId="0" fontId="4" fillId="0" borderId="3" xfId="0" applyFont="1" applyBorder="1" applyAlignment="1">
      <alignment horizontal="center" vertical="center"/>
    </xf>
    <xf numFmtId="0" fontId="4" fillId="0" borderId="6" xfId="0" applyFont="1" applyBorder="1"/>
    <xf numFmtId="0" fontId="0" fillId="0" borderId="0" xfId="0" applyAlignment="1">
      <alignment wrapText="1"/>
    </xf>
    <xf numFmtId="0" fontId="0" fillId="3" borderId="0" xfId="0" applyFill="1"/>
    <xf numFmtId="164" fontId="4" fillId="0" borderId="3" xfId="0" applyNumberFormat="1" applyFont="1" applyBorder="1" applyAlignment="1">
      <alignment horizontal="center" vertical="center"/>
    </xf>
    <xf numFmtId="0" fontId="6" fillId="0" borderId="0" xfId="0" applyFont="1"/>
    <xf numFmtId="164" fontId="0" fillId="0" borderId="0" xfId="0" applyNumberFormat="1" applyAlignment="1">
      <alignment horizontal="center"/>
    </xf>
    <xf numFmtId="0" fontId="0" fillId="2" borderId="0" xfId="0" applyFill="1"/>
    <xf numFmtId="0" fontId="7" fillId="0" borderId="0" xfId="0" applyFont="1"/>
    <xf numFmtId="14" fontId="4" fillId="0" borderId="1" xfId="0" applyNumberFormat="1" applyFont="1" applyBorder="1" applyAlignment="1">
      <alignment horizontal="center" vertical="center"/>
    </xf>
    <xf numFmtId="0" fontId="8" fillId="0" borderId="0" xfId="0" applyFont="1"/>
    <xf numFmtId="165" fontId="4" fillId="0" borderId="1" xfId="0" applyNumberFormat="1" applyFont="1" applyBorder="1" applyAlignment="1">
      <alignment horizontal="center" vertical="center"/>
    </xf>
    <xf numFmtId="165" fontId="0" fillId="0" borderId="0" xfId="0" applyNumberFormat="1"/>
    <xf numFmtId="0" fontId="9" fillId="0" borderId="0" xfId="0" applyFont="1"/>
    <xf numFmtId="0" fontId="5" fillId="0" borderId="0" xfId="1" applyAlignment="1">
      <alignment wrapText="1"/>
    </xf>
    <xf numFmtId="0" fontId="5" fillId="0" borderId="0" xfId="1" applyAlignment="1"/>
    <xf numFmtId="164" fontId="0" fillId="0" borderId="0" xfId="0" applyNumberFormat="1"/>
    <xf numFmtId="164" fontId="0" fillId="0" borderId="0" xfId="0" applyNumberFormat="1" applyAlignment="1">
      <alignment horizontal="right"/>
    </xf>
    <xf numFmtId="164" fontId="10" fillId="0" borderId="0" xfId="0" applyNumberFormat="1" applyFont="1"/>
    <xf numFmtId="164" fontId="0" fillId="0" borderId="0" xfId="0" applyNumberFormat="1" applyAlignment="1">
      <alignment horizontal="center" vertical="center"/>
    </xf>
    <xf numFmtId="0" fontId="0" fillId="0" borderId="0" xfId="0" applyAlignment="1">
      <alignment horizontal="left"/>
    </xf>
    <xf numFmtId="0" fontId="0" fillId="0" borderId="0" xfId="0" applyAlignment="1">
      <alignment horizontal="left" wrapText="1"/>
    </xf>
    <xf numFmtId="0" fontId="10" fillId="0" borderId="0" xfId="0" applyFont="1" applyAlignment="1">
      <alignment horizontal="left"/>
    </xf>
    <xf numFmtId="0" fontId="2" fillId="0" borderId="0" xfId="0" applyFont="1" applyAlignment="1">
      <alignment wrapText="1"/>
    </xf>
    <xf numFmtId="164" fontId="0" fillId="0" borderId="0" xfId="0" applyNumberFormat="1" applyAlignment="1">
      <alignment horizontal="left"/>
    </xf>
    <xf numFmtId="0" fontId="10" fillId="0" borderId="0" xfId="0" applyFont="1" applyAlignment="1">
      <alignment wrapText="1"/>
    </xf>
    <xf numFmtId="0" fontId="9" fillId="4" borderId="0" xfId="0" applyFont="1" applyFill="1"/>
    <xf numFmtId="0" fontId="5" fillId="0" borderId="0" xfId="1" applyAlignment="1">
      <alignment horizontal="left"/>
    </xf>
    <xf numFmtId="0" fontId="11" fillId="0" borderId="0" xfId="0" applyFont="1"/>
    <xf numFmtId="2" fontId="0" fillId="0" borderId="0" xfId="0" applyNumberFormat="1"/>
    <xf numFmtId="0" fontId="12" fillId="0" borderId="0" xfId="0" applyFont="1"/>
    <xf numFmtId="0" fontId="5" fillId="0" borderId="0" xfId="1"/>
    <xf numFmtId="0" fontId="2" fillId="0" borderId="0" xfId="0" quotePrefix="1" applyFont="1" applyAlignment="1">
      <alignment wrapText="1"/>
    </xf>
    <xf numFmtId="0" fontId="13" fillId="0" borderId="0" xfId="0" applyFont="1"/>
    <xf numFmtId="0" fontId="10" fillId="0" borderId="0" xfId="0" applyFont="1"/>
    <xf numFmtId="14"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vertical="top" wrapText="1"/>
    </xf>
    <xf numFmtId="0" fontId="0" fillId="0" borderId="0" xfId="0" applyAlignment="1">
      <alignment vertical="top"/>
    </xf>
    <xf numFmtId="14" fontId="0" fillId="0" borderId="0" xfId="0" applyNumberFormat="1" applyAlignment="1">
      <alignment vertical="top"/>
    </xf>
    <xf numFmtId="0" fontId="5" fillId="0" borderId="0" xfId="1" applyAlignment="1">
      <alignment vertical="top"/>
    </xf>
    <xf numFmtId="0" fontId="5" fillId="0" borderId="0" xfId="1" applyAlignment="1">
      <alignment vertical="top" wrapText="1"/>
    </xf>
    <xf numFmtId="0" fontId="9" fillId="0" borderId="0" xfId="0" applyFont="1" applyAlignment="1">
      <alignment vertical="top"/>
    </xf>
    <xf numFmtId="16" fontId="0" fillId="0" borderId="0" xfId="0" applyNumberFormat="1"/>
    <xf numFmtId="16" fontId="0" fillId="0" borderId="0" xfId="0" applyNumberFormat="1" applyAlignment="1">
      <alignment wrapText="1"/>
    </xf>
    <xf numFmtId="49" fontId="0" fillId="0" borderId="0" xfId="0" applyNumberFormat="1"/>
    <xf numFmtId="0" fontId="0" fillId="0" borderId="0" xfId="0" quotePrefix="1"/>
    <xf numFmtId="0" fontId="0" fillId="0" borderId="0" xfId="0" applyAlignment="1">
      <alignment horizontal="right"/>
    </xf>
    <xf numFmtId="0" fontId="0" fillId="0" borderId="7" xfId="0" applyBorder="1"/>
    <xf numFmtId="0" fontId="0" fillId="2" borderId="7" xfId="0" applyFill="1" applyBorder="1" applyAlignment="1">
      <alignment vertical="center"/>
    </xf>
    <xf numFmtId="0" fontId="0" fillId="0" borderId="8" xfId="0" applyBorder="1"/>
    <xf numFmtId="164" fontId="0" fillId="2" borderId="7" xfId="0" applyNumberFormat="1" applyFill="1" applyBorder="1" applyAlignment="1">
      <alignment vertical="center"/>
    </xf>
    <xf numFmtId="0" fontId="0" fillId="2" borderId="7" xfId="0" applyFill="1" applyBorder="1" applyAlignment="1">
      <alignment vertical="center" wrapText="1"/>
    </xf>
    <xf numFmtId="164" fontId="0" fillId="0" borderId="8" xfId="0" applyNumberFormat="1" applyBorder="1"/>
    <xf numFmtId="0" fontId="0" fillId="0" borderId="8" xfId="0" applyBorder="1" applyAlignment="1">
      <alignment wrapText="1"/>
    </xf>
    <xf numFmtId="166" fontId="0" fillId="0" borderId="0" xfId="0" applyNumberFormat="1"/>
    <xf numFmtId="1" fontId="0" fillId="0" borderId="0" xfId="0" applyNumberFormat="1"/>
    <xf numFmtId="20" fontId="0" fillId="0" borderId="0" xfId="0" applyNumberFormat="1"/>
    <xf numFmtId="1" fontId="4" fillId="0" borderId="0" xfId="0" applyNumberFormat="1" applyFont="1"/>
    <xf numFmtId="0" fontId="0" fillId="0" borderId="9" xfId="0" applyBorder="1"/>
    <xf numFmtId="0" fontId="4" fillId="0" borderId="9" xfId="0" applyFont="1" applyBorder="1"/>
    <xf numFmtId="1" fontId="4" fillId="0" borderId="9" xfId="0" applyNumberFormat="1" applyFont="1" applyBorder="1"/>
    <xf numFmtId="1" fontId="0" fillId="0" borderId="9" xfId="0" applyNumberFormat="1" applyBorder="1"/>
    <xf numFmtId="0" fontId="0" fillId="0" borderId="10" xfId="0" applyBorder="1"/>
    <xf numFmtId="0" fontId="0" fillId="0" borderId="11" xfId="0" applyBorder="1"/>
    <xf numFmtId="0" fontId="0" fillId="0" borderId="12" xfId="0" applyBorder="1"/>
    <xf numFmtId="0" fontId="0" fillId="0" borderId="13" xfId="0" applyBorder="1"/>
    <xf numFmtId="0" fontId="4" fillId="0" borderId="14" xfId="0" applyFont="1" applyBorder="1"/>
    <xf numFmtId="0" fontId="0" fillId="0" borderId="16" xfId="0" applyBorder="1"/>
    <xf numFmtId="0" fontId="0" fillId="0" borderId="17" xfId="0" applyBorder="1"/>
    <xf numFmtId="0" fontId="4" fillId="0" borderId="13" xfId="0" applyFont="1" applyBorder="1"/>
    <xf numFmtId="1" fontId="0" fillId="0" borderId="14" xfId="0" applyNumberFormat="1" applyBorder="1"/>
    <xf numFmtId="0" fontId="0" fillId="0" borderId="15" xfId="0" applyBorder="1"/>
    <xf numFmtId="1" fontId="0" fillId="0" borderId="22" xfId="0" applyNumberFormat="1" applyBorder="1"/>
    <xf numFmtId="0" fontId="0" fillId="0" borderId="22" xfId="0" applyBorder="1"/>
    <xf numFmtId="0" fontId="0" fillId="0" borderId="23" xfId="0" applyBorder="1"/>
    <xf numFmtId="164" fontId="2" fillId="0" borderId="0" xfId="0" applyNumberFormat="1" applyFont="1" applyAlignment="1">
      <alignment horizontal="center"/>
    </xf>
    <xf numFmtId="0" fontId="2" fillId="0" borderId="0" xfId="0" applyFont="1" applyAlignment="1">
      <alignment horizontal="center" wrapText="1"/>
    </xf>
    <xf numFmtId="167" fontId="0" fillId="0" borderId="21" xfId="0" applyNumberFormat="1" applyBorder="1"/>
    <xf numFmtId="167" fontId="0" fillId="0" borderId="9" xfId="0" applyNumberFormat="1" applyBorder="1"/>
    <xf numFmtId="14" fontId="0" fillId="0" borderId="9" xfId="0" applyNumberFormat="1" applyBorder="1"/>
    <xf numFmtId="14" fontId="0" fillId="0" borderId="21" xfId="0" applyNumberFormat="1" applyBorder="1"/>
    <xf numFmtId="0" fontId="15" fillId="0" borderId="0" xfId="0" applyFont="1"/>
    <xf numFmtId="0" fontId="1" fillId="0" borderId="0" xfId="0" applyFont="1"/>
    <xf numFmtId="0" fontId="0" fillId="0" borderId="0" xfId="0" applyAlignment="1">
      <alignment horizontal="center" vertical="center"/>
    </xf>
    <xf numFmtId="0" fontId="4" fillId="0" borderId="24" xfId="0" applyFont="1" applyBorder="1"/>
    <xf numFmtId="0" fontId="4" fillId="0" borderId="25" xfId="0" applyFont="1" applyBorder="1" applyAlignment="1">
      <alignment horizontal="center" vertical="center"/>
    </xf>
    <xf numFmtId="0" fontId="4" fillId="0" borderId="26" xfId="0" applyFont="1" applyBorder="1"/>
    <xf numFmtId="0" fontId="4" fillId="0" borderId="26" xfId="0" applyFont="1" applyBorder="1" applyAlignment="1">
      <alignment horizontal="center" vertical="center"/>
    </xf>
    <xf numFmtId="0" fontId="4" fillId="0" borderId="24" xfId="0" applyFont="1" applyBorder="1" applyAlignment="1">
      <alignment horizontal="center"/>
    </xf>
    <xf numFmtId="0" fontId="0" fillId="0" borderId="0" xfId="0" applyAlignment="1">
      <alignment horizontal="center" vertical="center" wrapText="1"/>
    </xf>
    <xf numFmtId="0" fontId="17" fillId="0" borderId="0" xfId="0" applyFont="1"/>
    <xf numFmtId="0" fontId="18" fillId="0" borderId="0" xfId="0" applyFont="1"/>
    <xf numFmtId="0" fontId="19" fillId="0" borderId="0" xfId="0" applyFont="1"/>
    <xf numFmtId="0" fontId="22" fillId="0" borderId="0" xfId="0" applyFont="1"/>
    <xf numFmtId="1" fontId="0" fillId="0" borderId="27" xfId="0" applyNumberFormat="1" applyBorder="1"/>
    <xf numFmtId="14" fontId="0" fillId="0" borderId="22" xfId="0" applyNumberFormat="1" applyBorder="1"/>
    <xf numFmtId="0" fontId="24" fillId="0" borderId="0" xfId="0" applyFont="1"/>
    <xf numFmtId="0" fontId="18" fillId="5" borderId="0" xfId="0" applyFont="1" applyFill="1" applyAlignment="1">
      <alignment wrapText="1"/>
    </xf>
    <xf numFmtId="0" fontId="20" fillId="0" borderId="0" xfId="0" applyFont="1"/>
    <xf numFmtId="0" fontId="4" fillId="0" borderId="8" xfId="0" applyFont="1" applyBorder="1"/>
    <xf numFmtId="0" fontId="4" fillId="0" borderId="8" xfId="0" applyFont="1" applyBorder="1" applyAlignment="1">
      <alignment horizontal="center" vertical="center"/>
    </xf>
    <xf numFmtId="0" fontId="25" fillId="0" borderId="0" xfId="0" applyFont="1"/>
    <xf numFmtId="0" fontId="3" fillId="0" borderId="0" xfId="0" applyFont="1" applyAlignment="1">
      <alignment wrapText="1"/>
    </xf>
    <xf numFmtId="0" fontId="4" fillId="0" borderId="1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i:/s/AdvancedSurfacePlatingApS/EVTsWXdIlhtKnqfSu6g6U_IB5ckPSZrMqJ_b17Vq46FPjQ?e=TdH4TJ" TargetMode="External"/><Relationship Id="rId21" Type="http://schemas.openxmlformats.org/officeDocument/2006/relationships/hyperlink" Target="../../../../../:i:/s/AdvancedSurfacePlatingApS/EZSq2QK9f31CiV6k7PDGpMsBAbxazAcuCanyHGxb4lqQTw?e=CLF7wZ" TargetMode="External"/><Relationship Id="rId42" Type="http://schemas.openxmlformats.org/officeDocument/2006/relationships/hyperlink" Target="../../../../../:i:/s/AdvancedSurfacePlatingApS/EUr8iTAm1hhKgiUDH2SGnlQB1fFEl0o97UUUI4yQuTEFHw?e=j2bZzt" TargetMode="External"/><Relationship Id="rId47" Type="http://schemas.openxmlformats.org/officeDocument/2006/relationships/hyperlink" Target="../../../../../:i:/s/AdvancedSurfacePlatingApS/ES5Y-joSVGFMrst7mA2xii4BIh1mVZ8K3IBkLS13gEPErA?e=oLet9T" TargetMode="External"/><Relationship Id="rId63" Type="http://schemas.openxmlformats.org/officeDocument/2006/relationships/hyperlink" Target="../../../../../:i:/s/AdvancedSurfacePlatingApS/EXFKWZlj_s9JjDnyc1u_A98BPnx6GNIpj59UJAWKrLwmUw?e=kJpXBS" TargetMode="External"/><Relationship Id="rId68" Type="http://schemas.openxmlformats.org/officeDocument/2006/relationships/hyperlink" Target="../../../../../:i:/s/AdvancedSurfacePlatingApS/EQqfxRQUiONIuNwey2cVExYBLYxl-XXueMTG-sBYJPYCKA?e=MYYsRy" TargetMode="External"/><Relationship Id="rId84" Type="http://schemas.openxmlformats.org/officeDocument/2006/relationships/hyperlink" Target="../../../../../:i:/s/AdvancedSurfacePlatingApS/Efgi6EKlbpxLo9F8ANActtIBukX3Da0Q-1su5pcUcJHJ4w?e=VFMLp7" TargetMode="External"/><Relationship Id="rId89" Type="http://schemas.openxmlformats.org/officeDocument/2006/relationships/hyperlink" Target="../../../../../:i:/s/AdvancedSurfacePlatingApS/Ea11eq5mhhVNhkAX7Atp5OEByUw7FHEKnYHrdUsxiC2rEw?e=aF3Zyn" TargetMode="External"/><Relationship Id="rId16" Type="http://schemas.openxmlformats.org/officeDocument/2006/relationships/hyperlink" Target="../../../../../:i:/s/AdvancedSurfacePlatingApS/Ebtz-gACcNFFsQLNDlW7uokBSwbVS3Sg98Edo1OLdHv9-g?e=yqTl27" TargetMode="External"/><Relationship Id="rId11" Type="http://schemas.openxmlformats.org/officeDocument/2006/relationships/hyperlink" Target="../../../../../:i:/s/AdvancedSurfacePlatingApS/EaJt7MvUEvxEgOWrpynh7K0BSsU-7JnZj3ZXeNpUVU209A?e=nKE5Hl" TargetMode="External"/><Relationship Id="rId32" Type="http://schemas.openxmlformats.org/officeDocument/2006/relationships/hyperlink" Target="../../../../../:i:/s/AdvancedSurfacePlatingApS/EefwANEBnytPq4aJjNnWmxIB4STmKzjTd6q26s4ZSyRQwg?e=at2eSx" TargetMode="External"/><Relationship Id="rId37" Type="http://schemas.openxmlformats.org/officeDocument/2006/relationships/hyperlink" Target="../../../../../:i:/s/AdvancedSurfacePlatingApS/EdnXzz6lvuRPmHq0dbuDvrgBtnGoZLKzYpSotq_Rn8C_zA?e=h8TfIR" TargetMode="External"/><Relationship Id="rId53" Type="http://schemas.openxmlformats.org/officeDocument/2006/relationships/hyperlink" Target="../../../../../:i:/s/AdvancedSurfacePlatingApS/EfvP55MPq5NLlMVuQom9V2IBy_pl2eQ0nC9NlyWG2KTZtw?e=rIXWsS" TargetMode="External"/><Relationship Id="rId58" Type="http://schemas.openxmlformats.org/officeDocument/2006/relationships/hyperlink" Target="../../../../../:i:/s/AdvancedSurfacePlatingApS/EV11VjiPUnRNlAZrTsP524sBQP717KboK23MnT35jwRtyg?e=rLKeRX" TargetMode="External"/><Relationship Id="rId74" Type="http://schemas.openxmlformats.org/officeDocument/2006/relationships/hyperlink" Target="../../../../../:i:/s/AdvancedSurfacePlatingApS/EcTr_3goF41IiRwtdjExQX4BiStO870njY6vqpQU53ZoMQ?e=oLjeBx" TargetMode="External"/><Relationship Id="rId79" Type="http://schemas.openxmlformats.org/officeDocument/2006/relationships/hyperlink" Target="../../../../../:i:/s/AdvancedSurfacePlatingApS/EXSZTHCIS45AvUJTpA9Xfy8BG3wipKaSQXUSth5DUJamNw?e=U7mvBu" TargetMode="External"/><Relationship Id="rId102" Type="http://schemas.openxmlformats.org/officeDocument/2006/relationships/hyperlink" Target="../../../../../:i:/s/AdvancedSurfacePlatingApS/EYCxNUj4m8xPhB9BgU-ubGYB5jbCuhEDa-Y233CfLTE8qQ?e=QUmg0L" TargetMode="External"/><Relationship Id="rId5" Type="http://schemas.openxmlformats.org/officeDocument/2006/relationships/hyperlink" Target="../../../../../:i:/s/AdvancedSurfacePlatingApS/EYmf-Dahc4BLqroG08nIioEBZUb2Q1sOpn75-HgAOiaZng?e=zdTggc" TargetMode="External"/><Relationship Id="rId90" Type="http://schemas.openxmlformats.org/officeDocument/2006/relationships/hyperlink" Target="../../../../../:i:/s/AdvancedSurfacePlatingApS/EepTfNtFs3BPotklctKOtoABCks7p78sb3XXPNtm5ot-IA?e=fzMr1d" TargetMode="External"/><Relationship Id="rId95" Type="http://schemas.openxmlformats.org/officeDocument/2006/relationships/hyperlink" Target="../../../../../:i:/s/AdvancedSurfacePlatingApS/Ecw3tk4b4lRNua_E0dxLKIQBdB_IFcyOOjTcdPllu9jUNQ?e=pPLIle" TargetMode="External"/><Relationship Id="rId22" Type="http://schemas.openxmlformats.org/officeDocument/2006/relationships/hyperlink" Target="../../../../../:i:/s/AdvancedSurfacePlatingApS/EdSmGbXOKzNLtGHOQNFo2AsBZ2VSS0t6NX2lEYcXuKxerQ?e=3UCWZK" TargetMode="External"/><Relationship Id="rId27" Type="http://schemas.openxmlformats.org/officeDocument/2006/relationships/hyperlink" Target="../../../../../:i:/s/AdvancedSurfacePlatingApS/ETWvlwwYDARFpiUHB0SlSS4BRjeUSsLIPzV-sqWicAWZQQ?e=TuRGni" TargetMode="External"/><Relationship Id="rId43" Type="http://schemas.openxmlformats.org/officeDocument/2006/relationships/hyperlink" Target="../../../../../:i:/s/AdvancedSurfacePlatingApS/ER7_O1RjlUNGmU86ejkJNxIBJAb8MMzyUMLYo0gKzxkq_g?e=zIt8jM" TargetMode="External"/><Relationship Id="rId48" Type="http://schemas.openxmlformats.org/officeDocument/2006/relationships/hyperlink" Target="../../../../../:i:/s/AdvancedSurfacePlatingApS/EasqvSsstlhNvV19QL-zUGwBjJhQ4rfsiAPINlNjNaXzoQ?e=cbwo0e" TargetMode="External"/><Relationship Id="rId64" Type="http://schemas.openxmlformats.org/officeDocument/2006/relationships/hyperlink" Target="../../../../../:i:/s/AdvancedSurfacePlatingApS/EbXaW5h5ZZ1BpVwI50MMEO8BJDsvmp6ej10gEJb2eUU05g?e=F6LHDf" TargetMode="External"/><Relationship Id="rId69" Type="http://schemas.openxmlformats.org/officeDocument/2006/relationships/hyperlink" Target="../../../../../:i:/s/AdvancedSurfacePlatingApS/EU5VlafGo8hPh0XTMH2AyXcBtnzdvf9y7P73W30d4tU9FA?e=utT2ck" TargetMode="External"/><Relationship Id="rId80" Type="http://schemas.openxmlformats.org/officeDocument/2006/relationships/hyperlink" Target="../../../../../:i:/s/AdvancedSurfacePlatingApS/EWtiwKD_rShCvqsnvlPYl3wB4OJPxW3vCSkDAlnMRZ5TuA?e=IeGoQf" TargetMode="External"/><Relationship Id="rId85" Type="http://schemas.openxmlformats.org/officeDocument/2006/relationships/hyperlink" Target="../../../../../:i:/s/AdvancedSurfacePlatingApS/EWXbwKbJsO5JsgialdZFVRQBW0RykrWKDGldC54ABpx_BA?e=T670ex" TargetMode="External"/><Relationship Id="rId12" Type="http://schemas.openxmlformats.org/officeDocument/2006/relationships/hyperlink" Target="../../../../../:i:/s/AdvancedSurfacePlatingApS/EReXwviGhatCuzs1zWIlBBUBbkEOBVpLMV1xH5x2w5ptWQ?e=xIMI9j" TargetMode="External"/><Relationship Id="rId17" Type="http://schemas.openxmlformats.org/officeDocument/2006/relationships/hyperlink" Target="../../../../../:i:/s/AdvancedSurfacePlatingApS/ESXiIhC_ittCg1eVRfp_-7cBPgc_luN4iUF_2YBHCXJsEQ?e=C6eqcW" TargetMode="External"/><Relationship Id="rId33" Type="http://schemas.openxmlformats.org/officeDocument/2006/relationships/hyperlink" Target="../../../../../:i:/s/AdvancedSurfacePlatingApS/EXIW0LE4bFVOlJ6LUJsM7pUBWPCepHl8FRtiQGg6Kvq_bQ?e=bt7RXL" TargetMode="External"/><Relationship Id="rId38" Type="http://schemas.openxmlformats.org/officeDocument/2006/relationships/hyperlink" Target="../../../../../:i:/s/AdvancedSurfacePlatingApS/EQu9whhP-x1NjipwyJVNexoBj-UhXpoavgl-VEZ3bnzgXA?e=B85LvC" TargetMode="External"/><Relationship Id="rId59" Type="http://schemas.openxmlformats.org/officeDocument/2006/relationships/hyperlink" Target="../../../../../:i:/s/AdvancedSurfacePlatingApS/EZGuA7vIxf1CvLM6JVvkuZ4BN6tu_WutBVR6SeKwUKL02A?e=Wy70C8" TargetMode="External"/><Relationship Id="rId103" Type="http://schemas.openxmlformats.org/officeDocument/2006/relationships/hyperlink" Target="../../../../../:i:/s/AdvancedSurfacePlatingApS/EUsbdb6OMKNJoJ8UIrwnyEIBDD3zgO1c7RuEHAx1yhLgtg?e=javZ2P" TargetMode="External"/><Relationship Id="rId20" Type="http://schemas.openxmlformats.org/officeDocument/2006/relationships/hyperlink" Target="../../../../../:i:/s/AdvancedSurfacePlatingApS/Edo3-ghH1mRFlu5wmNYcexwBtnZe1DskeuUnlOFCgZrwrA?e=OaGo1Y" TargetMode="External"/><Relationship Id="rId41" Type="http://schemas.openxmlformats.org/officeDocument/2006/relationships/hyperlink" Target="../../../../../:i:/s/AdvancedSurfacePlatingApS/ETR6X3qD0sRJmWDsUAtizaEBX9_jRt9t1nbKNXdAXTMspQ?e=TxLDgk" TargetMode="External"/><Relationship Id="rId54" Type="http://schemas.openxmlformats.org/officeDocument/2006/relationships/hyperlink" Target="../../../../../:i:/s/AdvancedSurfacePlatingApS/EQnR-xRbJsxBi7ASy3HW3I4BBqrXlYTfJpbLSNzLUoKSmg?e=QRHtUl" TargetMode="External"/><Relationship Id="rId62" Type="http://schemas.openxmlformats.org/officeDocument/2006/relationships/hyperlink" Target="../../../../../:i:/s/AdvancedSurfacePlatingApS/Ed36jXrT4DdLqe5QE54CYrMB5jrev8N8ARosMQQbboiCSw?e=5FmL9I" TargetMode="External"/><Relationship Id="rId70" Type="http://schemas.openxmlformats.org/officeDocument/2006/relationships/hyperlink" Target="../../../../../:i:/s/AdvancedSurfacePlatingApS/EbYnz8dzrlhHpP8lV0D4cwkBXWD91NwGBPr5HCC-7eCHpw?e=EDafcj" TargetMode="External"/><Relationship Id="rId75" Type="http://schemas.openxmlformats.org/officeDocument/2006/relationships/hyperlink" Target="../../../../../:i:/s/AdvancedSurfacePlatingApS/EaHuvdMNhv9NkHoePr0henoB2FaZ3gT3VB4HcFeGocz4Zg?e=n3lsn5" TargetMode="External"/><Relationship Id="rId83" Type="http://schemas.openxmlformats.org/officeDocument/2006/relationships/hyperlink" Target="../../../../../:i:/s/AdvancedSurfacePlatingApS/ESU8v-VPM6JCmJ2HaN9iFhsBpWzkNrnqlCfOR3HTQheUAw?e=Q1x4fg" TargetMode="External"/><Relationship Id="rId88" Type="http://schemas.openxmlformats.org/officeDocument/2006/relationships/hyperlink" Target="../../../../../:i:/s/AdvancedSurfacePlatingApS/EYsAwwcQtH1FkKTatF9ugocBWkwsZRIsLrm3bPFbvTMuwg?e=nvS52q" TargetMode="External"/><Relationship Id="rId91" Type="http://schemas.openxmlformats.org/officeDocument/2006/relationships/hyperlink" Target="../../../../../:i:/s/AdvancedSurfacePlatingApS/EYMzggxVcgBBn5JF6aEhU7IBYblY2RdCGpt60cAMahHTWw?e=zRpkzY" TargetMode="External"/><Relationship Id="rId96" Type="http://schemas.openxmlformats.org/officeDocument/2006/relationships/hyperlink" Target="../../../../../:i:/s/AdvancedSurfacePlatingApS/EcMMnQAZs79OkfH--OqGR1UBJmh8qBXKNcaRTaJH74LOTw?e=btR30R" TargetMode="External"/><Relationship Id="rId1" Type="http://schemas.openxmlformats.org/officeDocument/2006/relationships/hyperlink" Target="../../../../../:i:/s/AdvancedSurfacePlatingApS/ESVa8UvANuBJjFN8-CLTSNEBcRk7ZGzp1Z_NRSQk5gbZbw?e=Hbnq7n" TargetMode="External"/><Relationship Id="rId6" Type="http://schemas.openxmlformats.org/officeDocument/2006/relationships/hyperlink" Target="../../../../../:i:/s/AdvancedSurfacePlatingApS/EV-MLMkt1S9AlxnWXu4tPOwBuJ-f2m1Nos-sciaJW0Xe6A?e=dROR2R" TargetMode="External"/><Relationship Id="rId15" Type="http://schemas.openxmlformats.org/officeDocument/2006/relationships/hyperlink" Target="../../../../../:i:/s/AdvancedSurfacePlatingApS/EdOQQNVBf1hGp3SWK8h_xRcB6rpxNjL4vH2_G9RshriEZw?e=dy5JwR" TargetMode="External"/><Relationship Id="rId23" Type="http://schemas.openxmlformats.org/officeDocument/2006/relationships/hyperlink" Target="../../../../../:i:/s/AdvancedSurfacePlatingApS/ESX0BLNJ94RFsKJHVidpo60BL9yOv_Hxj2iYXjChbE2yiQ?e=x3UqaZ" TargetMode="External"/><Relationship Id="rId28" Type="http://schemas.openxmlformats.org/officeDocument/2006/relationships/hyperlink" Target="../../../../../:i:/s/AdvancedSurfacePlatingApS/EWHj7dTTa2pAjoDD85T-ZGAB7P9FdEaWMYMxngjaI0W1pw?e=61blVe" TargetMode="External"/><Relationship Id="rId36" Type="http://schemas.openxmlformats.org/officeDocument/2006/relationships/hyperlink" Target="../../../../../:i:/s/AdvancedSurfacePlatingApS/EdX6sId5kHFKsiCxKNKdCQEBO1HacDxaxNjMSeBrzG9HXg?e=Ynr1Jv" TargetMode="External"/><Relationship Id="rId49" Type="http://schemas.openxmlformats.org/officeDocument/2006/relationships/hyperlink" Target="../../../../../:i:/s/AdvancedSurfacePlatingApS/Ebju051R0vpDt0gxG0ZH-tcBYDj4oqiA-36gIyslD5gBQQ?e=LWn6fn" TargetMode="External"/><Relationship Id="rId57" Type="http://schemas.openxmlformats.org/officeDocument/2006/relationships/hyperlink" Target="../../../../../:i:/s/AdvancedSurfacePlatingApS/EdM1mHT-785KtHlcJPIqzkYB76x_YUSEkGMS6ZmSml94DA?e=uPBWwa" TargetMode="External"/><Relationship Id="rId10" Type="http://schemas.openxmlformats.org/officeDocument/2006/relationships/hyperlink" Target="../../../../../:i:/s/AdvancedSurfacePlatingApS/Ebtp-La-AyVJuuB8XADnD9gBdarimusq-cNrRNAMu-ax_w?e=vA6gvz" TargetMode="External"/><Relationship Id="rId31" Type="http://schemas.openxmlformats.org/officeDocument/2006/relationships/hyperlink" Target="../../../../../:i:/s/AdvancedSurfacePlatingApS/ERJKwCg7TapFql4IWHhE5oAB04ZoCiXGTd1QYfUyT1J3RA?e=efhnp0" TargetMode="External"/><Relationship Id="rId44" Type="http://schemas.openxmlformats.org/officeDocument/2006/relationships/hyperlink" Target="../../../../../:i:/s/AdvancedSurfacePlatingApS/Ea5T67mIy19AvXAITz7APjAB7ZqMbu_4y1uglChVo_9WpA?e=eHRD5d" TargetMode="External"/><Relationship Id="rId52" Type="http://schemas.openxmlformats.org/officeDocument/2006/relationships/hyperlink" Target="../../../../../:i:/s/AdvancedSurfacePlatingApS/EQDuIlfkSJdEhtH6LAcnRNcBxqqY7RqoyPg6NR1IA4rTOQ?e=QOPBBL" TargetMode="External"/><Relationship Id="rId60" Type="http://schemas.openxmlformats.org/officeDocument/2006/relationships/hyperlink" Target="../../../../../:i:/s/AdvancedSurfacePlatingApS/EaWdG12nLgVLvFhTb3Ow_98Bvit9_eARq8TedLySS1RfLQ?e=Q1aAPu" TargetMode="External"/><Relationship Id="rId65" Type="http://schemas.openxmlformats.org/officeDocument/2006/relationships/hyperlink" Target="../../../../../:i:/s/AdvancedSurfacePlatingApS/EWbSqQPK4p5FrdoL5RnT9e0BkPqUfy9PeEHbYVBdfuICuA?e=SjEvix" TargetMode="External"/><Relationship Id="rId73" Type="http://schemas.openxmlformats.org/officeDocument/2006/relationships/hyperlink" Target="../../../../../:i:/s/AdvancedSurfacePlatingApS/Ef6gnn5896VCqSv63Gyv1iwB9U7SsvItx4ZMJKOtuQZyzQ?e=ahGyrp" TargetMode="External"/><Relationship Id="rId78" Type="http://schemas.openxmlformats.org/officeDocument/2006/relationships/hyperlink" Target="../../../../../:i:/s/AdvancedSurfacePlatingApS/EeGlU1mUXl9DvrXrQzGty0oBFUcdWyLxYELdVXkVUqhAOw?e=ZdkzIV" TargetMode="External"/><Relationship Id="rId81" Type="http://schemas.openxmlformats.org/officeDocument/2006/relationships/hyperlink" Target="../../../../../:i:/s/AdvancedSurfacePlatingApS/ESm7LxLjXlBEpkgc7hVgEO8BnsUgOemfn53x3CBRpUA8tw?e=pzQdis" TargetMode="External"/><Relationship Id="rId86" Type="http://schemas.openxmlformats.org/officeDocument/2006/relationships/hyperlink" Target="../../../../../:i:/s/AdvancedSurfacePlatingApS/EYhoCTB5xptPtmx86TvPM2QBDC5g3vuZeYB4Pf55cNPJnQ?e=upZwKf" TargetMode="External"/><Relationship Id="rId94" Type="http://schemas.openxmlformats.org/officeDocument/2006/relationships/hyperlink" Target="../../../../../:i:/s/AdvancedSurfacePlatingApS/EYb1YWf3ACBDn-1BYXfCVoEBZSRjLWbVAYaYAIxGdKKueQ?e=a1kZz6" TargetMode="External"/><Relationship Id="rId99" Type="http://schemas.openxmlformats.org/officeDocument/2006/relationships/hyperlink" Target="../../../../../:i:/s/AdvancedSurfacePlatingApS/EQyA5efQSk5LnR7yQeMTxYcBlC16R1G36RQvTRCf9pJymg?e=rX0uRS" TargetMode="External"/><Relationship Id="rId101" Type="http://schemas.openxmlformats.org/officeDocument/2006/relationships/hyperlink" Target="../../../../../:i:/s/AdvancedSurfacePlatingApS/EWMZC8VbFHFKjFqWMhs8i3QBfQbjePS9LagCx8S-Njb6Aw?e=Vne46g" TargetMode="External"/><Relationship Id="rId4" Type="http://schemas.openxmlformats.org/officeDocument/2006/relationships/hyperlink" Target="../../../../../:i:/s/AdvancedSurfacePlatingApS/Ee0zvb-QHOZBqk3YHru1VA0BYaxioDLlP5EJSqGsB0SGpg?e=SdGyxi" TargetMode="External"/><Relationship Id="rId9" Type="http://schemas.openxmlformats.org/officeDocument/2006/relationships/hyperlink" Target="../../../../../:i:/s/AdvancedSurfacePlatingApS/Ebn-phMhbuxOgaI5TUPUakcBPFk6Hg-76q7E-WjSXXaDjw?e=ZkjI7b" TargetMode="External"/><Relationship Id="rId13" Type="http://schemas.openxmlformats.org/officeDocument/2006/relationships/hyperlink" Target="../../../../../:i:/s/AdvancedSurfacePlatingApS/EdgCGBaZKnJPkvNWj9xdhf8BS9ewG4IzDdeOB3iyZ3oROw?e=U9F76v" TargetMode="External"/><Relationship Id="rId18" Type="http://schemas.openxmlformats.org/officeDocument/2006/relationships/hyperlink" Target="../../../../../:i:/s/AdvancedSurfacePlatingApS/EfLFMYqBmdpDgZe6W7Q4zGwBYAYI12I9c0EWk9AVLtpd8g?e=bDBTJ2" TargetMode="External"/><Relationship Id="rId39" Type="http://schemas.openxmlformats.org/officeDocument/2006/relationships/hyperlink" Target="../../../../../:i:/s/AdvancedSurfacePlatingApS/EdHqvOxfHAVJo4G85QfTe2kBL7rSpRLGoQLOGKp2_Ef-9A?e=U8cuA7" TargetMode="External"/><Relationship Id="rId34" Type="http://schemas.openxmlformats.org/officeDocument/2006/relationships/hyperlink" Target="../../../../../:i:/s/AdvancedSurfacePlatingApS/EcHrUPgkfzRKuYeHiS2yc9gBWhrVACwmRVRzaaa-DZK_0g?e=dq4qFB" TargetMode="External"/><Relationship Id="rId50" Type="http://schemas.openxmlformats.org/officeDocument/2006/relationships/hyperlink" Target="../../../../../:i:/s/AdvancedSurfacePlatingApS/EbQj-UMks3lNpBShJCVXBUEBGVpt-MfaKmwaazD-PhEgOA?e=JPAKA1" TargetMode="External"/><Relationship Id="rId55" Type="http://schemas.openxmlformats.org/officeDocument/2006/relationships/hyperlink" Target="../../../../../:i:/s/AdvancedSurfacePlatingApS/EaMWEod5YndOuWVQy6AaRUwBcgKcAFrtulwvF7wV5VRs-Q?e=VfYcwd" TargetMode="External"/><Relationship Id="rId76" Type="http://schemas.openxmlformats.org/officeDocument/2006/relationships/hyperlink" Target="../../../../../:i:/s/AdvancedSurfacePlatingApS/Edx8NkoSIphNk1FaA2GcRt4Bu2AA3ut4lu65f16Rio0Llg?e=pQMth8" TargetMode="External"/><Relationship Id="rId97" Type="http://schemas.openxmlformats.org/officeDocument/2006/relationships/hyperlink" Target="../../../../../:i:/s/AdvancedSurfacePlatingApS/EYO_ZxG4WeBLpmmn1m8egp0BNlcNvAxRGx93d4vTF5_9Sg?e=3KFUPU" TargetMode="External"/><Relationship Id="rId104" Type="http://schemas.openxmlformats.org/officeDocument/2006/relationships/hyperlink" Target="../../../../../:i:/s/AdvancedSurfacePlatingApS/EZstoOAdhj1BjtvGmMZu9SMB-4jQBNE7714tGN53MkOgJg?e=EAsDm0" TargetMode="External"/><Relationship Id="rId7" Type="http://schemas.openxmlformats.org/officeDocument/2006/relationships/hyperlink" Target="../../../../../:i:/s/AdvancedSurfacePlatingApS/EfdGHwtjqdFPoiOW1qfHwyIBrwS-aoUynJzrpB_B6Bj3KQ?e=cHYdof" TargetMode="External"/><Relationship Id="rId71" Type="http://schemas.openxmlformats.org/officeDocument/2006/relationships/hyperlink" Target="../../../../../:i:/s/AdvancedSurfacePlatingApS/ER3fdQH5a7BDoGPD7WGkHJUBZPCnljT1Dn7gWV90-ICgBw?e=auO4RT" TargetMode="External"/><Relationship Id="rId92" Type="http://schemas.openxmlformats.org/officeDocument/2006/relationships/hyperlink" Target="../../../../../:i:/s/AdvancedSurfacePlatingApS/ET1NnBT7hiNBqCshsVE3LbYBEmtua7CN02qVNBkkQD1fEg?e=eI5EcO" TargetMode="External"/><Relationship Id="rId2" Type="http://schemas.openxmlformats.org/officeDocument/2006/relationships/hyperlink" Target="../../../../../:i:/s/AdvancedSurfacePlatingApS/EVFuki8ki1tDicom6uGFaNoBJz2E-QLhdDiBD9eo_L4tEw?e=PGLu3m" TargetMode="External"/><Relationship Id="rId29" Type="http://schemas.openxmlformats.org/officeDocument/2006/relationships/hyperlink" Target="../../../../../:i:/s/AdvancedSurfacePlatingApS/ETybJwB0uW9FoF1q_0Osg2oBduGxAtLfw3WvQthbWBsObA?e=sGqAYs" TargetMode="External"/><Relationship Id="rId24" Type="http://schemas.openxmlformats.org/officeDocument/2006/relationships/hyperlink" Target="../../../../../:i:/s/AdvancedSurfacePlatingApS/ESINq5EIqI9Ppo7mddWpnxABj2XV7S0I8RbdirLZqKUxxw?e=dyFcSf" TargetMode="External"/><Relationship Id="rId40" Type="http://schemas.openxmlformats.org/officeDocument/2006/relationships/hyperlink" Target="../../../../../:i:/s/AdvancedSurfacePlatingApS/EVp8lN9OBopFrzg6co7wSNcBd-aWmYDLlhOhYWSYwht62g?e=hjSl5A" TargetMode="External"/><Relationship Id="rId45" Type="http://schemas.openxmlformats.org/officeDocument/2006/relationships/hyperlink" Target="../../../../../:i:/s/AdvancedSurfacePlatingApS/EWFEAew9R9BPvFphMiZTc8EBI2WkPv5Ki2pg49573FVUZg?e=DrLYKg" TargetMode="External"/><Relationship Id="rId66" Type="http://schemas.openxmlformats.org/officeDocument/2006/relationships/hyperlink" Target="../../../../../:i:/s/AdvancedSurfacePlatingApS/EYaremBSmw9Lidt5s9j8k0kBUPou-Nda-fsryQC1xIU7_Q?e=vZK0hj" TargetMode="External"/><Relationship Id="rId87" Type="http://schemas.openxmlformats.org/officeDocument/2006/relationships/hyperlink" Target="../../../../../:i:/s/AdvancedSurfacePlatingApS/Ee0I4kuLV9dGkvc0t_KwsDYBShiNCvDnU-PwVvdITauSIg?e=sqFtrv" TargetMode="External"/><Relationship Id="rId61" Type="http://schemas.openxmlformats.org/officeDocument/2006/relationships/hyperlink" Target="../../../../../:i:/s/AdvancedSurfacePlatingApS/EZqJ4WAgcP1GhkrP5aUr-vUB2DtFyiLu8HqmKVLVnBYFrw?e=igmVaT" TargetMode="External"/><Relationship Id="rId82" Type="http://schemas.openxmlformats.org/officeDocument/2006/relationships/hyperlink" Target="../../../../../:i:/s/AdvancedSurfacePlatingApS/EVuoeB5aGuxDkSuVOLyo74gB7HODThZTHcYlTqiiafM9rA?e=vD0ouy" TargetMode="External"/><Relationship Id="rId19" Type="http://schemas.openxmlformats.org/officeDocument/2006/relationships/hyperlink" Target="../../../../../:i:/s/AdvancedSurfacePlatingApS/Eb8ot9e51glNg_c_y0tr134BTHzrW60Nj5UbXqf4_SLQbw?e=qkWbNo" TargetMode="External"/><Relationship Id="rId14" Type="http://schemas.openxmlformats.org/officeDocument/2006/relationships/hyperlink" Target="../../../../../:i:/s/AdvancedSurfacePlatingApS/EXHlKHGSoi1IgB0emlp_sn4BlMKABRm5go4qr7hTD5PWUg?e=LwnDMg" TargetMode="External"/><Relationship Id="rId30" Type="http://schemas.openxmlformats.org/officeDocument/2006/relationships/hyperlink" Target="../../../../../:i:/s/AdvancedSurfacePlatingApS/EdpfletEZPBLlh8zC_bW-90ByTyxEYil54ewQ73wADZ-Nw?e=drPMDp" TargetMode="External"/><Relationship Id="rId35" Type="http://schemas.openxmlformats.org/officeDocument/2006/relationships/hyperlink" Target="../../../../../:i:/s/AdvancedSurfacePlatingApS/EUAUYDjutThPpync4z-lmPcBjUeE_TY-oo6dEqNL1cVTgw?e=jagffW" TargetMode="External"/><Relationship Id="rId56" Type="http://schemas.openxmlformats.org/officeDocument/2006/relationships/hyperlink" Target="../../../../../:i:/s/AdvancedSurfacePlatingApS/EetLyrdrnd5AkLqgdNdWhaQBvZ9VMCAnm1AhNGAg4zjRTA?e=6X7b4n" TargetMode="External"/><Relationship Id="rId77" Type="http://schemas.openxmlformats.org/officeDocument/2006/relationships/hyperlink" Target="../../../../../:i:/s/AdvancedSurfacePlatingApS/Ed_-kpwTMFxJnsnHtqCo3L4B21TVdq8wdd-LLu4wEKaImg?e=oF4aET" TargetMode="External"/><Relationship Id="rId100" Type="http://schemas.openxmlformats.org/officeDocument/2006/relationships/hyperlink" Target="../../../../../:i:/s/AdvancedSurfacePlatingApS/EaxKnC-tXa1DgDPElPolwfwBtGbd973wIefZttjaWUq1ZA?e=OmfieH" TargetMode="External"/><Relationship Id="rId105" Type="http://schemas.openxmlformats.org/officeDocument/2006/relationships/hyperlink" Target="../../../../../:i:/s/AdvancedSurfacePlatingApS/EU9uvKhmJYRIvVdSyjGuIQsBNVItHr9UhXS-QAGyvBxn4w?e=O7dFHH" TargetMode="External"/><Relationship Id="rId8" Type="http://schemas.openxmlformats.org/officeDocument/2006/relationships/hyperlink" Target="../../../../../:i:/s/AdvancedSurfacePlatingApS/EVJOa9cbH3lPmgXAJN_12rwBxblhmmseWHC5f5MnDKQTeA?e=OTHle6" TargetMode="External"/><Relationship Id="rId51" Type="http://schemas.openxmlformats.org/officeDocument/2006/relationships/hyperlink" Target="../../../../../:i:/s/AdvancedSurfacePlatingApS/ETEsfbYROgFClQs5J0o-mikBSTBG9DsifzeMmOMmGKa2tA?e=iXukjm" TargetMode="External"/><Relationship Id="rId72" Type="http://schemas.openxmlformats.org/officeDocument/2006/relationships/hyperlink" Target="../../../../../:i:/s/AdvancedSurfacePlatingApS/EVyxlp6OzFNCtD0XtMnKVxcBz_O4bxITPl6anedE7Hhnew?e=gmtRjd" TargetMode="External"/><Relationship Id="rId93" Type="http://schemas.openxmlformats.org/officeDocument/2006/relationships/hyperlink" Target="../../../../../:i:/s/AdvancedSurfacePlatingApS/EUbRc01mFA9ItEshHC8_2oABga6mK_8yEinevzzeAquibw?e=vZQXfl" TargetMode="External"/><Relationship Id="rId98" Type="http://schemas.openxmlformats.org/officeDocument/2006/relationships/hyperlink" Target="../../../../../:i:/s/AdvancedSurfacePlatingApS/EeSGQBv9hd1Gg9nmi8Lr2-IBIqe3qqph8iNoGm-gQv61WQ?e=O4lr8n" TargetMode="External"/><Relationship Id="rId3" Type="http://schemas.openxmlformats.org/officeDocument/2006/relationships/hyperlink" Target="../../../../../:i:/s/AdvancedSurfacePlatingApS/EeHFGge5ZvlFpkbfD_L8pIYBEoGMo-AbfcLE9G2Q7dV09A?e=CEM1rf" TargetMode="External"/><Relationship Id="rId25" Type="http://schemas.openxmlformats.org/officeDocument/2006/relationships/hyperlink" Target="../../../../../:i:/s/AdvancedSurfacePlatingApS/EVTfb5oPFjpJkUn8-ymHHtwBg0bXWZtCYpUamUISyJiK5w?e=py6g2m" TargetMode="External"/><Relationship Id="rId46" Type="http://schemas.openxmlformats.org/officeDocument/2006/relationships/hyperlink" Target="../../../../../:i:/s/AdvancedSurfacePlatingApS/EThHqgmaOV9Ove-AkrhBu-8BSN65qeoFuzQ2U0tiDIEWUw?e=g1j8Oy" TargetMode="External"/><Relationship Id="rId67" Type="http://schemas.openxmlformats.org/officeDocument/2006/relationships/hyperlink" Target="../../../../../:i:/s/AdvancedSurfacePlatingApS/EQuZrxl4oV9DmonPz8zK2doBrIHubk3FDsgeSJ4QvoPveQ?e=kuUpmo"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i:/s/AdvancedSurfacePlatingApS/EZgXqTPAnxVFpCCstcGBxXcB9-nIz2Kr0oJ-6I_3x_nUlg?e=cw71xo" TargetMode="External"/><Relationship Id="rId18" Type="http://schemas.openxmlformats.org/officeDocument/2006/relationships/hyperlink" Target="../../../../../:i:/s/AdvancedSurfacePlatingApS/EeEhKbPTVCdDscPnhjFa7pQBrhm2vF4p4rvbQOrdO5IU9A?e=EXAJDK" TargetMode="External"/><Relationship Id="rId26" Type="http://schemas.openxmlformats.org/officeDocument/2006/relationships/hyperlink" Target="../../../../../:i:/s/AdvancedSurfacePlatingApS/ERSi1KqV0WdNtuLWsltNV_UB6rB7m6hPBNfmuX1pMiuO7Q?e=HSC6jX" TargetMode="External"/><Relationship Id="rId39" Type="http://schemas.openxmlformats.org/officeDocument/2006/relationships/hyperlink" Target="../../../../../:i:/s/AdvancedSurfacePlatingApS/EXowvMOKx4RFgVNdvDokCxYBFvwKdGcCPRGUq_OaPnpwSg?e=px6iPy" TargetMode="External"/><Relationship Id="rId21" Type="http://schemas.openxmlformats.org/officeDocument/2006/relationships/hyperlink" Target="../../../../../:i:/s/AdvancedSurfacePlatingApS/EQ-8aMyVNXBArj32nLnqRsEBJyA3iefjbKIUyR8JVT4Isw?e=pcVs26" TargetMode="External"/><Relationship Id="rId34" Type="http://schemas.openxmlformats.org/officeDocument/2006/relationships/hyperlink" Target="../../../../../:i:/s/AdvancedSurfacePlatingApS/ETGAKxYahtFLtZPw9lNU34MBBtl2JOW1hKAVmaLRdo1ATQ?e=fx7QJ7" TargetMode="External"/><Relationship Id="rId7" Type="http://schemas.openxmlformats.org/officeDocument/2006/relationships/hyperlink" Target="../../../../../:i:/s/AdvancedSurfacePlatingApS/Edi4gtrbADVKiD_uQc2Vu9QBgR4wFTmMcjQZF-aJyUnKUA?e=spsfyO" TargetMode="External"/><Relationship Id="rId12" Type="http://schemas.openxmlformats.org/officeDocument/2006/relationships/hyperlink" Target="../../../../../:i:/s/AdvancedSurfacePlatingApS/ES1PMPILymJOlSJILoWbMh0BCLurmWeBcHTgAChHn9OMnw?e=4vjH2H" TargetMode="External"/><Relationship Id="rId17" Type="http://schemas.openxmlformats.org/officeDocument/2006/relationships/hyperlink" Target="../../../../../:i:/s/AdvancedSurfacePlatingApS/EcSTxS7NX4hEupFtQZteZV0BpUY8WnFgWwbX7ehMRFos5w?e=Ofb2we" TargetMode="External"/><Relationship Id="rId25" Type="http://schemas.openxmlformats.org/officeDocument/2006/relationships/hyperlink" Target="../../../../../:i:/s/AdvancedSurfacePlatingApS/EW-5_k87pPhJi4pi_S30In0BkoZuVIK9CHiHgy48yZVLzA?e=6g7aYa" TargetMode="External"/><Relationship Id="rId33" Type="http://schemas.openxmlformats.org/officeDocument/2006/relationships/hyperlink" Target="../../../../../:i:/s/AdvancedSurfacePlatingApS/ETcY4oVp1T9Irewyfnww-iEB5Bnt4zBQWLaTpn8_YLd6zg?e=GeWDLh" TargetMode="External"/><Relationship Id="rId38" Type="http://schemas.openxmlformats.org/officeDocument/2006/relationships/hyperlink" Target="../../../../../:i:/s/AdvancedSurfacePlatingApS/EeWkhidBaNZEmmkr0L1CrDMBxOV25ahbJ_bmnqaLJsqLNQ?e=ZFjZ3T" TargetMode="External"/><Relationship Id="rId2" Type="http://schemas.openxmlformats.org/officeDocument/2006/relationships/hyperlink" Target="../../../../../:i:/s/AdvancedSurfacePlatingApS/ES-vZUD_F-tMmKOsYFM5tG4BW1Wm80XDWZdeDyu4C2g5yQ?e=f4oWPy" TargetMode="External"/><Relationship Id="rId16" Type="http://schemas.openxmlformats.org/officeDocument/2006/relationships/hyperlink" Target="../../../../../:i:/s/AdvancedSurfacePlatingApS/ETW0g0l2C5JNlmX9-zb_07QB5AzgiyoN3fh0hHHy-eaYrg?e=tsmTt1" TargetMode="External"/><Relationship Id="rId20" Type="http://schemas.openxmlformats.org/officeDocument/2006/relationships/hyperlink" Target="../../../../../:i:/s/AdvancedSurfacePlatingApS/ETHbU1V_MhBLmiJGT5Uj_pkBJ1FIA5-j-Uor2SuqJs4V0A?e=EAeEdB" TargetMode="External"/><Relationship Id="rId29" Type="http://schemas.openxmlformats.org/officeDocument/2006/relationships/hyperlink" Target="../../../../../:i:/s/AdvancedSurfacePlatingApS/Ea1zNbRinglNgk0a4wHIi_UBH3jDsblGRrTalsIEDCA7_A?e=vWuqOp" TargetMode="External"/><Relationship Id="rId1" Type="http://schemas.openxmlformats.org/officeDocument/2006/relationships/hyperlink" Target="../../../../../:i:/s/AdvancedSurfacePlatingApS/EXXldyTbzRxBgFzhnW0MDygBGwah3edXpY5tuSAhWeEiaQ?e=0MCvaJ" TargetMode="External"/><Relationship Id="rId6" Type="http://schemas.openxmlformats.org/officeDocument/2006/relationships/hyperlink" Target="../../../../../:i:/s/AdvancedSurfacePlatingApS/EWLCz6U1UJxKlmW7sJf0cEkBXIGVVprL3EFUUqvJYtCUvA?e=2YjUSq" TargetMode="External"/><Relationship Id="rId11" Type="http://schemas.openxmlformats.org/officeDocument/2006/relationships/hyperlink" Target="../../../../../:i:/s/AdvancedSurfacePlatingApS/EXKZ9PTqmHtKmoeMk18UUCoBQG1N_9syN2b-l3JKCTD5DQ?e=aaAnV5" TargetMode="External"/><Relationship Id="rId24" Type="http://schemas.openxmlformats.org/officeDocument/2006/relationships/hyperlink" Target="../../../../../:i:/s/AdvancedSurfacePlatingApS/EVuAovCiTldJgMZpExs8xg8BJahB0acS6SS72QlYAGZfLA?e=g4uIrD" TargetMode="External"/><Relationship Id="rId32" Type="http://schemas.openxmlformats.org/officeDocument/2006/relationships/hyperlink" Target="../../../../../:i:/s/AdvancedSurfacePlatingApS/Ef2krSiMizFMrjDW5TE4gFwBajCR6IgCmNzvARcPN1-VbA?e=AllN7E" TargetMode="External"/><Relationship Id="rId37" Type="http://schemas.openxmlformats.org/officeDocument/2006/relationships/hyperlink" Target="../../../../../:i:/s/AdvancedSurfacePlatingApS/ERX17oQMwB5Colrpi0K8-r4B6kCAp9VUeuC-1hFt3Athnw?e=VZ6td7" TargetMode="External"/><Relationship Id="rId5" Type="http://schemas.openxmlformats.org/officeDocument/2006/relationships/hyperlink" Target="../../../../../:i:/s/AdvancedSurfacePlatingApS/EUV3TAS8hPNBka_ugRXk0coBY94CDmYv4GFxPBXNVLsoRA?e=eYkqWo" TargetMode="External"/><Relationship Id="rId15" Type="http://schemas.openxmlformats.org/officeDocument/2006/relationships/hyperlink" Target="../../../../../:i:/s/AdvancedSurfacePlatingApS/EeGn6eo8LrpIsXHiSZ8SawQBaDAZJ8uH2txYlwg6XSBBzA?e=mjWmmv" TargetMode="External"/><Relationship Id="rId23" Type="http://schemas.openxmlformats.org/officeDocument/2006/relationships/hyperlink" Target="../../../../../:i:/s/AdvancedSurfacePlatingApS/EX5Mpgex5phOgQS5svMmUP8BT3hJx9NJHb5s8VdRyb5X1Q?e=d4breD" TargetMode="External"/><Relationship Id="rId28" Type="http://schemas.openxmlformats.org/officeDocument/2006/relationships/hyperlink" Target="../../../../../:i:/s/AdvancedSurfacePlatingApS/EaQ_mOkNU9ZKoER1nQ-Vd-IBGjqXnKAhH5dFkzQpwwQygw?e=OAJ1Bf" TargetMode="External"/><Relationship Id="rId36" Type="http://schemas.openxmlformats.org/officeDocument/2006/relationships/hyperlink" Target="../../../../../:i:/s/AdvancedSurfacePlatingApS/EWzEwQZch4VItMN2AcXQc3oBAgz2tS1biTh9MXCv4NQfQg?e=UM6vAE" TargetMode="External"/><Relationship Id="rId10" Type="http://schemas.openxmlformats.org/officeDocument/2006/relationships/hyperlink" Target="../../../../../:i:/s/AdvancedSurfacePlatingApS/EVZ02jZLGodHnYpAMdB5ldgBsWA_nfMCDXwPSNp3cutvtg?e=Kb8yzy" TargetMode="External"/><Relationship Id="rId19" Type="http://schemas.openxmlformats.org/officeDocument/2006/relationships/hyperlink" Target="../../../../../:i:/s/AdvancedSurfacePlatingApS/Ed4LYv4ttnJCos0VFZiq3OoBKw3tWQP31ru2Cq4x93Jotw?e=hBGMI7" TargetMode="External"/><Relationship Id="rId31" Type="http://schemas.openxmlformats.org/officeDocument/2006/relationships/hyperlink" Target="../../../../../:i:/s/AdvancedSurfacePlatingApS/EY0J_g_WAlpDmAAcjc5HqC8BiRs0ye6CEXutLcrUP8v-Ww?e=NbMudu" TargetMode="External"/><Relationship Id="rId4" Type="http://schemas.openxmlformats.org/officeDocument/2006/relationships/hyperlink" Target="../../../../../:i:/s/AdvancedSurfacePlatingApS/EebN3Y9W2n1Lu2YthNsVNckB-vM6NLshRUhKptfmsqXMCA?e=wO0yuz" TargetMode="External"/><Relationship Id="rId9" Type="http://schemas.openxmlformats.org/officeDocument/2006/relationships/hyperlink" Target="../../../../../:i:/s/AdvancedSurfacePlatingApS/EeHtFmmJtptAtfnisJo7-KkBa1ggjhymkvOBedzEZJ0hiQ?e=XwQVL6" TargetMode="External"/><Relationship Id="rId14" Type="http://schemas.openxmlformats.org/officeDocument/2006/relationships/hyperlink" Target="../../../../../:i:/s/AdvancedSurfacePlatingApS/EX6NS6ENlFBHthkFLFpzKYkBSSF7yVvqGPXK3evoJ2uDwQ?e=Acglbq" TargetMode="External"/><Relationship Id="rId22" Type="http://schemas.openxmlformats.org/officeDocument/2006/relationships/hyperlink" Target="../../../../../:i:/s/AdvancedSurfacePlatingApS/EXehaRBGfldGiVuS5uGqN7YB70JvAeVujTnptVNKNGGP4A?e=8pMlXU" TargetMode="External"/><Relationship Id="rId27" Type="http://schemas.openxmlformats.org/officeDocument/2006/relationships/hyperlink" Target="../../../../../:i:/s/AdvancedSurfacePlatingApS/EdoBk5zmYMZIuon6u44KwNAB5bSSfvi2LxqOVT5hL6eiCg?e=QKmCBv" TargetMode="External"/><Relationship Id="rId30" Type="http://schemas.openxmlformats.org/officeDocument/2006/relationships/hyperlink" Target="../../../../../:i:/s/AdvancedSurfacePlatingApS/EX6z4JukAPVIt0sKyCxdrCkB2wrr1AfituCC3d6q2QiMew?e=fZmlQo" TargetMode="External"/><Relationship Id="rId35" Type="http://schemas.openxmlformats.org/officeDocument/2006/relationships/hyperlink" Target="../../../../../:i:/s/AdvancedSurfacePlatingApS/EcdqZ8ydNGVJvML5UvrF_4kBeCzYuS2i45uZdOMRsGcOow?e=Fyc0If" TargetMode="External"/><Relationship Id="rId8" Type="http://schemas.openxmlformats.org/officeDocument/2006/relationships/hyperlink" Target="../../../../../:i:/s/AdvancedSurfacePlatingApS/EcalOXIO0UlMk_jQZ8FD20kBi8PEwPmezvHfDj3AZJrCOg?e=EHGafX" TargetMode="External"/><Relationship Id="rId3" Type="http://schemas.openxmlformats.org/officeDocument/2006/relationships/hyperlink" Target="../../../../../:i:/s/AdvancedSurfacePlatingApS/EVYZij6tUcZLljwUCAifxywB5KjLPIGQGuSuTmfxGz7now?e=NDanGy"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i:/s/AdvancedSurfacePlatingApS/ESCD2Kq5FlZJgQ3lP-EqNAQBIZ_iJLIOJjyM7BsQdvtPcQ?e=fvCDyY" TargetMode="External"/><Relationship Id="rId13" Type="http://schemas.openxmlformats.org/officeDocument/2006/relationships/hyperlink" Target="../../../../../:i:/s/AdvancedSurfacePlatingApS/EVhbMdyrsZhLs0TVwhyOJ_oBw4S4ClEkcxpZ5R7Ow0rEnw?e=94qnDm" TargetMode="External"/><Relationship Id="rId18" Type="http://schemas.openxmlformats.org/officeDocument/2006/relationships/hyperlink" Target="../../../../../:i:/s/AdvancedSurfacePlatingApS/EbZx1IputudIrOH0Ju2KJNAB9ZTNS8ju3Zk9XouqEP96AA?e=Y2jAJv" TargetMode="External"/><Relationship Id="rId3" Type="http://schemas.openxmlformats.org/officeDocument/2006/relationships/hyperlink" Target="../../../../../:i:/s/AdvancedSurfacePlatingApS/ET40fcDYLmdAk8WjxLPews0B6nXHh1zWnxQ26qEw21ZPVQ?e=G3HOda" TargetMode="External"/><Relationship Id="rId21" Type="http://schemas.openxmlformats.org/officeDocument/2006/relationships/hyperlink" Target="../../../../../:i:/s/AdvancedSurfacePlatingApS/ETtrMmRHCZFChIjxYH9scvkB2m8_99JCpcuCu-bUGB63sQ?e=lTU96E" TargetMode="External"/><Relationship Id="rId7" Type="http://schemas.openxmlformats.org/officeDocument/2006/relationships/hyperlink" Target="../../../../../:i:/s/AdvancedSurfacePlatingApS/EcH-vsQVS81JlALJdERM8X8BS4eTpOgXrZutS_dF1yr_dw?e=JBIVy9" TargetMode="External"/><Relationship Id="rId12" Type="http://schemas.openxmlformats.org/officeDocument/2006/relationships/hyperlink" Target="../../../../../:i:/s/AdvancedSurfacePlatingApS/EZ18m5A4Y0BMqmXJ_LoREJwB7PZ3Vel50Vj1TWPH_GRdZA?e=hLrdVr" TargetMode="External"/><Relationship Id="rId17" Type="http://schemas.openxmlformats.org/officeDocument/2006/relationships/hyperlink" Target="../../../../../:i:/s/AdvancedSurfacePlatingApS/ES8q8p-Bs5JGtfT3rD8mS0ABDnRNo6bQzhy5Dxxwjh5dvw?e=Pi9gNN" TargetMode="External"/><Relationship Id="rId2" Type="http://schemas.openxmlformats.org/officeDocument/2006/relationships/hyperlink" Target="../../../../../:i:/s/AdvancedSurfacePlatingApS/Ebbk--btJ9NNgS7YlajSzAsBTUCEDB9uDLW4wxkAnh1BYA?e=VaZnXZ" TargetMode="External"/><Relationship Id="rId16" Type="http://schemas.openxmlformats.org/officeDocument/2006/relationships/hyperlink" Target="../../../../../:i:/s/AdvancedSurfacePlatingApS/Ebu0VROL_xRAlvpbmZyX-pYBVE-ZZ6t0gz_DC0M89p2dCw?e=MhyGy1" TargetMode="External"/><Relationship Id="rId20" Type="http://schemas.openxmlformats.org/officeDocument/2006/relationships/hyperlink" Target="../../../../../:i:/s/AdvancedSurfacePlatingApS/EUDQQGVJG6hKvd2Ju6e2lvcBULdWBZM8iGyPrUTl2NIBjg?e=qfhs4K" TargetMode="External"/><Relationship Id="rId1" Type="http://schemas.openxmlformats.org/officeDocument/2006/relationships/hyperlink" Target="../../../../../:i:/s/AdvancedSurfacePlatingApS/EeoieDqOS1hFtG7ttCiiXf8BB1TCWUbW0_iTU8RfNDsZ3A?e=clGZXv" TargetMode="External"/><Relationship Id="rId6" Type="http://schemas.openxmlformats.org/officeDocument/2006/relationships/hyperlink" Target="../../../../../:i:/s/AdvancedSurfacePlatingApS/EaDeIsHYet5Eh_9LsBVq7dQBGrqnVxnZ3WaXfabt_WJD2Q?e=x07aiB" TargetMode="External"/><Relationship Id="rId11" Type="http://schemas.openxmlformats.org/officeDocument/2006/relationships/hyperlink" Target="../../../../../:i:/s/AdvancedSurfacePlatingApS/EcYU0rDL3uZJuSH--BBummcBc8GE3GLbRYxtKymjDahdUg?e=CNbXgZ" TargetMode="External"/><Relationship Id="rId5" Type="http://schemas.openxmlformats.org/officeDocument/2006/relationships/hyperlink" Target="../../../../../:i:/s/AdvancedSurfacePlatingApS/EaZnHdSy94tNgLAwg2qNXCoBE5MZDRNa7V0-XvGUa7IkmQ?e=AQiJBG" TargetMode="External"/><Relationship Id="rId15" Type="http://schemas.openxmlformats.org/officeDocument/2006/relationships/hyperlink" Target="../../../../../:i:/s/AdvancedSurfacePlatingApS/Ear1a5Qt3TROhMQA02KdFcQBsw-6DbiPpMnhZGUsiFpIlQ?e=xbLjZl" TargetMode="External"/><Relationship Id="rId10" Type="http://schemas.openxmlformats.org/officeDocument/2006/relationships/hyperlink" Target="../../../../../:i:/s/AdvancedSurfacePlatingApS/ESD-j86rnaJFrSkVzRD3fKQBPI-uwrdnXKfefacSRxODSg?e=JT3syL" TargetMode="External"/><Relationship Id="rId19" Type="http://schemas.openxmlformats.org/officeDocument/2006/relationships/hyperlink" Target="../../../../../:i:/s/AdvancedSurfacePlatingApS/ESjz_SVUdWVDih7Y9IQPvZcBu717mpOfKKQEeYKFNt_dTw?e=Po2br9" TargetMode="External"/><Relationship Id="rId4" Type="http://schemas.openxmlformats.org/officeDocument/2006/relationships/hyperlink" Target="../../../../../:i:/s/AdvancedSurfacePlatingApS/EfS1LvJzALhJmxU2l_Y0tQ4BnSzevEkoSffdywQBFf8WRw?e=jMWjLR" TargetMode="External"/><Relationship Id="rId9" Type="http://schemas.openxmlformats.org/officeDocument/2006/relationships/hyperlink" Target="../../../../../:i:/s/AdvancedSurfacePlatingApS/Ea4NSYbY0cpFl89ZK73txKIBhburu6hj1NYk6_KMAR24Fg?e=O03HQp" TargetMode="External"/><Relationship Id="rId14" Type="http://schemas.openxmlformats.org/officeDocument/2006/relationships/hyperlink" Target="../../../../../:i:/s/AdvancedSurfacePlatingApS/EeqDd0POQHNFr-qB9M0mhOABlXA7hLD19QcsO2c1272aSw?e=kLtCn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i:/s/AdvancedSurfacePlatingApS/EYcjEhjRX5JJmzPav4Ho0OgBV83zcZi-k1ZzuVqkkOYE9Q?e=g7CAzr" TargetMode="External"/><Relationship Id="rId18" Type="http://schemas.openxmlformats.org/officeDocument/2006/relationships/hyperlink" Target="../../../../../:i:/s/AdvancedSurfacePlatingApS/EVszJ-qaIC9PvN9M8PNsoJsBvCZLtkOO1dh3DHNbIPhuUw?e=rE2d2J" TargetMode="External"/><Relationship Id="rId26" Type="http://schemas.openxmlformats.org/officeDocument/2006/relationships/hyperlink" Target="../../../../../:i:/s/AdvancedSurfacePlatingApS/EQkgkhjo1CdJnpjZH3JU-vUBGeGg6lIJVM9uhLmh0uXNFw?e=2f7Kx3" TargetMode="External"/><Relationship Id="rId39" Type="http://schemas.openxmlformats.org/officeDocument/2006/relationships/hyperlink" Target="../../../../../:i:/s/AdvancedSurfacePlatingApS/Ec9YSSuDm5pHgyOlzz3o43ABCn6OoGCY0LR1Fz6TJyu6HA?e=VP16ej" TargetMode="External"/><Relationship Id="rId21" Type="http://schemas.openxmlformats.org/officeDocument/2006/relationships/hyperlink" Target="../../../../../:i:/s/AdvancedSurfacePlatingApS/EfG6FRZ8w31FjeX39_KGPAYB8Bh1-Qxfv3mXcfVqsMlbhQ?e=STI3Vn" TargetMode="External"/><Relationship Id="rId34" Type="http://schemas.openxmlformats.org/officeDocument/2006/relationships/hyperlink" Target="../../../../../:i:/s/AdvancedSurfacePlatingApS/ETsDMejm02lAk8xepuG8OfsBZaFfPZWWmUCk6sAsb4Sekw?e=CL3Me9" TargetMode="External"/><Relationship Id="rId42" Type="http://schemas.openxmlformats.org/officeDocument/2006/relationships/hyperlink" Target="../../../../../:i:/s/AdvancedSurfacePlatingApS/EVRkbYA3iuZLkiXdpWVZhWUBgr1wfaiLrZ4tr8CsV_Cnjg?e=Vv8HOb" TargetMode="External"/><Relationship Id="rId7" Type="http://schemas.openxmlformats.org/officeDocument/2006/relationships/hyperlink" Target="../../../../../:i:/s/AdvancedSurfacePlatingApS/EfYifwIeKkZBrbUe0wIc7tUB4K8jIMNhy2PjEUU_eANfyA?e=32bTOf" TargetMode="External"/><Relationship Id="rId2" Type="http://schemas.openxmlformats.org/officeDocument/2006/relationships/hyperlink" Target="../../../../../:i:/s/AdvancedSurfacePlatingApS/EZ4yiGFxjttGgeS5rlCRxtcBKKhqq-UNig3v706tMscRnA?e=RIEGhv" TargetMode="External"/><Relationship Id="rId16" Type="http://schemas.openxmlformats.org/officeDocument/2006/relationships/hyperlink" Target="../../../../../:i:/s/AdvancedSurfacePlatingApS/EbeC_yloyplNpD6LYhv2CCwBT7jeHT_3jB4Lv8_Qz36dTg?e=F0hJz7" TargetMode="External"/><Relationship Id="rId20" Type="http://schemas.openxmlformats.org/officeDocument/2006/relationships/hyperlink" Target="../../../../../:i:/s/AdvancedSurfacePlatingApS/ETTlVmLiRyhDs711ptWpODABEFnhyHbXSIAofTJeZUOFng?e=36zlfK" TargetMode="External"/><Relationship Id="rId29" Type="http://schemas.openxmlformats.org/officeDocument/2006/relationships/hyperlink" Target="../../../../../:i:/s/AdvancedSurfacePlatingApS/EeSEUqpzRZ9HqGBvpy-DWAgB5HK8k52EV68rUihFhw8R3w?e=1GkUSV" TargetMode="External"/><Relationship Id="rId41" Type="http://schemas.openxmlformats.org/officeDocument/2006/relationships/hyperlink" Target="../../../../../:i:/s/AdvancedSurfacePlatingApS/EbnQ1SPK-bBDgKr2xS3mYNAByM9_4EXPLXFMFUIxjmpjaQ?e=l4hMBW" TargetMode="External"/><Relationship Id="rId1" Type="http://schemas.openxmlformats.org/officeDocument/2006/relationships/hyperlink" Target="../../../../../:i:/s/AdvancedSurfacePlatingApS/EZCwbXvWXRJPjqXlktOu9Z8BcP2krV-HyQo7L-5HAVt6RA?e=1AaUjP" TargetMode="External"/><Relationship Id="rId6" Type="http://schemas.openxmlformats.org/officeDocument/2006/relationships/hyperlink" Target="../../../../../:i:/s/AdvancedSurfacePlatingApS/EXvZpt3ZknxOmCytrGRz0O0BYe4LsOYeEOAOh4eCjpXXHg?e=lhRXSM" TargetMode="External"/><Relationship Id="rId11" Type="http://schemas.openxmlformats.org/officeDocument/2006/relationships/hyperlink" Target="../../../../../:i:/s/AdvancedSurfacePlatingApS/EQj9kfASA5ZEj40f_Bc1-LsBCBEuaagNQTy6SlsxOp369g?e=3XVEoJ" TargetMode="External"/><Relationship Id="rId24" Type="http://schemas.openxmlformats.org/officeDocument/2006/relationships/hyperlink" Target="../../../../../:i:/s/AdvancedSurfacePlatingApS/ESlMiw2G0ttPrd_TyMIU7aQBMvjBkkup7nkPviECLW_S4w?e=NkExbG" TargetMode="External"/><Relationship Id="rId32" Type="http://schemas.openxmlformats.org/officeDocument/2006/relationships/hyperlink" Target="../../../../../:i:/s/AdvancedSurfacePlatingApS/Eb8i_zmvdwtIqwvVkYYoK_EB7iUIeovv2_mHJqHM3vG2Ow?e=4rMzRQ" TargetMode="External"/><Relationship Id="rId37" Type="http://schemas.openxmlformats.org/officeDocument/2006/relationships/hyperlink" Target="../../../../../:i:/s/AdvancedSurfacePlatingApS/ESRWAsvkzFdAniBU3xU87YMBnTjFra8cB2O2AV3mbQa1iQ?e=KArMHq" TargetMode="External"/><Relationship Id="rId40" Type="http://schemas.openxmlformats.org/officeDocument/2006/relationships/hyperlink" Target="../../../../../:i:/s/AdvancedSurfacePlatingApS/ETL4z8gL5IVJs07HHocPTQIBD4_uLrgIYkabDnZKdhWFLA?e=AedgMq" TargetMode="External"/><Relationship Id="rId5" Type="http://schemas.openxmlformats.org/officeDocument/2006/relationships/hyperlink" Target="../../../../../:i:/s/AdvancedSurfacePlatingApS/EQwaln-PObdLhedkFFkbvjUBsHQyHltS5G942q0w5LFoDQ?e=A7zX24" TargetMode="External"/><Relationship Id="rId15" Type="http://schemas.openxmlformats.org/officeDocument/2006/relationships/hyperlink" Target="../../../../../:i:/s/AdvancedSurfacePlatingApS/EYhPotar_sRPl2Zb2gYFqywBSIeAJVu9zIw3LNgKuBhp4g?e=HmkH1u" TargetMode="External"/><Relationship Id="rId23" Type="http://schemas.openxmlformats.org/officeDocument/2006/relationships/hyperlink" Target="../../../../../:i:/s/AdvancedSurfacePlatingApS/EYwJczcCO-ZAub9FGJtr8sMBXVDWXOfxXyJCojoDqL-mcg?e=I6kHn1" TargetMode="External"/><Relationship Id="rId28" Type="http://schemas.openxmlformats.org/officeDocument/2006/relationships/hyperlink" Target="../../../../../:i:/s/AdvancedSurfacePlatingApS/EVlmLZcnkZpCg_7uimrj9xgBZ9iHkhNujaMgDGZXv-YTdw?e=NOFhIv" TargetMode="External"/><Relationship Id="rId36" Type="http://schemas.openxmlformats.org/officeDocument/2006/relationships/hyperlink" Target="../../../../../:i:/s/AdvancedSurfacePlatingApS/EW6p4VRIOlpLmdVh7O4CgfYB1ScLE8VS8LX67uUL4MJtbw?e=7PHICi" TargetMode="External"/><Relationship Id="rId10" Type="http://schemas.openxmlformats.org/officeDocument/2006/relationships/hyperlink" Target="../../../../../:i:/s/AdvancedSurfacePlatingApS/EY6eUNzeAdZKpd7HFrhb1MkB2mPRbdbWAJ4dQD96h3IeQA?e=VLGdF7" TargetMode="External"/><Relationship Id="rId19" Type="http://schemas.openxmlformats.org/officeDocument/2006/relationships/hyperlink" Target="../../../../../:i:/s/AdvancedSurfacePlatingApS/EbNSM4AVnWpCoVoeKJMjSNoBEvvtj2CjbnHrnqXPub1uSQ?e=iqJbGQ" TargetMode="External"/><Relationship Id="rId31" Type="http://schemas.openxmlformats.org/officeDocument/2006/relationships/hyperlink" Target="../../../../../:i:/s/AdvancedSurfacePlatingApS/EcFIN4FH4rhGg5St3z4ivw8BjOdivpMFPBbxiM0HftvSUQ?e=JGIQNm" TargetMode="External"/><Relationship Id="rId4" Type="http://schemas.openxmlformats.org/officeDocument/2006/relationships/hyperlink" Target="../../../../../:i:/s/AdvancedSurfacePlatingApS/EX9JxT6KIz1AqBMA4XKJIPQBRYkutrfvQQhKg9EU5jhitA?e=Wa9DwU" TargetMode="External"/><Relationship Id="rId9" Type="http://schemas.openxmlformats.org/officeDocument/2006/relationships/hyperlink" Target="../../../../../:i:/s/AdvancedSurfacePlatingApS/EWrwgUWSNlNHlx3pUSEhD74BDIrvRGNPqceXx7rGQo44mg?e=VuwRgW" TargetMode="External"/><Relationship Id="rId14" Type="http://schemas.openxmlformats.org/officeDocument/2006/relationships/hyperlink" Target="../../../../../:i:/s/AdvancedSurfacePlatingApS/EarM6A4bWe5AuCT2Dl7N9mQBAgDzXEvhrLtVZl4uMkHVig?e=uIHoXD" TargetMode="External"/><Relationship Id="rId22" Type="http://schemas.openxmlformats.org/officeDocument/2006/relationships/hyperlink" Target="../../../../../:i:/s/AdvancedSurfacePlatingApS/ETJ0w-dD2xlOm84HoxeMmN8BukP0hg_DAeuZekNC_akGPA?e=af4h67" TargetMode="External"/><Relationship Id="rId27" Type="http://schemas.openxmlformats.org/officeDocument/2006/relationships/hyperlink" Target="../../../../../:i:/s/AdvancedSurfacePlatingApS/Ef8AW8iLe0tGhOyvF18IPMoBzDX-l_BwJ-ZjG-wLMPZYYg?e=qnKGwu" TargetMode="External"/><Relationship Id="rId30" Type="http://schemas.openxmlformats.org/officeDocument/2006/relationships/hyperlink" Target="../../../../../:i:/s/AdvancedSurfacePlatingApS/EWRTeMLIBR5KgPphOdJDZikBvoPb-HYS5UFjnPLTh1XM0Q?e=FurIpB" TargetMode="External"/><Relationship Id="rId35" Type="http://schemas.openxmlformats.org/officeDocument/2006/relationships/hyperlink" Target="../../../../../:i:/s/AdvancedSurfacePlatingApS/EVMAZt8hCAhMnJjy-Rwxj1cBMyWe16jSfjJUPVXBcLJqZA?e=4dmtli" TargetMode="External"/><Relationship Id="rId8" Type="http://schemas.openxmlformats.org/officeDocument/2006/relationships/hyperlink" Target="../../../../../:i:/s/AdvancedSurfacePlatingApS/EYJoDxEIV6RHrPeZw2AORn8BxkOg9ACD0meTzUwynZpAaA?e=ZVUplP" TargetMode="External"/><Relationship Id="rId3" Type="http://schemas.openxmlformats.org/officeDocument/2006/relationships/hyperlink" Target="../../../../../:i:/s/AdvancedSurfacePlatingApS/EaX2YVwVxxxApL8IjRWMiR0BVuM9QOMDjXGlm2XrmamudQ?e=3Vcdv3" TargetMode="External"/><Relationship Id="rId12" Type="http://schemas.openxmlformats.org/officeDocument/2006/relationships/hyperlink" Target="../../../../../:i:/s/AdvancedSurfacePlatingApS/EUI7kPO7nCdFnj3gwEOkzI0BwcPT9gLehQWnD5dMvKiT3Q?e=Wq4FhK" TargetMode="External"/><Relationship Id="rId17" Type="http://schemas.openxmlformats.org/officeDocument/2006/relationships/hyperlink" Target="../../../../../:i:/s/AdvancedSurfacePlatingApS/EUzK9lTXPFlAsu01wxfnK54BGlOE6OIWQSRq_VhFdiRPyw?e=pCcpQW" TargetMode="External"/><Relationship Id="rId25" Type="http://schemas.openxmlformats.org/officeDocument/2006/relationships/hyperlink" Target="../../../../../:i:/s/AdvancedSurfacePlatingApS/Eby53SI2l7BBnbIYNZSszAYBA7x9EQnQcaAjZrj5iMJsrg?e=73seaC" TargetMode="External"/><Relationship Id="rId33" Type="http://schemas.openxmlformats.org/officeDocument/2006/relationships/hyperlink" Target="../../../../../:i:/s/AdvancedSurfacePlatingApS/EVFUF4kinSNHox6fKho0aIIBbSVqutVfwJUh0GVyaqzZYw?e=XE7T6Q" TargetMode="External"/><Relationship Id="rId38" Type="http://schemas.openxmlformats.org/officeDocument/2006/relationships/hyperlink" Target="../../../../../:i:/s/AdvancedSurfacePlatingApS/EfeTWm9XRERDmXcSOdmYTWgBOzAUvK2Wd6wg647CwWnfeQ?e=N23wmP"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i:/s/AdvancedSurfacePlatingApS/EYhPotar_sRPl2Zb2gYFqywBSIeAJVu9zIw3LNgKuBhp4g?e=HmkH1u" TargetMode="External"/><Relationship Id="rId18" Type="http://schemas.openxmlformats.org/officeDocument/2006/relationships/hyperlink" Target="../../../../../:i:/s/AdvancedSurfacePlatingApS/EfG6FRZ8w31FjeX39_KGPAYB8Bh1-Qxfv3mXcfVqsMlbhQ?e=STI3Vn" TargetMode="External"/><Relationship Id="rId26" Type="http://schemas.openxmlformats.org/officeDocument/2006/relationships/hyperlink" Target="../../../../../:i:/s/AdvancedSurfacePlatingApS/EeSEUqpzRZ9HqGBvpy-DWAgB5HK8k52EV68rUihFhw8R3w?e=1GkUSV" TargetMode="External"/><Relationship Id="rId39" Type="http://schemas.openxmlformats.org/officeDocument/2006/relationships/hyperlink" Target="../../../../../:i:/s/AdvancedSurfacePlatingApS/EVRkbYA3iuZLkiXdpWVZhWUBgr1wfaiLrZ4tr8CsV_Cnjg?e=Vv8HOb" TargetMode="External"/><Relationship Id="rId21" Type="http://schemas.openxmlformats.org/officeDocument/2006/relationships/hyperlink" Target="../../../../../:i:/s/AdvancedSurfacePlatingApS/ESlMiw2G0ttPrd_TyMIU7aQBMvjBkkup7nkPviECLW_S4w?e=NkExbG" TargetMode="External"/><Relationship Id="rId34" Type="http://schemas.openxmlformats.org/officeDocument/2006/relationships/hyperlink" Target="../../../../../:i:/s/AdvancedSurfacePlatingApS/ESRWAsvkzFdAniBU3xU87YMBnTjFra8cB2O2AV3mbQa1iQ?e=KArMHq" TargetMode="External"/><Relationship Id="rId7" Type="http://schemas.openxmlformats.org/officeDocument/2006/relationships/hyperlink" Target="../../../../../:i:/s/AdvancedSurfacePlatingApS/EWrwgUWSNlNHlx3pUSEhD74BDIrvRGNPqceXx7rGQo44mg?e=VuwRgW" TargetMode="External"/><Relationship Id="rId12" Type="http://schemas.openxmlformats.org/officeDocument/2006/relationships/hyperlink" Target="../../../../../:i:/s/AdvancedSurfacePlatingApS/EarM6A4bWe5AuCT2Dl7N9mQBAgDzXEvhrLtVZl4uMkHVig?e=uIHoXD" TargetMode="External"/><Relationship Id="rId17" Type="http://schemas.openxmlformats.org/officeDocument/2006/relationships/hyperlink" Target="../../../../../:i:/s/AdvancedSurfacePlatingApS/ETTlVmLiRyhDs711ptWpODABEFnhyHbXSIAofTJeZUOFng?e=36zlfK" TargetMode="External"/><Relationship Id="rId25" Type="http://schemas.openxmlformats.org/officeDocument/2006/relationships/hyperlink" Target="../../../../../:i:/s/AdvancedSurfacePlatingApS/EVlmLZcnkZpCg_7uimrj9xgBZ9iHkhNujaMgDGZXv-YTdw?e=NOFhIv" TargetMode="External"/><Relationship Id="rId33" Type="http://schemas.openxmlformats.org/officeDocument/2006/relationships/hyperlink" Target="../../../../../:i:/s/AdvancedSurfacePlatingApS/EW6p4VRIOlpLmdVh7O4CgfYB1ScLE8VS8LX67uUL4MJtbw?e=7PHICi" TargetMode="External"/><Relationship Id="rId38" Type="http://schemas.openxmlformats.org/officeDocument/2006/relationships/hyperlink" Target="../../../../../:i:/s/AdvancedSurfacePlatingApS/EbnQ1SPK-bBDgKr2xS3mYNAByM9_4EXPLXFMFUIxjmpjaQ?e=l4hMBW" TargetMode="External"/><Relationship Id="rId2" Type="http://schemas.openxmlformats.org/officeDocument/2006/relationships/hyperlink" Target="../../../../../:i:/s/AdvancedSurfacePlatingApS/EX9JxT6KIz1AqBMA4XKJIPQBRYkutrfvQQhKg9EU5jhitA?e=Wa9DwU" TargetMode="External"/><Relationship Id="rId16" Type="http://schemas.openxmlformats.org/officeDocument/2006/relationships/hyperlink" Target="../../../../../:i:/s/AdvancedSurfacePlatingApS/EbNSM4AVnWpCoVoeKJMjSNoBEvvtj2CjbnHrnqXPub1uSQ?e=iqJbGQ" TargetMode="External"/><Relationship Id="rId20" Type="http://schemas.openxmlformats.org/officeDocument/2006/relationships/hyperlink" Target="../../../../../:i:/s/AdvancedSurfacePlatingApS/EYwJczcCO-ZAub9FGJtr8sMBXVDWXOfxXyJCojoDqL-mcg?e=I6kHn1" TargetMode="External"/><Relationship Id="rId29" Type="http://schemas.openxmlformats.org/officeDocument/2006/relationships/hyperlink" Target="../../../../../:i:/s/AdvancedSurfacePlatingApS/Eb8i_zmvdwtIqwvVkYYoK_EB7iUIeovv2_mHJqHM3vG2Ow?e=4rMzRQ" TargetMode="External"/><Relationship Id="rId1" Type="http://schemas.openxmlformats.org/officeDocument/2006/relationships/hyperlink" Target="../../../../../:i:/s/AdvancedSurfacePlatingApS/EZ4yiGFxjttGgeS5rlCRxtcBKKhqq-UNig3v706tMscRnA?e=RIEGhv" TargetMode="External"/><Relationship Id="rId6" Type="http://schemas.openxmlformats.org/officeDocument/2006/relationships/hyperlink" Target="../../../../../:i:/s/AdvancedSurfacePlatingApS/EYJoDxEIV6RHrPeZw2AORn8BxkOg9ACD0meTzUwynZpAaA?e=ZVUplP" TargetMode="External"/><Relationship Id="rId11" Type="http://schemas.openxmlformats.org/officeDocument/2006/relationships/hyperlink" Target="../../../../../:i:/s/AdvancedSurfacePlatingApS/EYcjEhjRX5JJmzPav4Ho0OgBV83zcZi-k1ZzuVqkkOYE9Q?e=g7CAzr" TargetMode="External"/><Relationship Id="rId24" Type="http://schemas.openxmlformats.org/officeDocument/2006/relationships/hyperlink" Target="../../../../../:i:/s/AdvancedSurfacePlatingApS/Ef8AW8iLe0tGhOyvF18IPMoBzDX-l_BwJ-ZjG-wLMPZYYg?e=qnKGwu" TargetMode="External"/><Relationship Id="rId32" Type="http://schemas.openxmlformats.org/officeDocument/2006/relationships/hyperlink" Target="../../../../../:i:/s/AdvancedSurfacePlatingApS/EVMAZt8hCAhMnJjy-Rwxj1cBMyWe16jSfjJUPVXBcLJqZA?e=4dmtli" TargetMode="External"/><Relationship Id="rId37" Type="http://schemas.openxmlformats.org/officeDocument/2006/relationships/hyperlink" Target="../../../../../:i:/s/AdvancedSurfacePlatingApS/ETL4z8gL5IVJs07HHocPTQIBD4_uLrgIYkabDnZKdhWFLA?e=AedgMq" TargetMode="External"/><Relationship Id="rId40" Type="http://schemas.openxmlformats.org/officeDocument/2006/relationships/hyperlink" Target="../../../../../:i:/s/AdvancedSurfacePlatingApS/EbeC_yloyplNpD6LYhv2CCwBT7jeHT_3jB4Lv8_Qz36dTg?e=F0hJz7" TargetMode="External"/><Relationship Id="rId5" Type="http://schemas.openxmlformats.org/officeDocument/2006/relationships/hyperlink" Target="../../../../../:i:/s/AdvancedSurfacePlatingApS/EfYifwIeKkZBrbUe0wIc7tUB4K8jIMNhy2PjEUU_eANfyA?e=32bTOf" TargetMode="External"/><Relationship Id="rId15" Type="http://schemas.openxmlformats.org/officeDocument/2006/relationships/hyperlink" Target="../../../../../:i:/s/AdvancedSurfacePlatingApS/EVszJ-qaIC9PvN9M8PNsoJsBvCZLtkOO1dh3DHNbIPhuUw?e=rE2d2J" TargetMode="External"/><Relationship Id="rId23" Type="http://schemas.openxmlformats.org/officeDocument/2006/relationships/hyperlink" Target="../../../../../:i:/s/AdvancedSurfacePlatingApS/EQkgkhjo1CdJnpjZH3JU-vUBGeGg6lIJVM9uhLmh0uXNFw?e=2f7Kx3" TargetMode="External"/><Relationship Id="rId28" Type="http://schemas.openxmlformats.org/officeDocument/2006/relationships/hyperlink" Target="../../../../../:i:/s/AdvancedSurfacePlatingApS/EcFIN4FH4rhGg5St3z4ivw8BjOdivpMFPBbxiM0HftvSUQ?e=JGIQNm" TargetMode="External"/><Relationship Id="rId36" Type="http://schemas.openxmlformats.org/officeDocument/2006/relationships/hyperlink" Target="../../../../../:i:/s/AdvancedSurfacePlatingApS/Ec9YSSuDm5pHgyOlzz3o43ABCn6OoGCY0LR1Fz6TJyu6HA?e=VP16ej" TargetMode="External"/><Relationship Id="rId10" Type="http://schemas.openxmlformats.org/officeDocument/2006/relationships/hyperlink" Target="../../../../../:i:/s/AdvancedSurfacePlatingApS/EUI7kPO7nCdFnj3gwEOkzI0BwcPT9gLehQWnD5dMvKiT3Q?e=Wq4FhK" TargetMode="External"/><Relationship Id="rId19" Type="http://schemas.openxmlformats.org/officeDocument/2006/relationships/hyperlink" Target="../../../../../:i:/s/AdvancedSurfacePlatingApS/ETJ0w-dD2xlOm84HoxeMmN8BukP0hg_DAeuZekNC_akGPA?e=af4h67" TargetMode="External"/><Relationship Id="rId31" Type="http://schemas.openxmlformats.org/officeDocument/2006/relationships/hyperlink" Target="../../../../../:i:/s/AdvancedSurfacePlatingApS/ETsDMejm02lAk8xepuG8OfsBZaFfPZWWmUCk6sAsb4Sekw?e=CL3Me9" TargetMode="External"/><Relationship Id="rId4" Type="http://schemas.openxmlformats.org/officeDocument/2006/relationships/hyperlink" Target="../../../../../:i:/s/AdvancedSurfacePlatingApS/EXvZpt3ZknxOmCytrGRz0O0BYe4LsOYeEOAOh4eCjpXXHg?e=lhRXSM" TargetMode="External"/><Relationship Id="rId9" Type="http://schemas.openxmlformats.org/officeDocument/2006/relationships/hyperlink" Target="../../../../../:i:/s/AdvancedSurfacePlatingApS/EQj9kfASA5ZEj40f_Bc1-LsBCBEuaagNQTy6SlsxOp369g?e=3XVEoJ" TargetMode="External"/><Relationship Id="rId14" Type="http://schemas.openxmlformats.org/officeDocument/2006/relationships/hyperlink" Target="../../../../../:i:/s/AdvancedSurfacePlatingApS/EUzK9lTXPFlAsu01wxfnK54BGlOE6OIWQSRq_VhFdiRPyw?e=pCcpQW" TargetMode="External"/><Relationship Id="rId22" Type="http://schemas.openxmlformats.org/officeDocument/2006/relationships/hyperlink" Target="../../../../../:i:/s/AdvancedSurfacePlatingApS/Eby53SI2l7BBnbIYNZSszAYBA7x9EQnQcaAjZrj5iMJsrg?e=73seaC" TargetMode="External"/><Relationship Id="rId27" Type="http://schemas.openxmlformats.org/officeDocument/2006/relationships/hyperlink" Target="../../../../../:i:/s/AdvancedSurfacePlatingApS/EWRTeMLIBR5KgPphOdJDZikBvoPb-HYS5UFjnPLTh1XM0Q?e=FurIpB" TargetMode="External"/><Relationship Id="rId30" Type="http://schemas.openxmlformats.org/officeDocument/2006/relationships/hyperlink" Target="../../../../../:i:/s/AdvancedSurfacePlatingApS/EVFUF4kinSNHox6fKho0aIIBbSVqutVfwJUh0GVyaqzZYw?e=XE7T6Q" TargetMode="External"/><Relationship Id="rId35" Type="http://schemas.openxmlformats.org/officeDocument/2006/relationships/hyperlink" Target="../../../../../:i:/s/AdvancedSurfacePlatingApS/EfeTWm9XRERDmXcSOdmYTWgBOzAUvK2Wd6wg647CwWnfeQ?e=N23wmP" TargetMode="External"/><Relationship Id="rId8" Type="http://schemas.openxmlformats.org/officeDocument/2006/relationships/hyperlink" Target="../../../../../:i:/s/AdvancedSurfacePlatingApS/EY6eUNzeAdZKpd7HFrhb1MkB2mPRbdbWAJ4dQD96h3IeQA?e=VLGdF7" TargetMode="External"/><Relationship Id="rId3" Type="http://schemas.openxmlformats.org/officeDocument/2006/relationships/hyperlink" Target="../../../../../:i:/s/AdvancedSurfacePlatingApS/EQwaln-PObdLhedkFFkbvjUBsHQyHltS5G942q0w5LFoDQ?e=A7zX24"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i:/s/AdvancedSurfacePlatingApS/EQstmwkA5UlEnEIqqofJFKcByRQ3TJ981Bau6wq6XdYVgQ?e=8jID8t"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i:/s/AdvancedSurfacePlatingApS/EbQV5qWjM3pLnLXBboRdRVwBpOkQiyS6vTfwKP3vJX-Baw?e=0iV30t" TargetMode="External"/><Relationship Id="rId13" Type="http://schemas.openxmlformats.org/officeDocument/2006/relationships/hyperlink" Target="../../../../../:i:/s/AdvancedSurfacePlatingApS/EbSSHMzqipZIgQlnRpa9Mn8B_Zd3J8hPmDeE9JqNeTigUw?e=4gCzOq" TargetMode="External"/><Relationship Id="rId18" Type="http://schemas.openxmlformats.org/officeDocument/2006/relationships/hyperlink" Target="../../../../../:i:/s/AdvancedSurfacePlatingApS/EUTZvWrUHytAs_9sw3PaOt4BREamM67niyWcUaAL3bjv7w?e=dgfgcZ" TargetMode="External"/><Relationship Id="rId3" Type="http://schemas.openxmlformats.org/officeDocument/2006/relationships/hyperlink" Target="../../../../../:i:/s/AdvancedSurfacePlatingApS/EdIy2HxOVjVBrQnuozAvgSIBLuNdsz21l13M-OFe_025bQ?e=XxFAOO" TargetMode="External"/><Relationship Id="rId7" Type="http://schemas.openxmlformats.org/officeDocument/2006/relationships/hyperlink" Target="../../../../../:i:/s/AdvancedSurfacePlatingApS/EQvkP58JIehPjvXhETVlOdsBrPMfeJM7cqd1U78sUS6Z9A?e=D3EyPV" TargetMode="External"/><Relationship Id="rId12" Type="http://schemas.openxmlformats.org/officeDocument/2006/relationships/hyperlink" Target="../../../../../:i:/s/AdvancedSurfacePlatingApS/EfRvrteMZbBEq0_mcgq09NUBVVAVcTW_TNhZReRfvZe9Yw?e=HtEK4h" TargetMode="External"/><Relationship Id="rId17" Type="http://schemas.openxmlformats.org/officeDocument/2006/relationships/hyperlink" Target="../../../../../:i:/s/AdvancedSurfacePlatingApS/EVIvGc_X4xZNt7FbcGowSa0BYmuuFP9Hbk_87kUslFPbPg?e=j1NvCC" TargetMode="External"/><Relationship Id="rId2" Type="http://schemas.openxmlformats.org/officeDocument/2006/relationships/hyperlink" Target="../../../../../:i:/s/AdvancedSurfacePlatingApS/EW-1Fm7iD9ZJjwm545aBmUoBpKHJvCcKgdWZoAxM8nCaFA?e=QRU6sP" TargetMode="External"/><Relationship Id="rId16" Type="http://schemas.openxmlformats.org/officeDocument/2006/relationships/hyperlink" Target="../../../../../:i:/s/AdvancedSurfacePlatingApS/EXB1eOb8RIdClrKNhlvfNfwBD5JvpjHqZKL3vAJQ_lh9ag?e=6YyyqI" TargetMode="External"/><Relationship Id="rId1" Type="http://schemas.openxmlformats.org/officeDocument/2006/relationships/hyperlink" Target="../../../../../:i:/s/AdvancedSurfacePlatingApS/EU-45fbK3T1BjCT6wuEG5JoBqpka2M2SOCh4_ozFB3VJWw?e=fhBS1i" TargetMode="External"/><Relationship Id="rId6" Type="http://schemas.openxmlformats.org/officeDocument/2006/relationships/hyperlink" Target="../../../../../:i:/s/AdvancedSurfacePlatingApS/EYMj-yiVmYREssiJEHiDBmUBls7suGC9RtzzVYjgr2AAhw?e=bUYWVC" TargetMode="External"/><Relationship Id="rId11" Type="http://schemas.openxmlformats.org/officeDocument/2006/relationships/hyperlink" Target="../../../../../:i:/s/AdvancedSurfacePlatingApS/EeXyDSZIbxxJj53bfLmaO3IBd0Dh-AJua9Ww7K8PndLzog?e=vJDeys" TargetMode="External"/><Relationship Id="rId5" Type="http://schemas.openxmlformats.org/officeDocument/2006/relationships/hyperlink" Target="../../../../../:i:/s/AdvancedSurfacePlatingApS/EWHN0wJ1gcRAi9Xk5bM51PgBWfHU4eQJdA-NajcamiwFjw?e=uPTpnF" TargetMode="External"/><Relationship Id="rId15" Type="http://schemas.openxmlformats.org/officeDocument/2006/relationships/hyperlink" Target="../../../../../:i:/s/AdvancedSurfacePlatingApS/ESNAcUbl2bJHnk2qIyoL3sQBSFfa9rDhcoSaZAjQb_3VlA?e=kEuz27" TargetMode="External"/><Relationship Id="rId10" Type="http://schemas.openxmlformats.org/officeDocument/2006/relationships/hyperlink" Target="../../../../../:i:/s/AdvancedSurfacePlatingApS/EcxyP4WJnHhJue4eixCEJE4Bf9Z32TpHoHxJY84j4dvqNg?e=P8f9rn" TargetMode="External"/><Relationship Id="rId4" Type="http://schemas.openxmlformats.org/officeDocument/2006/relationships/hyperlink" Target="../../../../../:i:/s/AdvancedSurfacePlatingApS/EWR7reckwddGuLfOI7cwM_4BN6htmdZ0Hw1ij76yd9xQUQ?e=1AhGrp" TargetMode="External"/><Relationship Id="rId9" Type="http://schemas.openxmlformats.org/officeDocument/2006/relationships/hyperlink" Target="../../../../../:i:/s/AdvancedSurfacePlatingApS/ETO_av2E9v9BpMrOt6lK83gBd_9Mc_GxKavR7xPw3T5tUQ?e=pusksC" TargetMode="External"/><Relationship Id="rId14" Type="http://schemas.openxmlformats.org/officeDocument/2006/relationships/hyperlink" Target="../../../../../:i:/s/AdvancedSurfacePlatingApS/EbgPggFWWcJDvn_QohZrA2MBNt3p7DCEXfcao2saC1r1Eg?e=mbb98E"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i:/s/AdvancedSurfacePlatingApS/EYnXM_JaClNOr7FFBHlE6bwBD37hqGYSWumGnFm9zu95Cg?e=LcDn2F" TargetMode="External"/><Relationship Id="rId18" Type="http://schemas.openxmlformats.org/officeDocument/2006/relationships/hyperlink" Target="../../../../../:i:/s/AdvancedSurfacePlatingApS/EegbtjYy-h9DlhpmIm_1VFwBV4pHgF42Agpn3puEPgt9KA?e=q2QAhd" TargetMode="External"/><Relationship Id="rId26" Type="http://schemas.openxmlformats.org/officeDocument/2006/relationships/hyperlink" Target="../../../../../:i:/s/AdvancedSurfacePlatingApS/EReQCPBQ0wZPvnHhCAUd_zsBnUqJ-EV9IVixbu727Dbc4Q?e=2L3A3y" TargetMode="External"/><Relationship Id="rId39" Type="http://schemas.openxmlformats.org/officeDocument/2006/relationships/hyperlink" Target="../../../../../:i:/s/AdvancedSurfacePlatingApS/EbmcrIUxLhNPixk7UHaCPVEBe5o_Y1tLmdjIGIZR4GGHFw?e=4MIZjz" TargetMode="External"/><Relationship Id="rId21" Type="http://schemas.openxmlformats.org/officeDocument/2006/relationships/hyperlink" Target="../../../../../:i:/s/AdvancedSurfacePlatingApS/EUdB2SbX5u5EiMCl0tsP2isBqpNL1GXw9-DhrfCGbov-9A?e=XDV9E9" TargetMode="External"/><Relationship Id="rId34" Type="http://schemas.openxmlformats.org/officeDocument/2006/relationships/hyperlink" Target="../../../../../:i:/s/AdvancedSurfacePlatingApS/EaUARnt0LzdIhs5oULhYNmkBwfwJh1FgEQlg9a4nytMUew?e=oOYXdy" TargetMode="External"/><Relationship Id="rId42" Type="http://schemas.openxmlformats.org/officeDocument/2006/relationships/hyperlink" Target="../../../../../:i:/s/AdvancedSurfacePlatingApS/ETiVZcs25D5InddxjkrqgBMBUa69xINajFwIa6mkEKZpxw?e=hLbV7e" TargetMode="External"/><Relationship Id="rId7" Type="http://schemas.openxmlformats.org/officeDocument/2006/relationships/hyperlink" Target="../../../../../:i:/s/AdvancedSurfacePlatingApS/Ebb4Ulplkw9DjWaodCcUlBMBJqSV_5Jr7SaRWRpjtn6p3g?e=eBeLKx" TargetMode="External"/><Relationship Id="rId2" Type="http://schemas.openxmlformats.org/officeDocument/2006/relationships/hyperlink" Target="../../../../../:i:/s/AdvancedSurfacePlatingApS/ESanU-_pyXdGvXGg0nIe9-AB5SJh_irdTrZN5FKH9B-Caw?e=yY4E8q" TargetMode="External"/><Relationship Id="rId16" Type="http://schemas.openxmlformats.org/officeDocument/2006/relationships/hyperlink" Target="../../../../../:i:/s/AdvancedSurfacePlatingApS/EQhQVwZFGfpKtW_ToHzzK-4BSIkKc5tWNwSDXf1D6hkn0Q?e=DPtZ66" TargetMode="External"/><Relationship Id="rId20" Type="http://schemas.openxmlformats.org/officeDocument/2006/relationships/hyperlink" Target="../../../../../:i:/s/AdvancedSurfacePlatingApS/Ed0xHLkTh0VDtrMlHoIT7KcBFcPL6zkHJQLVxLE5Liolsw?e=RDgfG3" TargetMode="External"/><Relationship Id="rId29" Type="http://schemas.openxmlformats.org/officeDocument/2006/relationships/hyperlink" Target="../../../../../:i:/s/AdvancedSurfacePlatingApS/EQsCGoUjef1PrcFD7Ev5aecBWJwHM8BUQIfYXYDRGom8iA?e=PbDdwZ" TargetMode="External"/><Relationship Id="rId41" Type="http://schemas.openxmlformats.org/officeDocument/2006/relationships/hyperlink" Target="../../../../../:i:/s/AdvancedSurfacePlatingApS/Ef6xFhta1QFLu-ZJG0P10TMBSpm3PNNEiNxD3QO6Dm3AIw?e=flWHZB" TargetMode="External"/><Relationship Id="rId1" Type="http://schemas.openxmlformats.org/officeDocument/2006/relationships/hyperlink" Target="../../../../../:i:/s/AdvancedSurfacePlatingApS/EVSFXjc9HaREnwthc7Z4I88BioCm1ZSt4q-hQYOPfzDMHg?e=faveez" TargetMode="External"/><Relationship Id="rId6" Type="http://schemas.openxmlformats.org/officeDocument/2006/relationships/hyperlink" Target="../../../../../:i:/s/AdvancedSurfacePlatingApS/EfIP9Jlg_HJFtx9-34QcZ3kB5Py-q-W6eT-Dfpczu72w6A?e=Ry7XjI" TargetMode="External"/><Relationship Id="rId11" Type="http://schemas.openxmlformats.org/officeDocument/2006/relationships/hyperlink" Target="../../../../../:i:/s/AdvancedSurfacePlatingApS/ERHlqODnuQFFjuBZ7ni82Y8BelUVKc7bYXhvCOHOAiCmvA?e=nLC5Hn" TargetMode="External"/><Relationship Id="rId24" Type="http://schemas.openxmlformats.org/officeDocument/2006/relationships/hyperlink" Target="../../../../../:i:/s/AdvancedSurfacePlatingApS/Ec4q7JNmgaxOikPNPUx9wZwBuJwy7i2TGn3BvmBj59n59A?e=h4IJhu" TargetMode="External"/><Relationship Id="rId32" Type="http://schemas.openxmlformats.org/officeDocument/2006/relationships/hyperlink" Target="../../../../../:i:/s/AdvancedSurfacePlatingApS/EQFG5cGNArJFvEV8YAqTQewBR_kJUVm-lqS_-Xvu8awAqg?e=WhPehh" TargetMode="External"/><Relationship Id="rId37" Type="http://schemas.openxmlformats.org/officeDocument/2006/relationships/hyperlink" Target="../../../../../:i:/s/AdvancedSurfacePlatingApS/ESa9w3TO_FZGh3b6YHDrqW8BpHOhAKHqTkFptGJkPzESgA?e=rAWYo4" TargetMode="External"/><Relationship Id="rId40" Type="http://schemas.openxmlformats.org/officeDocument/2006/relationships/hyperlink" Target="../../../../../:i:/s/AdvancedSurfacePlatingApS/EdfvcA9wIyxFujcWWe1kiRQBwpBJIAEUdb_IacBBpDst4w?e=tZn0gs" TargetMode="External"/><Relationship Id="rId5" Type="http://schemas.openxmlformats.org/officeDocument/2006/relationships/hyperlink" Target="../../../../../:i:/s/AdvancedSurfacePlatingApS/Ee26mHHqk8FFn2-6mHbqjkEBJRFKf9wR4OnrkNs0vehfaA?e=J1uBVS" TargetMode="External"/><Relationship Id="rId15" Type="http://schemas.openxmlformats.org/officeDocument/2006/relationships/hyperlink" Target="../../../../../:i:/s/AdvancedSurfacePlatingApS/EXKWAx9CZ7dEo6W5Z8eMS0QBWYiGc8uZ2h9Tr-QJqfgyOg?e=DVDUcF" TargetMode="External"/><Relationship Id="rId23" Type="http://schemas.openxmlformats.org/officeDocument/2006/relationships/hyperlink" Target="../../../../../:i:/s/AdvancedSurfacePlatingApS/EerP-nRINPhMmdigEPC5UNQBM47D4kv89yijYQ-32pLosw?e=3CTAof" TargetMode="External"/><Relationship Id="rId28" Type="http://schemas.openxmlformats.org/officeDocument/2006/relationships/hyperlink" Target="../../../../../:i:/s/AdvancedSurfacePlatingApS/EbPCLQbPdehFqpkpX2Y4w3wBS5I6aILhrXjbbB9-ifLJFQ?e=ai5vJa" TargetMode="External"/><Relationship Id="rId36" Type="http://schemas.openxmlformats.org/officeDocument/2006/relationships/hyperlink" Target="../../../../../:i:/s/AdvancedSurfacePlatingApS/EV70VgHUA71DicAQXeCLOi4BqnrO_lxsyJ9V4imob_twvg?e=RYM9Km" TargetMode="External"/><Relationship Id="rId10" Type="http://schemas.openxmlformats.org/officeDocument/2006/relationships/hyperlink" Target="../../../../../:i:/s/AdvancedSurfacePlatingApS/EVTbwErHKLpPvaw0_jIJQzYBwmo3i6rZheeVo5CChFT21g?e=3Of1cy" TargetMode="External"/><Relationship Id="rId19" Type="http://schemas.openxmlformats.org/officeDocument/2006/relationships/hyperlink" Target="../../../../../:i:/s/AdvancedSurfacePlatingApS/EQiP6rUaxapHo6Z2QcOBcpQBaXrpnnpNGePOUyxA2A7KSA?e=aMMeag" TargetMode="External"/><Relationship Id="rId31" Type="http://schemas.openxmlformats.org/officeDocument/2006/relationships/hyperlink" Target="../../../../../:i:/s/AdvancedSurfacePlatingApS/EctQMkJxNBhGiaBkkFkV8AMBscFNMRkIC0b5L-Wm-5ISsQ?e=tdfcuM" TargetMode="External"/><Relationship Id="rId44" Type="http://schemas.openxmlformats.org/officeDocument/2006/relationships/hyperlink" Target="../../../../../:i:/s/AdvancedSurfacePlatingApS/Eb5DJvhbZGBKsQgPpe-5quABoaacIvj4psrpGHMkzyLqLA?e=eJOaCz" TargetMode="External"/><Relationship Id="rId4" Type="http://schemas.openxmlformats.org/officeDocument/2006/relationships/hyperlink" Target="../../../../../:i:/s/AdvancedSurfacePlatingApS/EUT6xT6N_GNJvUh9JI967coBmnK2QsSdiontxjxIZDviRg?e=xNBq9N" TargetMode="External"/><Relationship Id="rId9" Type="http://schemas.openxmlformats.org/officeDocument/2006/relationships/hyperlink" Target="../../../../../:i:/s/AdvancedSurfacePlatingApS/Ef8ig1Ft1o9IkazQ2wkqUUMBElv4BeUpyBPn41PvcLdjAA?e=5URLgd" TargetMode="External"/><Relationship Id="rId14" Type="http://schemas.openxmlformats.org/officeDocument/2006/relationships/hyperlink" Target="../../../../../:i:/s/AdvancedSurfacePlatingApS/EYPkoKiIUw9Mk6TbpcHRu10BdFvAMKYS8O5RIic-jxR7AQ?e=YkB8qa" TargetMode="External"/><Relationship Id="rId22" Type="http://schemas.openxmlformats.org/officeDocument/2006/relationships/hyperlink" Target="../../../../../:i:/s/AdvancedSurfacePlatingApS/ETdeR6UyDCRNl5xwOO-FUA8BS-J2iHgPROxLYRvcPvc-Tg?e=1YgkNq" TargetMode="External"/><Relationship Id="rId27" Type="http://schemas.openxmlformats.org/officeDocument/2006/relationships/hyperlink" Target="../../../../../:i:/s/AdvancedSurfacePlatingApS/EfGroEQD0z5Fsr2gGIT5jekBLLmUTOj8IhBjmkn5hPUb6Q?e=jwzyPP" TargetMode="External"/><Relationship Id="rId30" Type="http://schemas.openxmlformats.org/officeDocument/2006/relationships/hyperlink" Target="../../../../../:i:/s/AdvancedSurfacePlatingApS/Ec4q7JNmgaxOikPNPUx9wZwBuJwy7i2TGn3BvmBj59n59A?e=IYLbKJ" TargetMode="External"/><Relationship Id="rId35" Type="http://schemas.openxmlformats.org/officeDocument/2006/relationships/hyperlink" Target="../../../../../:i:/s/AdvancedSurfacePlatingApS/EQ6cphaQ92tBnXbrI1asnwgB3Ji4XF0ISNKTebDN8YJX1w?e=JvokwU" TargetMode="External"/><Relationship Id="rId43" Type="http://schemas.openxmlformats.org/officeDocument/2006/relationships/hyperlink" Target="../../../../../:i:/s/AdvancedSurfacePlatingApS/EXT6hv3o3MVOmHgcYVg9OOYBzzImiLMOqlt9g-_gjXv3Gg?e=Ds8p7M" TargetMode="External"/><Relationship Id="rId8" Type="http://schemas.openxmlformats.org/officeDocument/2006/relationships/hyperlink" Target="../../../../../:i:/s/AdvancedSurfacePlatingApS/Ea-Yl_bpBdpEu2jUNFgP3GYBOTxOpSBF6I1HCYUTMyX_JQ?e=Wg95Z7" TargetMode="External"/><Relationship Id="rId3" Type="http://schemas.openxmlformats.org/officeDocument/2006/relationships/hyperlink" Target="../../../../../:i:/s/AdvancedSurfacePlatingApS/EcrWow-x8s9En9b7IPOIZ1YBc4AbayLutFWhqSz1BJoyOg?e=kVicWX" TargetMode="External"/><Relationship Id="rId12" Type="http://schemas.openxmlformats.org/officeDocument/2006/relationships/hyperlink" Target="../../../../../:i:/s/AdvancedSurfacePlatingApS/EUnZdOIMCZ1Out2UJyHp3eEBDTKx0oXiZNLinCvunS_E5A?e=eR1cbY" TargetMode="External"/><Relationship Id="rId17" Type="http://schemas.openxmlformats.org/officeDocument/2006/relationships/hyperlink" Target="../../../../../:i:/s/AdvancedSurfacePlatingApS/EaE_gqd0vAlOuO-1_58RH48Bger9oGAsLCvlZCd0HWtS-g?e=Rfp6HK" TargetMode="External"/><Relationship Id="rId25" Type="http://schemas.openxmlformats.org/officeDocument/2006/relationships/hyperlink" Target="../../../../../:i:/s/AdvancedSurfacePlatingApS/EcbdueU9a55Flydsd5XOhhoBu2Hc_AWAHpZ4YuNgj_7qVw?e=KZTkpK" TargetMode="External"/><Relationship Id="rId33" Type="http://schemas.openxmlformats.org/officeDocument/2006/relationships/hyperlink" Target="../../../../../:i:/s/AdvancedSurfacePlatingApS/EYXJSXUt3flGiy3FCKdjeuMBV2Ywq3FW6wSOM9C4VekFYA?e=ard4XI" TargetMode="External"/><Relationship Id="rId38" Type="http://schemas.openxmlformats.org/officeDocument/2006/relationships/hyperlink" Target="../../../../../:i:/s/AdvancedSurfacePlatingApS/EQdWlE8xhIBEqW70-1u-UNEB41aZ8AvvN1rKL_QjHB4U_g?e=93K2rD"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i:/s/AdvancedSurfacePlatingApS/EZ0OgHEgz8VFihYzCJ_LqT8B55H4rUSCErmVYvBj-lgRdA?e=BrO5VE" TargetMode="External"/><Relationship Id="rId13" Type="http://schemas.openxmlformats.org/officeDocument/2006/relationships/hyperlink" Target="../../../../../:i:/s/AdvancedSurfacePlatingApS/ERem1JQkmG9Kg1bufV_DxacBB6JeHtsWG9CM2VgCMveTDw?e=9LjCsF" TargetMode="External"/><Relationship Id="rId18" Type="http://schemas.openxmlformats.org/officeDocument/2006/relationships/hyperlink" Target="../../../../../:i:/s/AdvancedSurfacePlatingApS/EXmY8pP-j2VFiFdQD837xFABEmD_IDmGI3mW9x9YNmRNww?e=nWXbUW" TargetMode="External"/><Relationship Id="rId3" Type="http://schemas.openxmlformats.org/officeDocument/2006/relationships/hyperlink" Target="../../../../../:i:/s/AdvancedSurfacePlatingApS/EV0CvAhbbwxErUR22a6QKh8BAY8tfiQlVFKIhu0QCQ9JrQ?e=fg5h8g" TargetMode="External"/><Relationship Id="rId21" Type="http://schemas.openxmlformats.org/officeDocument/2006/relationships/hyperlink" Target="../../../../../:i:/s/AdvancedSurfacePlatingApS/EbSm5pa-hQRCosOJyg-d0nsB43-LMC9No7zqrBYfxIoCSA?e=2nMoxq" TargetMode="External"/><Relationship Id="rId7" Type="http://schemas.openxmlformats.org/officeDocument/2006/relationships/hyperlink" Target="../../../../../:i:/s/AdvancedSurfacePlatingApS/ESDaqgeC6YBIp2YoYSIO_pYBtacrFgbyKLNPVCMYWszoYg?e=kbBgrr" TargetMode="External"/><Relationship Id="rId12" Type="http://schemas.openxmlformats.org/officeDocument/2006/relationships/hyperlink" Target="../../../../../:i:/s/AdvancedSurfacePlatingApS/EYw_fvaFE1VCrA6zzorc_QcByvL9o0F6dbptne9fXE6DRg?e=cLQuwr" TargetMode="External"/><Relationship Id="rId17" Type="http://schemas.openxmlformats.org/officeDocument/2006/relationships/hyperlink" Target="../../../../../:i:/s/AdvancedSurfacePlatingApS/EfJX072c5thPsZVnhlmsDesBN5xoqr1nCmNR47D5UfFGEw?e=khTlhv" TargetMode="External"/><Relationship Id="rId25" Type="http://schemas.openxmlformats.org/officeDocument/2006/relationships/hyperlink" Target="../../../../../:i:/s/AdvancedSurfacePlatingApS/ERp0pcouTphAkQO2rfzpW9EBeoArH-4KEHaqnMneunalhA?e=mqKc1C" TargetMode="External"/><Relationship Id="rId2" Type="http://schemas.openxmlformats.org/officeDocument/2006/relationships/hyperlink" Target="../../../../../:i:/s/AdvancedSurfacePlatingApS/EfOr2rASyVhLjHI_ywErwRABnksO0jvYs_ZKM5Wh_dudwQ?e=mIdMgq" TargetMode="External"/><Relationship Id="rId16" Type="http://schemas.openxmlformats.org/officeDocument/2006/relationships/hyperlink" Target="../../../../../:i:/s/AdvancedSurfacePlatingApS/Eb5_GA905MNMvHj7G8XpbXcB9fTfornjLM5TFA0U0QNk-A?e=h9AjqA" TargetMode="External"/><Relationship Id="rId20" Type="http://schemas.openxmlformats.org/officeDocument/2006/relationships/hyperlink" Target="../../../../../:i:/s/AdvancedSurfacePlatingApS/EYx9EyFJaiRErFeii4bFjxQBbqv8C18g1xuyRVyItAExRQ?e=xpUUwM" TargetMode="External"/><Relationship Id="rId1" Type="http://schemas.openxmlformats.org/officeDocument/2006/relationships/hyperlink" Target="../../../../../:i:/s/AdvancedSurfacePlatingApS/EYbAIV6XLztOgJpDvF_GPxsBaWlrysSFbtohKZg53LMidQ?e=9fU9h8" TargetMode="External"/><Relationship Id="rId6" Type="http://schemas.openxmlformats.org/officeDocument/2006/relationships/hyperlink" Target="../../../../../:i:/s/AdvancedSurfacePlatingApS/EcbO73wnPXtFmMZ0mXwwSIMByi7_Na76D431ys4SIGd4_g?e=RKvxxx" TargetMode="External"/><Relationship Id="rId11" Type="http://schemas.openxmlformats.org/officeDocument/2006/relationships/hyperlink" Target="../../../../../:i:/s/AdvancedSurfacePlatingApS/Eejy1V0JZHBNpCU0coaHwukBKLqziOo7mJVO_7sxAobqSA?e=Qy37Cc" TargetMode="External"/><Relationship Id="rId24" Type="http://schemas.openxmlformats.org/officeDocument/2006/relationships/hyperlink" Target="../../../../../:i:/s/AdvancedSurfacePlatingApS/Ee5fhvJ3YnlEhOK75sHM5_kBddYzY3NGVeJO9bmihEt_qw?e=agBG4C" TargetMode="External"/><Relationship Id="rId5" Type="http://schemas.openxmlformats.org/officeDocument/2006/relationships/hyperlink" Target="../../../../../:i:/s/AdvancedSurfacePlatingApS/Ea_LbacYShJJtTPyAaxY4Y8B1WdIdh5Wqd2kQS-iem5TKA?e=upOaaT" TargetMode="External"/><Relationship Id="rId15" Type="http://schemas.openxmlformats.org/officeDocument/2006/relationships/hyperlink" Target="../../../../../:i:/s/AdvancedSurfacePlatingApS/EbgLj8UL0oxHtUkWPEhtLN0Bl9mov_QLtBrhA7s2uFGCbg?e=Yzdz1R" TargetMode="External"/><Relationship Id="rId23" Type="http://schemas.openxmlformats.org/officeDocument/2006/relationships/hyperlink" Target="../../../../../:i:/s/AdvancedSurfacePlatingApS/EYHtdGL4EoVErbwQk0LD3DkBjT1UUXJ1KnrhQPT4FpUjuA?e=51QJ5I" TargetMode="External"/><Relationship Id="rId10" Type="http://schemas.openxmlformats.org/officeDocument/2006/relationships/hyperlink" Target="../../../../../:i:/s/AdvancedSurfacePlatingApS/ETvfmDUVmANOnWfLrPfziG8BhhdWZBB8g_-K8mZu9UhrVw?e=mrcDPJ" TargetMode="External"/><Relationship Id="rId19" Type="http://schemas.openxmlformats.org/officeDocument/2006/relationships/hyperlink" Target="../../../../../:i:/s/AdvancedSurfacePlatingApS/EYmPrRwHRppHmy5V6RzkqHoBDhzRRPIvFZe1QgA2dKMZYA?e=P9Jdoe" TargetMode="External"/><Relationship Id="rId4" Type="http://schemas.openxmlformats.org/officeDocument/2006/relationships/hyperlink" Target="../../../../../:i:/s/AdvancedSurfacePlatingApS/ET6hzQhaTXtOr_P9QFNhrdoB1gznmr79-KIRM9gKyC5ZCA?e=4fV8ZW" TargetMode="External"/><Relationship Id="rId9" Type="http://schemas.openxmlformats.org/officeDocument/2006/relationships/hyperlink" Target="../../../../../:i:/s/AdvancedSurfacePlatingApS/ET_DtTuezHBJtW5K-e8HTAQBSmwj17olf3-jf9M2cvaTyA?e=Xh1hfZ" TargetMode="External"/><Relationship Id="rId14" Type="http://schemas.openxmlformats.org/officeDocument/2006/relationships/hyperlink" Target="../../../../../:i:/s/AdvancedSurfacePlatingApS/EQmSPAzWaZJLnJaLSRC386IBznasW642kZjQdZGeBPoqxw?e=aLJtVn" TargetMode="External"/><Relationship Id="rId22" Type="http://schemas.openxmlformats.org/officeDocument/2006/relationships/hyperlink" Target="../../../../../:i:/s/AdvancedSurfacePlatingApS/EQ2vaMXlkJFMnjawBiB4yBkBKQJmg31Iwnpadmxd5AsIDg?e=tkhdaO"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i:/s/AdvancedSurfacePlatingApS/Eau1_0_XqIFNuCCUnXTNXoYBBADOZNNA-gpktAaerS2tiw?e=0Ym0er" TargetMode="External"/><Relationship Id="rId2" Type="http://schemas.openxmlformats.org/officeDocument/2006/relationships/hyperlink" Target="../../../../../:i:/s/AdvancedSurfacePlatingApS/Ee7kYe1H3ldEidzzeMbf5w8Bx5t08CToXaAC_0DjE2vPsg?e=PiVf0c" TargetMode="External"/><Relationship Id="rId1" Type="http://schemas.openxmlformats.org/officeDocument/2006/relationships/hyperlink" Target="../../../../../:i:/s/AdvancedSurfacePlatingApS/ES-yu2e1P2JMqOYPR24APvcBI8w7vzh9x8jzSB0989VOgw?e=huXSAh" TargetMode="External"/><Relationship Id="rId4" Type="http://schemas.openxmlformats.org/officeDocument/2006/relationships/hyperlink" Target="../../../../../:i:/s/AdvancedSurfacePlatingApS/ESS1fTy717RKsLcOUOqhE_0BIqYYxuuSf9jRC6fG3KyVgA?e=Jd0Q4w"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i:/s/AdvancedSurfacePlatingApS/EVxtEJ7aCIRJmS4BswHPpr8B7Thf1ZotFR9yDhlYoen93A?e=nL2yC1" TargetMode="External"/><Relationship Id="rId21" Type="http://schemas.openxmlformats.org/officeDocument/2006/relationships/hyperlink" Target="../../../../../:i:/s/AdvancedSurfacePlatingApS/EXT0rwjb5fZPhhe5dJlGrC8B1WSYa_5NBaVzj8ixStKKaA?e=QIdfEf" TargetMode="External"/><Relationship Id="rId42" Type="http://schemas.openxmlformats.org/officeDocument/2006/relationships/hyperlink" Target="../../../../../:i:/s/AdvancedSurfacePlatingApS/Ea-wdNqn8wRLu9Qnn29e7oUBbmX0W0zwJf0NGY6MUv5KAw?e=zcLGML" TargetMode="External"/><Relationship Id="rId47" Type="http://schemas.openxmlformats.org/officeDocument/2006/relationships/hyperlink" Target="../../../../../:i:/s/AdvancedSurfacePlatingApS/Ebumiu-pMedLi28-7g_U81UBZj3kF9xRA3bO8SH5fHCrNw?e=uplj4Q" TargetMode="External"/><Relationship Id="rId63" Type="http://schemas.openxmlformats.org/officeDocument/2006/relationships/hyperlink" Target="../../../../../:f:/s/AdvancedSurfacePlatingApS/EmXt849G7UlkyOqcC9fJSiwBSyXuaED7tPdgLw4FMIC08w?e=XN5i5K" TargetMode="External"/><Relationship Id="rId68" Type="http://schemas.openxmlformats.org/officeDocument/2006/relationships/hyperlink" Target="../../../../../:f:/s/AdvancedSurfacePlatingApS/EuP6622q0iVmScGdRBPcavYBQTU6nDGvxONBRitf7XOYyg?e=QwqhjB" TargetMode="External"/><Relationship Id="rId84" Type="http://schemas.openxmlformats.org/officeDocument/2006/relationships/hyperlink" Target="../../../../../:f:/s/AdvancedSurfacePlatingApS/ElYrUbr4HTJAmId6RIFV4ooB2VJo9nqiCx_vznORDEYfug?e=EWYgLR" TargetMode="External"/><Relationship Id="rId89" Type="http://schemas.openxmlformats.org/officeDocument/2006/relationships/hyperlink" Target="../../../../../:f:/s/AdvancedSurfacePlatingApS/EpBUcT_3XcF_BB9LvnFxAB8BHovMOd_U5QBjYXo4JyIIBQ?e=rPxyLR" TargetMode="External"/><Relationship Id="rId16" Type="http://schemas.openxmlformats.org/officeDocument/2006/relationships/hyperlink" Target="../../../../../:i:/s/AdvancedSurfacePlatingApS/Ef9GSUY4yXhIu_kaR4FwsmMBFFreNwX4Vpabbqbq2W67oA?e=9SNseg" TargetMode="External"/><Relationship Id="rId11" Type="http://schemas.openxmlformats.org/officeDocument/2006/relationships/hyperlink" Target="../../../../../:i:/s/AdvancedSurfacePlatingApS/Ee_Z4BxQBxhOpS9xzRBGxecBOetjzYoDUza5RxgUKrl01w?e=kjhcFq" TargetMode="External"/><Relationship Id="rId32" Type="http://schemas.openxmlformats.org/officeDocument/2006/relationships/hyperlink" Target="../../../../../:i:/s/AdvancedSurfacePlatingApS/EXcAVaUmnu1Ah8Wmfb2LWJ8BWWXyQTySpQLAUBDggm9QKg?e=6aeGMf" TargetMode="External"/><Relationship Id="rId37" Type="http://schemas.openxmlformats.org/officeDocument/2006/relationships/hyperlink" Target="../../../../../:i:/s/AdvancedSurfacePlatingApS/EYsauDA_W0VPo4mMlBGWVZIBSuoTCDiwYtXkkVSPv7a1ZQ?e=r6PJV3" TargetMode="External"/><Relationship Id="rId53" Type="http://schemas.openxmlformats.org/officeDocument/2006/relationships/hyperlink" Target="../../../../../:f:/s/AdvancedSurfacePlatingApS/EoIULgPyDK-stOEj4_Vy2CEBIT2j_5piccrkcAWPZRGtjg?e=oRODSe" TargetMode="External"/><Relationship Id="rId58" Type="http://schemas.openxmlformats.org/officeDocument/2006/relationships/hyperlink" Target="../../../../../:f:/s/AdvancedSurfacePlatingApS/Epbz795EJ9BKnjXzqKflwmsBqJNenl5omRaupmqGnWOgIQ?e=ubX5mj" TargetMode="External"/><Relationship Id="rId74" Type="http://schemas.openxmlformats.org/officeDocument/2006/relationships/hyperlink" Target="../../../../../:f:/s/AdvancedSurfacePlatingApS/EkyxidDjX6dMhXJnMAVVbbkB5q5CBt69qqgAHeLVETIOyA?e=kWa7bY" TargetMode="External"/><Relationship Id="rId79" Type="http://schemas.openxmlformats.org/officeDocument/2006/relationships/hyperlink" Target="../../../../../:f:/s/AdvancedSurfacePlatingApS/EtVlwdEIfzabyQ6oZI0ukg4BcOODluD0k-xrDPW_DN151w?e=nfPEvD" TargetMode="External"/><Relationship Id="rId5" Type="http://schemas.openxmlformats.org/officeDocument/2006/relationships/hyperlink" Target="../../../../../:i:/s/AdvancedSurfacePlatingApS/EWluxRPY6IpNuSh-gHHigw0BBKQ7osH-ViBnSsMfZA9rVA?e=jFGCjL" TargetMode="External"/><Relationship Id="rId90" Type="http://schemas.openxmlformats.org/officeDocument/2006/relationships/hyperlink" Target="../../../../../:x:/s/AdvancedSurfacePlatingApS/EbVWPle_nZ2WzBUF_m_Nr3YBf6_5oHDQT_WBG5WVsccmXQ?e=cRfRuu" TargetMode="External"/><Relationship Id="rId95" Type="http://schemas.openxmlformats.org/officeDocument/2006/relationships/hyperlink" Target="../../../../../:i:/s/AdvancedSurfacePlatingApS/EbUCPJX206FPsDSOokWplEgBZ39XUGyiuQawjuE7QZ_QXg?e=iU2vON" TargetMode="External"/><Relationship Id="rId22" Type="http://schemas.openxmlformats.org/officeDocument/2006/relationships/hyperlink" Target="../../../../../:i:/s/AdvancedSurfacePlatingApS/EXI-r2BN2SNAl33d7Ixbhc8B7MKUtvUfxEdVOhyXuiVqOA?e=sugxIv" TargetMode="External"/><Relationship Id="rId27" Type="http://schemas.openxmlformats.org/officeDocument/2006/relationships/hyperlink" Target="../../../../../:i:/s/AdvancedSurfacePlatingApS/EWhcuilklh9DhF1IaskaeXMBoy4oLuO1nsMoDPyVdwXKfg?e=QNdXOF" TargetMode="External"/><Relationship Id="rId43" Type="http://schemas.openxmlformats.org/officeDocument/2006/relationships/hyperlink" Target="../../../../../:i:/s/AdvancedSurfacePlatingApS/ESzof7WQJXpBtp5m9mO9D-ABXYXSqp9wf_N-a2PpXsDkxg?e=WAGVDL" TargetMode="External"/><Relationship Id="rId48" Type="http://schemas.openxmlformats.org/officeDocument/2006/relationships/hyperlink" Target="../../../../../:i:/s/AdvancedSurfacePlatingApS/ET2ERQzU4oVHt3yyWTN8x6oBvK-UiG3eFclle3K4UQb6Bg?e=VYIZ4l" TargetMode="External"/><Relationship Id="rId64" Type="http://schemas.openxmlformats.org/officeDocument/2006/relationships/hyperlink" Target="../../../../../:f:/s/AdvancedSurfacePlatingApS/En9XTi4uJhX4VwpG3iaxZS0BnKx9KChSSkKBcF--pK2lRg?e=GUvoWU" TargetMode="External"/><Relationship Id="rId69" Type="http://schemas.openxmlformats.org/officeDocument/2006/relationships/hyperlink" Target="../../../../../:f:/s/AdvancedSurfacePlatingApS/EpXtS3JnhAL74PC1fYujva4BEkGTkx6id0zqQy8SgdYKIg?e=bboN00" TargetMode="External"/><Relationship Id="rId80" Type="http://schemas.openxmlformats.org/officeDocument/2006/relationships/hyperlink" Target="../../../../../:f:/s/AdvancedSurfacePlatingApS/ErzVyL5H4AStIbSTFFdB90EB4-P9VZxNgRdc2KLi9i4QjA?e=vYhc1y" TargetMode="External"/><Relationship Id="rId85" Type="http://schemas.openxmlformats.org/officeDocument/2006/relationships/hyperlink" Target="../../../../../:f:/s/AdvancedSurfacePlatingApS/Etbggnd4DjCF1UiZorjgVeMBi1lgMYKdlnjoY_Q4VZK90A?e=5HBdH8" TargetMode="External"/><Relationship Id="rId3" Type="http://schemas.openxmlformats.org/officeDocument/2006/relationships/hyperlink" Target="../../../../../:i:/s/AdvancedSurfacePlatingApS/EbHhYqY4rThCg6clNmGzarsBQfqOT8FZwMiBERUCfukzFQ?e=bQNJpX" TargetMode="External"/><Relationship Id="rId12" Type="http://schemas.openxmlformats.org/officeDocument/2006/relationships/hyperlink" Target="../../../../../:i:/s/AdvancedSurfacePlatingApS/EbfyaMcpIJdBt3rZDLQJV0gBw82935RcoEwCVRBEiRBS4g?e=dThSoi" TargetMode="External"/><Relationship Id="rId17" Type="http://schemas.openxmlformats.org/officeDocument/2006/relationships/hyperlink" Target="../../../../../:i:/s/AdvancedSurfacePlatingApS/EX55fQP7LtpKojBIKfVTKBUB0r1eBp0U8NR7-zZ6zAV8wg?e=QahgYw" TargetMode="External"/><Relationship Id="rId25" Type="http://schemas.openxmlformats.org/officeDocument/2006/relationships/hyperlink" Target="../../../../../:i:/s/AdvancedSurfacePlatingApS/EatRN2NHtxFLuxLUHX6ricoBLq_5rt0xP_T3ZwuC8YCkWw?e=a73BvO" TargetMode="External"/><Relationship Id="rId33" Type="http://schemas.openxmlformats.org/officeDocument/2006/relationships/hyperlink" Target="../../../../../:i:/s/AdvancedSurfacePlatingApS/ESzAsFbGbVtHp3ugWXwdU0cBsOOdjVOd3UMscE-AvSG-eg?e=PLm5ij" TargetMode="External"/><Relationship Id="rId38" Type="http://schemas.openxmlformats.org/officeDocument/2006/relationships/hyperlink" Target="../../../../../:i:/s/AdvancedSurfacePlatingApS/EcnNf1s0hzhGltqGGBMW_BwB60nivJFNA6CYw9eXNgVqvQ?e=9GfLEA" TargetMode="External"/><Relationship Id="rId46" Type="http://schemas.openxmlformats.org/officeDocument/2006/relationships/hyperlink" Target="../../../../../:i:/s/AdvancedSurfacePlatingApS/EaeOpY9u179Krt2flktjM84BPO1DOrx8r4poX01VQV3yLg?e=0AXhzu" TargetMode="External"/><Relationship Id="rId59" Type="http://schemas.openxmlformats.org/officeDocument/2006/relationships/hyperlink" Target="../../../../../:f:/s/AdvancedSurfacePlatingApS/EiLuW1CO1S1m5GGshbpn4qsBBYOZuhgnyGr4h7J99Cl6Wg?e=jJdWr4" TargetMode="External"/><Relationship Id="rId67" Type="http://schemas.openxmlformats.org/officeDocument/2006/relationships/hyperlink" Target="../../../../../:f:/s/AdvancedSurfacePlatingApS/Eobh594G7gBqxNPm5O6_ySABmr4MbGHZhgV6fvw_mgm9IA?e=SfvqN6" TargetMode="External"/><Relationship Id="rId20" Type="http://schemas.openxmlformats.org/officeDocument/2006/relationships/hyperlink" Target="../../../../../:i:/s/AdvancedSurfacePlatingApS/EVb9R6uPC0JLhdqN8tOpNSQBXclEiZng6NwSIShj42Abrg?e=Pjx6C9" TargetMode="External"/><Relationship Id="rId41" Type="http://schemas.openxmlformats.org/officeDocument/2006/relationships/hyperlink" Target="../../../../../:i:/s/AdvancedSurfacePlatingApS/EdzhV4KveudKs4N9cAL9mXABfNrZgu3MPVBrVGcvMLa1xg?e=2Ov0bj" TargetMode="External"/><Relationship Id="rId54" Type="http://schemas.openxmlformats.org/officeDocument/2006/relationships/hyperlink" Target="../../../../../:f:/s/AdvancedSurfacePlatingApS/Eoo3Zwu3pRPy9v2_WFyPA78BBnyHGz-YlKRghPgkh1hQlw?e=fHMU6A" TargetMode="External"/><Relationship Id="rId62" Type="http://schemas.openxmlformats.org/officeDocument/2006/relationships/hyperlink" Target="../../../../../:f:/s/AdvancedSurfacePlatingApS/ElwMuXH7Ha7RpYHrHh2o8OAB7W2yMDFdMdmRB5H221NEng?e=9NeySP" TargetMode="External"/><Relationship Id="rId70" Type="http://schemas.openxmlformats.org/officeDocument/2006/relationships/hyperlink" Target="../../../../../:f:/s/AdvancedSurfacePlatingApS/ElbTnAt6p8c8kocG5Hzg7RgBuEVoWGFLE4ENJpR3Wab2_Q?e=3cXSeN" TargetMode="External"/><Relationship Id="rId75" Type="http://schemas.openxmlformats.org/officeDocument/2006/relationships/hyperlink" Target="../../../../../:f:/s/AdvancedSurfacePlatingApS/EgkjnqNzn5OZKlZd2dcIspcBejYxqKItSWxgpceQdjGl9Q?e=p01Ztl" TargetMode="External"/><Relationship Id="rId83" Type="http://schemas.openxmlformats.org/officeDocument/2006/relationships/hyperlink" Target="../../../../../:f:/s/AdvancedSurfacePlatingApS/EvcS9_wdqnsTHlUnqO1Rir0BPQFXLZ1nlSDm_eeEr4FwzA?e=EbglCD" TargetMode="External"/><Relationship Id="rId88" Type="http://schemas.openxmlformats.org/officeDocument/2006/relationships/hyperlink" Target="../../../../../:f:/s/AdvancedSurfacePlatingApS/Egw7WuObQ7T0ZUcsy-i_ZVIBNQ5ysudwtYA0u_tjmI6Oig?e=bVsOaV" TargetMode="External"/><Relationship Id="rId91" Type="http://schemas.openxmlformats.org/officeDocument/2006/relationships/hyperlink" Target="../../../../../:i:/s/AdvancedSurfacePlatingApS/EWtB1ATEJTVNrlHKARrG5JUBLQymewQ9sg6_zRBOs6KRdA?e=XG2piT" TargetMode="External"/><Relationship Id="rId96" Type="http://schemas.openxmlformats.org/officeDocument/2006/relationships/hyperlink" Target="../../../../../:i:/s/AdvancedSurfacePlatingApS/Ee7VgmN44eFFmZb4rAaaqygBBUOXTqd7sD5R9wZ88CU8KA?e=jTO4xC" TargetMode="External"/><Relationship Id="rId1" Type="http://schemas.openxmlformats.org/officeDocument/2006/relationships/hyperlink" Target="../../../../../:i:/s/AdvancedSurfacePlatingApS/EVky0Z0pXKVOpC-SxjAyOnwBE616OiwXKM9_0DOdr68vYg?e=TuWio6" TargetMode="External"/><Relationship Id="rId6" Type="http://schemas.openxmlformats.org/officeDocument/2006/relationships/hyperlink" Target="../../../../../:i:/s/AdvancedSurfacePlatingApS/EaGibhhsuDVFso5VNx9i5aMBo_YXGT8RIBOmN-xgybZ2mQ?e=uqVZxO" TargetMode="External"/><Relationship Id="rId15" Type="http://schemas.openxmlformats.org/officeDocument/2006/relationships/hyperlink" Target="../../../../../:i:/s/AdvancedSurfacePlatingApS/Ed-KYXXoIJtKjuVCrNEeINIBgCvJmDhj9ZXTKI4jE1VmFw?e=IDqubm" TargetMode="External"/><Relationship Id="rId23" Type="http://schemas.openxmlformats.org/officeDocument/2006/relationships/hyperlink" Target="../../../../../:i:/s/AdvancedSurfacePlatingApS/EYLO2CEuAaNJuyvABeZI2agBLSHhVGJPiOrI8KFh58Rq8Q?e=fLTimF" TargetMode="External"/><Relationship Id="rId28" Type="http://schemas.openxmlformats.org/officeDocument/2006/relationships/hyperlink" Target="../../../../../:i:/s/AdvancedSurfacePlatingApS/EWC1xkrJbA5PhcEP197_XeUBDe6M5tZfUibGIMdfK_l23A?e=QuqPOa" TargetMode="External"/><Relationship Id="rId36" Type="http://schemas.openxmlformats.org/officeDocument/2006/relationships/hyperlink" Target="../../../../../:i:/s/AdvancedSurfacePlatingApS/EW-PuWaJVyVGvhak5T6JWT4Bnyh6yI3JgDQMCj6iHNLY0g?e=Jhe4Sa" TargetMode="External"/><Relationship Id="rId49" Type="http://schemas.openxmlformats.org/officeDocument/2006/relationships/hyperlink" Target="../../../../../:i:/s/AdvancedSurfacePlatingApS/EXhFf-p1mflJs1MCzB3w8YgBUZIB2sWAhtGBsNIKVLbiJg?e=zhiqqr" TargetMode="External"/><Relationship Id="rId57" Type="http://schemas.openxmlformats.org/officeDocument/2006/relationships/hyperlink" Target="../../../../../:f:/s/AdvancedSurfacePlatingApS/Esc8H4bQ0Np0s3EX_RLxW6cBKQ4UByljgZqaZnvSDKIDsQ?e=8DO9xz" TargetMode="External"/><Relationship Id="rId10" Type="http://schemas.openxmlformats.org/officeDocument/2006/relationships/hyperlink" Target="../../../../../:i:/s/AdvancedSurfacePlatingApS/EXzFaugjMtxPp-ID37gM6qIBV-0-929Sc9lRaKw1wnIrBg?e=6wAPx1" TargetMode="External"/><Relationship Id="rId31" Type="http://schemas.openxmlformats.org/officeDocument/2006/relationships/hyperlink" Target="../../../../../:i:/s/AdvancedSurfacePlatingApS/EVZtbWKw5ENKmeiJ7imcfdgBBMVFour8vsTWjQ_NlhKWzA?e=Rggege" TargetMode="External"/><Relationship Id="rId44" Type="http://schemas.openxmlformats.org/officeDocument/2006/relationships/hyperlink" Target="../../../../../:i:/s/AdvancedSurfacePlatingApS/EWNAvEfyTKtAtkUvLg-2kcwByjbjfjtQWGWQTIGjrfrzMQ?e=Rnk4y3" TargetMode="External"/><Relationship Id="rId52" Type="http://schemas.openxmlformats.org/officeDocument/2006/relationships/hyperlink" Target="../../../../../:f:/s/AdvancedSurfacePlatingApS/EgbjWJEdj2z9UJmqFkgXbyoBuI-crO9O4oqfppW0YaZdcQ?e=l5L74O" TargetMode="External"/><Relationship Id="rId60" Type="http://schemas.openxmlformats.org/officeDocument/2006/relationships/hyperlink" Target="../../../../../:f:/s/AdvancedSurfacePlatingApS/Ek_dze_2HI1pNNhw8eXZ5wgBFgTubyeC1piX6DN2LHkR4g?e=xaeyEp" TargetMode="External"/><Relationship Id="rId65" Type="http://schemas.openxmlformats.org/officeDocument/2006/relationships/hyperlink" Target="../../../../../:f:/s/AdvancedSurfacePlatingApS/EowRglieHJcDnlrJgVnc1swB2MDxt-JpBZ_nkdQhKfNLag?e=flQhdv" TargetMode="External"/><Relationship Id="rId73" Type="http://schemas.openxmlformats.org/officeDocument/2006/relationships/hyperlink" Target="../../../../../:f:/s/AdvancedSurfacePlatingApS/EvQUf-jAnVVDnzTlwRdb2BcBq_JKjGjlym38uMBELvC2Ng?e=l5JkKd" TargetMode="External"/><Relationship Id="rId78" Type="http://schemas.openxmlformats.org/officeDocument/2006/relationships/hyperlink" Target="../../../../../:f:/s/AdvancedSurfacePlatingApS/EsxgsGD0vQ15D6uN6ueFQjgBkt1wp21JZLnPdX3Ms7U-TQ?e=8dj1Oc" TargetMode="External"/><Relationship Id="rId81" Type="http://schemas.openxmlformats.org/officeDocument/2006/relationships/hyperlink" Target="../../../../../:f:/s/AdvancedSurfacePlatingApS/Er5Xode6ZrmLRdhuQ_lOmWkBr7patZ4lxyyj9FRFcq4Vbw?e=6WVG55" TargetMode="External"/><Relationship Id="rId86" Type="http://schemas.openxmlformats.org/officeDocument/2006/relationships/hyperlink" Target="../../../../../:f:/s/AdvancedSurfacePlatingApS/ElbwlnquJ7hEmjMycjxiclAB4TAdk5Kqdb4RL7X9ZDk91w?e=RzEDNb" TargetMode="External"/><Relationship Id="rId94" Type="http://schemas.openxmlformats.org/officeDocument/2006/relationships/hyperlink" Target="../../../../../:i:/s/AdvancedSurfacePlatingApS/Eah4fDelLs5Pm7666EBmm2UBYLvdri5pRttGxwgg6Htehw?e=pkMelS" TargetMode="External"/><Relationship Id="rId4" Type="http://schemas.openxmlformats.org/officeDocument/2006/relationships/hyperlink" Target="../../../../../:i:/s/AdvancedSurfacePlatingApS/EYrDicTKkDFGposQCOBR4ksBH35lGDE5B3StxdQhSA--zA?e=BNK2b9" TargetMode="External"/><Relationship Id="rId9" Type="http://schemas.openxmlformats.org/officeDocument/2006/relationships/hyperlink" Target="../../../../../:i:/s/AdvancedSurfacePlatingApS/EYDx5Bt_WSNMrR3Xo2zZI0IB71hB_Xn6qGBzvmt5-sjHtQ?e=yWtQa9" TargetMode="External"/><Relationship Id="rId13" Type="http://schemas.openxmlformats.org/officeDocument/2006/relationships/hyperlink" Target="../../../../../:i:/s/AdvancedSurfacePlatingApS/EQ3INSsIRL5KtmvVsuUeWaEBlQXal7ezUAEQFO-stg2z_Q?e=twgBPL" TargetMode="External"/><Relationship Id="rId18" Type="http://schemas.openxmlformats.org/officeDocument/2006/relationships/hyperlink" Target="../../../../../:i:/s/AdvancedSurfacePlatingApS/EX8zJZNwuU5OoSqjBwMnpuoBu4AYvdQcj7-XKPAowEUrZw?e=zAWGfb" TargetMode="External"/><Relationship Id="rId39" Type="http://schemas.openxmlformats.org/officeDocument/2006/relationships/hyperlink" Target="../../../../../:i:/s/AdvancedSurfacePlatingApS/EWBoudGzzpFLs6lEKVkXnsgBK89zfCNPDIk6G3pC80wu7w?e=LOLaPt" TargetMode="External"/><Relationship Id="rId34" Type="http://schemas.openxmlformats.org/officeDocument/2006/relationships/hyperlink" Target="../../../../../:i:/s/AdvancedSurfacePlatingApS/EZ8WhDVkm-dLqSGZl1JrgaMBjb0TprZg2uG3oCycFFIhJA?e=Hce3iU" TargetMode="External"/><Relationship Id="rId50" Type="http://schemas.openxmlformats.org/officeDocument/2006/relationships/hyperlink" Target="../../../../../:i:/s/AdvancedSurfacePlatingApS/EeYQWzBk8N5AgDWWad8eM5QBF0wH7RK3UWpgC463hIqkGw?e=kVpgR2" TargetMode="External"/><Relationship Id="rId55" Type="http://schemas.openxmlformats.org/officeDocument/2006/relationships/hyperlink" Target="../../../../../:f:/s/AdvancedSurfacePlatingApS/EhtJ0SIjNHYfD62SAarjZp8B-OUASbFvbXGZCR2vYvUEZg?e=QRCgnU" TargetMode="External"/><Relationship Id="rId76" Type="http://schemas.openxmlformats.org/officeDocument/2006/relationships/hyperlink" Target="../../../../../:f:/s/AdvancedSurfacePlatingApS/Ep34SsNQESHYPSz4f0h2NOIBLNLyshP5_t7UPwq6j0zoeg?e=Q7NlaS" TargetMode="External"/><Relationship Id="rId97" Type="http://schemas.openxmlformats.org/officeDocument/2006/relationships/hyperlink" Target="../../../../../:i:/s/AdvancedSurfacePlatingApS/ERrB8JMNF3hAgrSg2R0a_C8BqKrURiWfI0Vx9uY4O8XjFw?e=nJ3U75" TargetMode="External"/><Relationship Id="rId7" Type="http://schemas.openxmlformats.org/officeDocument/2006/relationships/hyperlink" Target="../../../../../:i:/s/AdvancedSurfacePlatingApS/EW-S0uLVwDdBu9ciPoU7l6sBGSNg3Wx5NCfyRDl5cuZ4iQ?e=RuDEtW" TargetMode="External"/><Relationship Id="rId71" Type="http://schemas.openxmlformats.org/officeDocument/2006/relationships/hyperlink" Target="../../../../../:f:/s/AdvancedSurfacePlatingApS/EqTGw2GCwiqfMVeMpurNnacBGTITb9gWsRtgZ9odMsjcow?e=p0lAs0" TargetMode="External"/><Relationship Id="rId92" Type="http://schemas.openxmlformats.org/officeDocument/2006/relationships/hyperlink" Target="../../../../../:i:/s/AdvancedSurfacePlatingApS/Ee4_1WyvPtVLh47G_7Qlp6AByNPQQ6teR8QBuinfPbYviQ?e=gADc2P" TargetMode="External"/><Relationship Id="rId2" Type="http://schemas.openxmlformats.org/officeDocument/2006/relationships/hyperlink" Target="../../../../../:i:/s/AdvancedSurfacePlatingApS/EdPFIJVgKBhOjopir_Y0fUMBLdVmxTwFDRjfXmBA_W96Rw?e=0fW6He" TargetMode="External"/><Relationship Id="rId29" Type="http://schemas.openxmlformats.org/officeDocument/2006/relationships/hyperlink" Target="../../../../../:i:/s/AdvancedSurfacePlatingApS/Eb8QCg--LiJNuZ1x_p8L9JABjpBX2fDZK_Vi3Yll6oIkWA?e=0YGPuA" TargetMode="External"/><Relationship Id="rId24" Type="http://schemas.openxmlformats.org/officeDocument/2006/relationships/hyperlink" Target="../../../../../:i:/s/AdvancedSurfacePlatingApS/EeRun5T96C5JhTWkUZWm0tEBHclyVWOqjiYMxDiAxa7G0A?e=ePTFGc" TargetMode="External"/><Relationship Id="rId40" Type="http://schemas.openxmlformats.org/officeDocument/2006/relationships/hyperlink" Target="../../../../../:i:/s/AdvancedSurfacePlatingApS/EbelJFZIUtpOpgzOavPMyG0BKD5dkPil5AbZyJ3QPYyd3g?e=g88Ktf" TargetMode="External"/><Relationship Id="rId45" Type="http://schemas.openxmlformats.org/officeDocument/2006/relationships/hyperlink" Target="../../../../../:i:/s/AdvancedSurfacePlatingApS/EfzCmOKCWnBDvOVdGi4o2akBzQNlhKdZKUvQWh38vbsFFw?e=YyIKAY" TargetMode="External"/><Relationship Id="rId66" Type="http://schemas.openxmlformats.org/officeDocument/2006/relationships/hyperlink" Target="../../../../../:f:/s/AdvancedSurfacePlatingApS/EtPFdMlPx6lGB2kFERFjukoB9D92OWgKc46str9TrjXPzA?e=kQK8JM" TargetMode="External"/><Relationship Id="rId87" Type="http://schemas.openxmlformats.org/officeDocument/2006/relationships/hyperlink" Target="../../../../../:f:/s/AdvancedSurfacePlatingApS/EnAfA-ow01A3qCg3IE219jIB5JQ0s5NGd1NLZ-wUCNbFIQ?e=lsFboB" TargetMode="External"/><Relationship Id="rId61" Type="http://schemas.openxmlformats.org/officeDocument/2006/relationships/hyperlink" Target="../../../../../:f:/s/AdvancedSurfacePlatingApS/Ekyw4PkllzFOWWhvnP5uHR8BpJUPd8NCYgMDwxFMMcIJVQ?e=8YShRA" TargetMode="External"/><Relationship Id="rId82" Type="http://schemas.openxmlformats.org/officeDocument/2006/relationships/hyperlink" Target="../../../../../:f:/s/AdvancedSurfacePlatingApS/El0DrQfSojnSrwpykSTiJQ0B6be-CGEHNmKrRcuFPTAwkg?e=5MMeP3" TargetMode="External"/><Relationship Id="rId19" Type="http://schemas.openxmlformats.org/officeDocument/2006/relationships/hyperlink" Target="../../../../../:i:/s/AdvancedSurfacePlatingApS/EdPkmOuZDD1Oiy_umRibkKABMUNxlJgvBt0CPKxaF6iNFg?e=oXbq4l" TargetMode="External"/><Relationship Id="rId14" Type="http://schemas.openxmlformats.org/officeDocument/2006/relationships/hyperlink" Target="../../../../../:i:/s/AdvancedSurfacePlatingApS/EQUaJ3b1TF9GoX4uMA5Nu5sBapztgdFxdahls_XcAONpkg?e=f3pGXR" TargetMode="External"/><Relationship Id="rId30" Type="http://schemas.openxmlformats.org/officeDocument/2006/relationships/hyperlink" Target="../../../../../:i:/s/AdvancedSurfacePlatingApS/EfZJWvUdeTxJushE0kC5BhIBSbu8xyn4TYskEC4oFs0GSg?e=Peekzt" TargetMode="External"/><Relationship Id="rId35" Type="http://schemas.openxmlformats.org/officeDocument/2006/relationships/hyperlink" Target="../../../../../:i:/s/AdvancedSurfacePlatingApS/EabLWiNJ_aZNlf9HVdMU_pwBO4OzN1utICMDVpajrso8LA?e=f3Stok" TargetMode="External"/><Relationship Id="rId56" Type="http://schemas.openxmlformats.org/officeDocument/2006/relationships/hyperlink" Target="../../../../../:f:/s/AdvancedSurfacePlatingApS/EqYSvglKM75s2wwoe2BNT78BgCbV2R8yb0ayPaVCirYlPw?e=X3GXZj" TargetMode="External"/><Relationship Id="rId77" Type="http://schemas.openxmlformats.org/officeDocument/2006/relationships/hyperlink" Target="../../../../../:f:/s/AdvancedSurfacePlatingApS/EgzMsuAvHhCcLsRJbjUKukcBU0xf9fkhW6RfacmU5Jm9sA?e=jhYTes" TargetMode="External"/><Relationship Id="rId8" Type="http://schemas.openxmlformats.org/officeDocument/2006/relationships/hyperlink" Target="../../../../../:i:/s/AdvancedSurfacePlatingApS/EZ0sanASQ6FOs-fcrfv-oQoBjM9xN_cMo4fkPYWq0OEjOw?e=5o5zXM" TargetMode="External"/><Relationship Id="rId51" Type="http://schemas.openxmlformats.org/officeDocument/2006/relationships/hyperlink" Target="../../../../../:i:/s/AdvancedSurfacePlatingApS/EbxBAZCm1xdJowIrkCU61T0Bz1OLjdDOs00lhM6YofGpoQ?e=5uc83I" TargetMode="External"/><Relationship Id="rId72" Type="http://schemas.openxmlformats.org/officeDocument/2006/relationships/hyperlink" Target="../../../../../:f:/s/AdvancedSurfacePlatingApS/Eu7wflq__m8NKUxm5WBpyVYBVM-YLpwfLnnrMcgrMvFsLg?e=tQwfDv" TargetMode="External"/><Relationship Id="rId93" Type="http://schemas.openxmlformats.org/officeDocument/2006/relationships/hyperlink" Target="../../../../../:i:/s/AdvancedSurfacePlatingApS/ERA-9759kNpPuZ0bjZyEovsBlJOw3tqfJuvP0TSbfHG74Q?e=Qgaaj2" TargetMode="External"/><Relationship Id="rId98" Type="http://schemas.openxmlformats.org/officeDocument/2006/relationships/hyperlink" Target="../../../../../:i:/s/AdvancedSurfacePlatingApS/EUvY25nAkRdHmecsFzH5EQMBHyrLrCYn00X7dGke4Kf5jA?e=whlG2f"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i:/s/AdvancedSurfacePlatingApS/EfLXXCFXq95FsaRGHLB8RRMB5oZNeM_XgIgQgCnSeiz_NQ?e=tJpxzM" TargetMode="External"/><Relationship Id="rId13" Type="http://schemas.openxmlformats.org/officeDocument/2006/relationships/hyperlink" Target="../../../../../:i:/s/AdvancedSurfacePlatingApS/EdUeFkFalDNHnLpmeUyQRUYBZ454UDoRHC_QIpUJrDzsnQ?e=8QrADe" TargetMode="External"/><Relationship Id="rId18" Type="http://schemas.openxmlformats.org/officeDocument/2006/relationships/hyperlink" Target="../../../../../:i:/s/AdvancedSurfacePlatingApS/EU3LLuD6FNNNuac2GO9qkfcBsxEkkxv-C1K_RFufNo7aUg?e=KgtBGo" TargetMode="External"/><Relationship Id="rId3" Type="http://schemas.openxmlformats.org/officeDocument/2006/relationships/hyperlink" Target="../../../../../:i:/s/AdvancedSurfacePlatingApS/EZdeOImnBr5BsQFyn73sRDUBYdFCgyHmkwAkls4zX7sEtA?e=BPuvEi" TargetMode="External"/><Relationship Id="rId21" Type="http://schemas.openxmlformats.org/officeDocument/2006/relationships/hyperlink" Target="../../../../../:i:/s/AdvancedSurfacePlatingApS/EWhcuilklh9DhF1IaskaeXMBoy4oLuO1nsMoDPyVdwXKfg?e=QNdXOF" TargetMode="External"/><Relationship Id="rId7" Type="http://schemas.openxmlformats.org/officeDocument/2006/relationships/hyperlink" Target="../../../../../:i:/s/AdvancedSurfacePlatingApS/Eb3h4UtnBi5JlzhN_z79mBABKd-Yz69sXEffuAh8h3K6Hw?e=aQhinJ" TargetMode="External"/><Relationship Id="rId12" Type="http://schemas.openxmlformats.org/officeDocument/2006/relationships/hyperlink" Target="../../../../../:i:/s/AdvancedSurfacePlatingApS/EXLSuXE9SzpAhDdD-dSz4qEBgIZE1KCkZClvkbrD3yXTFQ?e=Fa0AQB" TargetMode="External"/><Relationship Id="rId17" Type="http://schemas.openxmlformats.org/officeDocument/2006/relationships/hyperlink" Target="../../../../../:i:/s/AdvancedSurfacePlatingApS/Ec3Sd4TmBTNOmCx1XMvwMWoBZzJxRZLYVMtZtoDMd9WqXQ?e=MA7bb6" TargetMode="External"/><Relationship Id="rId2" Type="http://schemas.openxmlformats.org/officeDocument/2006/relationships/hyperlink" Target="../../../../../:i:/s/AdvancedSurfacePlatingApS/EYtsC7DCsx1Emo8fCksphp4BRhumIRrUS0yd2fNwv8lWXQ?e=3D5ZEN" TargetMode="External"/><Relationship Id="rId16" Type="http://schemas.openxmlformats.org/officeDocument/2006/relationships/hyperlink" Target="../../../../../:i:/s/AdvancedSurfacePlatingApS/Ee18jwkToe5AhevaAngRXqsBpWQHWDybiRgURu9QagfQVw?e=pLDSQL" TargetMode="External"/><Relationship Id="rId20" Type="http://schemas.openxmlformats.org/officeDocument/2006/relationships/hyperlink" Target="../../../../../:i:/s/AdvancedSurfacePlatingApS/Ea1uBdwaF8dGqR-2ZjFRDOQBgB0WWV65a8OdCyA5rnIw_w?e=xImYY2" TargetMode="External"/><Relationship Id="rId1" Type="http://schemas.openxmlformats.org/officeDocument/2006/relationships/hyperlink" Target="../../../../../:i:/s/AdvancedSurfacePlatingApS/Ee4T7f9IFdBDvuG7NMHf0oYBG6Lg285aaNEUrt9rCgDHEA?e=HPREHq" TargetMode="External"/><Relationship Id="rId6" Type="http://schemas.openxmlformats.org/officeDocument/2006/relationships/hyperlink" Target="../../../../../:i:/s/AdvancedSurfacePlatingApS/EVhQ3xxW-YtEiSf6yL1ZTMMBp-iCkq_umkbHIWXxCL_R0g?e=pCMgLU" TargetMode="External"/><Relationship Id="rId11" Type="http://schemas.openxmlformats.org/officeDocument/2006/relationships/hyperlink" Target="../../../../../:i:/s/AdvancedSurfacePlatingApS/EUChpFr7fktOugGexRVm_vMBQlqBlhHUBq9Os3ktWy83tQ?e=YmtDbb" TargetMode="External"/><Relationship Id="rId5" Type="http://schemas.openxmlformats.org/officeDocument/2006/relationships/hyperlink" Target="../../../../../:i:/s/AdvancedSurfacePlatingApS/EdbvK13xULVFmVOQ7mb-Ad4BADJz5NjWPoM8C9LqIEFIbA?e=vq5Nwp" TargetMode="External"/><Relationship Id="rId15" Type="http://schemas.openxmlformats.org/officeDocument/2006/relationships/hyperlink" Target="../../../../../:i:/s/AdvancedSurfacePlatingApS/EfjoLcf4WMxAv2lVb3ocU9kBid-rzSnvmWQWWGI38BvgVQ?e=nLcsUU" TargetMode="External"/><Relationship Id="rId10" Type="http://schemas.openxmlformats.org/officeDocument/2006/relationships/hyperlink" Target="../../../../../:i:/s/AdvancedSurfacePlatingApS/EUDXdz3W68ZIieVgBISwUV4BqLaV6iv4-wpTUWhS-xoWpQ?e=tO4rAh" TargetMode="External"/><Relationship Id="rId19" Type="http://schemas.openxmlformats.org/officeDocument/2006/relationships/hyperlink" Target="../../../../../:i:/s/AdvancedSurfacePlatingApS/EbuBhS2BSCZEkQ4FbKVJOksBGiIrMkW_kDbMpgHjtMW5yw?e=QZqsGT" TargetMode="External"/><Relationship Id="rId4" Type="http://schemas.openxmlformats.org/officeDocument/2006/relationships/hyperlink" Target="../../../../../:i:/s/AdvancedSurfacePlatingApS/Edim63Pp_OJHu86r5Bqrze8B-pvs6asV-JpIhYFkge3lRg?e=9ldOXQ" TargetMode="External"/><Relationship Id="rId9" Type="http://schemas.openxmlformats.org/officeDocument/2006/relationships/hyperlink" Target="../../../../../:i:/s/AdvancedSurfacePlatingApS/EUYrCE1a90VJgmQWNv82CfwB2Qw906bhNajwQohkiaoCsA?e=4ceBZv" TargetMode="External"/><Relationship Id="rId14" Type="http://schemas.openxmlformats.org/officeDocument/2006/relationships/hyperlink" Target="../../../../../:i:/s/AdvancedSurfacePlatingApS/Ee8VOmNHmctKq6yNGzP0jDIBLJddu4Zw1b2x9VTk5ywgUA?e=OmFSBz"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i:/s/AdvancedSurfacePlatingApS/EXI3G-Z_OelJigkVOa7fT2oBcRUdmyl2kRHPskzngnjr8A?e=DyscvZ" TargetMode="External"/><Relationship Id="rId21" Type="http://schemas.openxmlformats.org/officeDocument/2006/relationships/hyperlink" Target="../../../../../:i:/s/AdvancedSurfacePlatingApS/EdbNH_iIJLpEhsO6v5p7Qz0B8Hy63DkeYsCihatXTsoOmA?e=LpBams" TargetMode="External"/><Relationship Id="rId42" Type="http://schemas.openxmlformats.org/officeDocument/2006/relationships/hyperlink" Target="../../../../../:i:/s/AdvancedSurfacePlatingApS/ETmRXpA-uFhOsFBqHC24rkcBJYnSS_S8t3Oew0PJQ4numA?e=45jqvk" TargetMode="External"/><Relationship Id="rId47" Type="http://schemas.openxmlformats.org/officeDocument/2006/relationships/hyperlink" Target="../../../../../:i:/s/AdvancedSurfacePlatingApS/EcLDpDnqBB9PkUpCELXf5Q8BO1aCAnnJn9GDnYvtOzXbVA?e=Sr6pDg" TargetMode="External"/><Relationship Id="rId63" Type="http://schemas.openxmlformats.org/officeDocument/2006/relationships/hyperlink" Target="../../../../../:i:/s/AdvancedSurfacePlatingApS/ESr4OhIfNkBOrV_oq_lJBowBh5ENWUyt6-Q3fbc1V1GtZg?e=bO71rc" TargetMode="External"/><Relationship Id="rId68" Type="http://schemas.openxmlformats.org/officeDocument/2006/relationships/hyperlink" Target="../../../../../:i:/s/AdvancedSurfacePlatingApS/EVzlmzNuQytFjjzFqu5BITUBzc8svk5_8ZDzl-QFQyviVA?e=TAXWIx" TargetMode="External"/><Relationship Id="rId84" Type="http://schemas.openxmlformats.org/officeDocument/2006/relationships/hyperlink" Target="../../../../../:i:/s/AdvancedSurfacePlatingApS/Eb67A73Fuz5OhNaD4zvMbtoBv-pSTL1RyOWRVQOPZHRA2w?e=Up9gSa" TargetMode="External"/><Relationship Id="rId89" Type="http://schemas.openxmlformats.org/officeDocument/2006/relationships/hyperlink" Target="../../../../../:i:/s/AdvancedSurfacePlatingApS/EanNUmHKkYJHq1NAS-Fzx8QB_Hv3Et9Rao_PI8rpuflfNQ?e=vwh28g" TargetMode="External"/><Relationship Id="rId112" Type="http://schemas.openxmlformats.org/officeDocument/2006/relationships/hyperlink" Target="../../../../../:i:/s/AdvancedSurfacePlatingApS/EVRbS1dceIVDqEX4afu_14QBdZxueFsQxAQkIH3IPmIvOQ?e=gBD4uy" TargetMode="External"/><Relationship Id="rId16" Type="http://schemas.openxmlformats.org/officeDocument/2006/relationships/hyperlink" Target="../../../../../:i:/s/AdvancedSurfacePlatingApS/ETtvXbl8MClFq6uOk98nH-MB5FwRKF6zu-nO81Af4OfdMg?e=C6nGpX" TargetMode="External"/><Relationship Id="rId107" Type="http://schemas.openxmlformats.org/officeDocument/2006/relationships/hyperlink" Target="../../../../../:i:/s/AdvancedSurfacePlatingApS/ERwGrn4KPyFDo8IjzZCnSWcBDUQ7NOh3NsSvcAIa8iStqQ?e=oPbHM8" TargetMode="External"/><Relationship Id="rId11" Type="http://schemas.openxmlformats.org/officeDocument/2006/relationships/hyperlink" Target="../../../../../:i:/s/AdvancedSurfacePlatingApS/EaglZn1QWzFLjbREnwsJU4oBqjNVMjlOYVNT-sXk3OI28A?e=0juFbB" TargetMode="External"/><Relationship Id="rId32" Type="http://schemas.openxmlformats.org/officeDocument/2006/relationships/hyperlink" Target="../../../../../:i:/s/AdvancedSurfacePlatingApS/EYUJ5ZZT5xxKq6s7Si1-ocsBDCODZUpA8sHxfnmHdU3Vwg?e=0YsoMJ" TargetMode="External"/><Relationship Id="rId37" Type="http://schemas.openxmlformats.org/officeDocument/2006/relationships/hyperlink" Target="../../../../../:i:/s/AdvancedSurfacePlatingApS/Ee56E55e0FpIkqNYWTmMkKcB-W5Tkzs5PEY470vdDwEl_A?e=6RpwVq" TargetMode="External"/><Relationship Id="rId53" Type="http://schemas.openxmlformats.org/officeDocument/2006/relationships/hyperlink" Target="../../../../../:i:/s/AdvancedSurfacePlatingApS/EUUM7ZnGbmtBsGXtLROOwt8B9xki9pmYDnuBYwF1ikFawA?e=vrEXtu" TargetMode="External"/><Relationship Id="rId58" Type="http://schemas.openxmlformats.org/officeDocument/2006/relationships/hyperlink" Target="../../../../../:i:/s/AdvancedSurfacePlatingApS/EXop_usFRFhIk1YJr24FQO0BrYQRQXjttUonjQufWdBXCA?e=VO0hgb" TargetMode="External"/><Relationship Id="rId74" Type="http://schemas.openxmlformats.org/officeDocument/2006/relationships/hyperlink" Target="../../../../../:i:/s/AdvancedSurfacePlatingApS/EW5v7cDhbGhLtb98SEvS9MUBmeVRtjmqZ44xtvZoWwOaEA?e=DhnOfI" TargetMode="External"/><Relationship Id="rId79" Type="http://schemas.openxmlformats.org/officeDocument/2006/relationships/hyperlink" Target="../../../../../:i:/s/AdvancedSurfacePlatingApS/EURRRoGsS6lCqQho739QilIB53izu0zOKXtpQusCIGgxyw?e=eAsfvg" TargetMode="External"/><Relationship Id="rId102" Type="http://schemas.openxmlformats.org/officeDocument/2006/relationships/hyperlink" Target="../../../../../:i:/s/AdvancedSurfacePlatingApS/ETQI3GkJB_ZNibM95PdTBSoBxnSEdr2Xvdl6icFneQ04jg?e=J5UWdX" TargetMode="External"/><Relationship Id="rId5" Type="http://schemas.openxmlformats.org/officeDocument/2006/relationships/hyperlink" Target="../../../../../:i:/s/AdvancedSurfacePlatingApS/EbL5gzQfRotOgl_12uI6VMABZ4z1qyxKh1E94RT_K5fvQg?e=ILnkDE" TargetMode="External"/><Relationship Id="rId90" Type="http://schemas.openxmlformats.org/officeDocument/2006/relationships/hyperlink" Target="../../../../../:i:/s/AdvancedSurfacePlatingApS/EbGFDlUItS1PnvadQ9Mww_QByjRBFBRYi3ZYtyT4ddk7SA?e=bagUKC" TargetMode="External"/><Relationship Id="rId95" Type="http://schemas.openxmlformats.org/officeDocument/2006/relationships/hyperlink" Target="../../../../../:i:/s/AdvancedSurfacePlatingApS/ER4Cf-A8stxIsQmxsEMnx3YBoqHU_ALFtdmOpaTqvvRKTg?e=W61iIO" TargetMode="External"/><Relationship Id="rId22" Type="http://schemas.openxmlformats.org/officeDocument/2006/relationships/hyperlink" Target="../../../../../:i:/s/AdvancedSurfacePlatingApS/EWmgAJZMVflIqIbRZVaNXKEB05uC8hBktfykCSNHDgblOQ?e=8NFxoK" TargetMode="External"/><Relationship Id="rId27" Type="http://schemas.openxmlformats.org/officeDocument/2006/relationships/hyperlink" Target="../../../../../:i:/s/AdvancedSurfacePlatingApS/EWXhF-oxqNpClKMm3OCIbnMBveavBk7-Y7wpOZNdY4BTGQ?e=ah0bAt" TargetMode="External"/><Relationship Id="rId43" Type="http://schemas.openxmlformats.org/officeDocument/2006/relationships/hyperlink" Target="../../../../../:i:/s/AdvancedSurfacePlatingApS/EQR_7CV2MAFDo2dXXxqHM7YBiDf9xoAbZrbRSEZKcU3TXw?e=Ouzbzd" TargetMode="External"/><Relationship Id="rId48" Type="http://schemas.openxmlformats.org/officeDocument/2006/relationships/hyperlink" Target="../../../../../:i:/s/AdvancedSurfacePlatingApS/EYbSSSvDCDpOuf2tRNvAE0ABPL8gPbDKGPUAh0gFF6tBew?e=9TprW3" TargetMode="External"/><Relationship Id="rId64" Type="http://schemas.openxmlformats.org/officeDocument/2006/relationships/hyperlink" Target="../../../../../:i:/s/AdvancedSurfacePlatingApS/Ec541zBpWjtAnz40R3Aq9RoBFH39LNs0dfa4TykLfA1VRA?e=kJu61j" TargetMode="External"/><Relationship Id="rId69" Type="http://schemas.openxmlformats.org/officeDocument/2006/relationships/hyperlink" Target="../../../../../:i:/s/AdvancedSurfacePlatingApS/EYIxf3mB-o5NqMvH5U1rvboBEvJYXV-jL5yFSnBiRGPffw?e=3QCXVj" TargetMode="External"/><Relationship Id="rId113" Type="http://schemas.openxmlformats.org/officeDocument/2006/relationships/hyperlink" Target="../../../../../:i:/s/AdvancedSurfacePlatingApS/EcxEr663VnhEhmcnk9diyjkBpOeasmHAF3U3TMxasLseaA?e=8fPHtm" TargetMode="External"/><Relationship Id="rId80" Type="http://schemas.openxmlformats.org/officeDocument/2006/relationships/hyperlink" Target="../../../../../:i:/s/AdvancedSurfacePlatingApS/ESWsTafzOVVAtwMjDuiNkmUBNQwaboyf2nydTTcQoLt77w?e=H6rGsp" TargetMode="External"/><Relationship Id="rId85" Type="http://schemas.openxmlformats.org/officeDocument/2006/relationships/hyperlink" Target="../../../../../:i:/s/AdvancedSurfacePlatingApS/EbGFDlUItS1PnvadQ9Mww_QByjRBFBRYi3ZYtyT4ddk7SA?e=h19Gm6" TargetMode="External"/><Relationship Id="rId12" Type="http://schemas.openxmlformats.org/officeDocument/2006/relationships/hyperlink" Target="../../../../../:i:/s/AdvancedSurfacePlatingApS/ERbgMLIRJUFCsxI6oXGaIOgBrlveyJwW89aryy_FLdFiwQ?e=39KaiS" TargetMode="External"/><Relationship Id="rId17" Type="http://schemas.openxmlformats.org/officeDocument/2006/relationships/hyperlink" Target="../../../../../:i:/s/AdvancedSurfacePlatingApS/EQh7kBC6VIpFmDPaIqX7AHsBBALD_k8DFzWU7BZ4a7BQJg?e=MgG0O2" TargetMode="External"/><Relationship Id="rId33" Type="http://schemas.openxmlformats.org/officeDocument/2006/relationships/hyperlink" Target="../../../../../:i:/s/AdvancedSurfacePlatingApS/EbRDzZXEuuVLrpNjy9hx23ABgnHwdzLxUpHzKVfRJF2W4A?e=HIhcH5" TargetMode="External"/><Relationship Id="rId38" Type="http://schemas.openxmlformats.org/officeDocument/2006/relationships/hyperlink" Target="../../../../../:i:/s/AdvancedSurfacePlatingApS/EcHNq3B0RYVLqCocEfJ3p1cBSwGMU1Mxc8pPXYkF3vZiEQ?e=E6zZOW" TargetMode="External"/><Relationship Id="rId59" Type="http://schemas.openxmlformats.org/officeDocument/2006/relationships/hyperlink" Target="../../../../../:i:/s/AdvancedSurfacePlatingApS/ETU4LMFVtYRJinXgvBnquz0BaaH8Lgli2HsPFokJtL_u7A?e=adJ0pI" TargetMode="External"/><Relationship Id="rId103" Type="http://schemas.openxmlformats.org/officeDocument/2006/relationships/hyperlink" Target="../../../../../:i:/s/AdvancedSurfacePlatingApS/EV3mMbAviA9HobNL-TiBRu4BlfTDSOtrnZeLkYerBbqN2g?e=PWkImz" TargetMode="External"/><Relationship Id="rId108" Type="http://schemas.openxmlformats.org/officeDocument/2006/relationships/hyperlink" Target="../../../../../:i:/s/AdvancedSurfacePlatingApS/EboceBehmflFmsd_CHFox68B1Eb9LTFL7a9VHBrng7t6SA?e=LpzxYY" TargetMode="External"/><Relationship Id="rId54" Type="http://schemas.openxmlformats.org/officeDocument/2006/relationships/hyperlink" Target="../../../../../:i:/s/AdvancedSurfacePlatingApS/Eco1rq8xHyZBq2dBiT8nICMB9QZ5Zui294BhUDac3BC2eQ?e=y4Ke4g" TargetMode="External"/><Relationship Id="rId70" Type="http://schemas.openxmlformats.org/officeDocument/2006/relationships/hyperlink" Target="../../../../../:i:/s/AdvancedSurfacePlatingApS/EZFD5LVOQphJhIPDhZ4SlwoBy6j8k3QTbqaW-6S7Q28v5A?e=TKjshy" TargetMode="External"/><Relationship Id="rId75" Type="http://schemas.openxmlformats.org/officeDocument/2006/relationships/hyperlink" Target="../../../../../:i:/s/AdvancedSurfacePlatingApS/EdZIEkQGVidNhUvG6gpfpWIBMx0Wz2WBQKn7CE5E8xaX4Q?e=lzIoNl" TargetMode="External"/><Relationship Id="rId91" Type="http://schemas.openxmlformats.org/officeDocument/2006/relationships/hyperlink" Target="../../../../../:i:/s/AdvancedSurfacePlatingApS/EcACswhA9TBPjSHYDiUILw0B5Idv4rL6jWA-EYVZSFplKw?e=o0Fb6L" TargetMode="External"/><Relationship Id="rId96" Type="http://schemas.openxmlformats.org/officeDocument/2006/relationships/hyperlink" Target="../../../../../:i:/s/AdvancedSurfacePlatingApS/EZuOLxWOVN5OjuEiC0-h9s8B1Crw2SabWr8Dorj_1jbiEw?e=wLuIbD" TargetMode="External"/><Relationship Id="rId1" Type="http://schemas.openxmlformats.org/officeDocument/2006/relationships/hyperlink" Target="../../../../../:i:/s/AdvancedSurfacePlatingApS/EapJS7-W_6pIvPUJeXGZkLUBG4gFDQC_3z3ENmELKqCbwg?e=Y9MBfJ" TargetMode="External"/><Relationship Id="rId6" Type="http://schemas.openxmlformats.org/officeDocument/2006/relationships/hyperlink" Target="../../../../../:i:/s/AdvancedSurfacePlatingApS/EdRgXXnkdHpHqKmHuC5oVlMBF2BnOPqJSYtkngsWLc-4Yw?e=rQSDh5" TargetMode="External"/><Relationship Id="rId15" Type="http://schemas.openxmlformats.org/officeDocument/2006/relationships/hyperlink" Target="../../../../../:i:/s/AdvancedSurfacePlatingApS/EVgyzBW6ItZEmeP8Xbg3uM8BpCMJK2Le9w7qd1vYi3vZsw?e=zLn9Wj" TargetMode="External"/><Relationship Id="rId23" Type="http://schemas.openxmlformats.org/officeDocument/2006/relationships/hyperlink" Target="../../../../../:i:/s/AdvancedSurfacePlatingApS/EeCwLXddKypFsuPWipxiw10BNCVwcsDjxBU_97LTj3_URQ?e=oCr2iF" TargetMode="External"/><Relationship Id="rId28" Type="http://schemas.openxmlformats.org/officeDocument/2006/relationships/hyperlink" Target="../../../../../:i:/s/AdvancedSurfacePlatingApS/ERlUCsrQ_xxIkz4SzBgueKABxc3sj9-r5kQSkYhWFPVN3w?e=lhImZn" TargetMode="External"/><Relationship Id="rId36" Type="http://schemas.openxmlformats.org/officeDocument/2006/relationships/hyperlink" Target="../../../../../:i:/s/AdvancedSurfacePlatingApS/EQN30_SAt21DqGTE2AKyYVEBIO3LUjs5KzEyckS_MgYpcg?e=a5epyw" TargetMode="External"/><Relationship Id="rId49" Type="http://schemas.openxmlformats.org/officeDocument/2006/relationships/hyperlink" Target="../../../../../:i:/s/AdvancedSurfacePlatingApS/EbVw7Kc1rdVJk9AUgObiMIYB26GHtfUUrZivg5KYOGO4VA?e=SlLLBk" TargetMode="External"/><Relationship Id="rId57" Type="http://schemas.openxmlformats.org/officeDocument/2006/relationships/hyperlink" Target="../../../../../:i:/s/AdvancedSurfacePlatingApS/EbYELpOrarVFjlFhpytpJxgBpPYcQnhfpUm0SbEe3B8Ixg?e=lV2Pb3" TargetMode="External"/><Relationship Id="rId106" Type="http://schemas.openxmlformats.org/officeDocument/2006/relationships/hyperlink" Target="../../../../../:i:/s/AdvancedSurfacePlatingApS/Edjewv2xV69Eo8VeYWanB1gBofYOrT5tdTO7S2eKcA0Vvw?e=yOpdfj" TargetMode="External"/><Relationship Id="rId114" Type="http://schemas.openxmlformats.org/officeDocument/2006/relationships/hyperlink" Target="../../../../../:i:/s/AdvancedSurfacePlatingApS/EfDppgTQT8tLrEvooGxqhkABR85NNazGKNtuGeRzuAZwmA?e=NNJlnk" TargetMode="External"/><Relationship Id="rId10" Type="http://schemas.openxmlformats.org/officeDocument/2006/relationships/hyperlink" Target="../../../../../:i:/s/AdvancedSurfacePlatingApS/EWlCEe1igEZNj-L5eaqnjE0BWX7xRXD6LFcWX67tpMSvVw?e=z8MnE6" TargetMode="External"/><Relationship Id="rId31" Type="http://schemas.openxmlformats.org/officeDocument/2006/relationships/hyperlink" Target="../../../../../:i:/s/AdvancedSurfacePlatingApS/ET0Bp4XYI8VOp9fAh1OAdCoBBx59C_EzGEulVmzLOyms0Q?e=HRoqY4" TargetMode="External"/><Relationship Id="rId44" Type="http://schemas.openxmlformats.org/officeDocument/2006/relationships/hyperlink" Target="../../../../../:i:/s/AdvancedSurfacePlatingApS/EREW4KK_GnJBgtoNToYY02IB4xFbTTXMyasDX4w4OfN9xQ?e=zP6eTE" TargetMode="External"/><Relationship Id="rId52" Type="http://schemas.openxmlformats.org/officeDocument/2006/relationships/hyperlink" Target="../../../../../:i:/s/AdvancedSurfacePlatingApS/ESZiw5G-l01AuBIxec_SspYBcMZCjA_reQL1ijuF1FuIOA?e=fs9QQq" TargetMode="External"/><Relationship Id="rId60" Type="http://schemas.openxmlformats.org/officeDocument/2006/relationships/hyperlink" Target="../../../../../:i:/s/AdvancedSurfacePlatingApS/EVM9etl_hVNOi4x0CsHikHEBE76ixSML_bjrARXJYKHTww?e=dFldlN" TargetMode="External"/><Relationship Id="rId65" Type="http://schemas.openxmlformats.org/officeDocument/2006/relationships/hyperlink" Target="../../../../../:i:/s/AdvancedSurfacePlatingApS/EQLq3PwI89BIniRH56WmfhsB89jxzRZv1tPlww722s0MeQ?e=xvbd6H" TargetMode="External"/><Relationship Id="rId73" Type="http://schemas.openxmlformats.org/officeDocument/2006/relationships/hyperlink" Target="../../../../../:i:/s/AdvancedSurfacePlatingApS/EZf2E8CjnmpAkaBGRINp4UIB_yX1hudO352X9nrzA0Fvog?e=zOmFh1" TargetMode="External"/><Relationship Id="rId78" Type="http://schemas.openxmlformats.org/officeDocument/2006/relationships/hyperlink" Target="../../../../../:i:/s/AdvancedSurfacePlatingApS/EX_5jbJUVmdNnrn11Qn85ncBqrsA4Mp9TokAWnUuSFjRaQ?e=Wwgtse" TargetMode="External"/><Relationship Id="rId81" Type="http://schemas.openxmlformats.org/officeDocument/2006/relationships/hyperlink" Target="../../../../../:i:/s/AdvancedSurfacePlatingApS/ET5TFfsh-VtHjwZwSSnVhlcBFdWpH_FBExK3XE_7m9gWbw?e=yx3yOo" TargetMode="External"/><Relationship Id="rId86" Type="http://schemas.openxmlformats.org/officeDocument/2006/relationships/hyperlink" Target="../../../../../:i:/s/AdvancedSurfacePlatingApS/Edg5aXbsyThBrieuSiMrjpQBPyuuh40oHF1kChNksxdMOA?e=TPIcwR" TargetMode="External"/><Relationship Id="rId94" Type="http://schemas.openxmlformats.org/officeDocument/2006/relationships/hyperlink" Target="../../../../../:i:/s/AdvancedSurfacePlatingApS/EcKC-Glo7-9LguGvYhnXWNkBJ4gaZDXMsZN2qg_2RLpCmQ?e=oDAqCy" TargetMode="External"/><Relationship Id="rId99" Type="http://schemas.openxmlformats.org/officeDocument/2006/relationships/hyperlink" Target="../../../../../:i:/s/AdvancedSurfacePlatingApS/Ebzqa8GpMW9BjDtkQ9QI_JIB0M4L83wFpg7mbfOEZkrcRw?e=HdzGyE" TargetMode="External"/><Relationship Id="rId101" Type="http://schemas.openxmlformats.org/officeDocument/2006/relationships/hyperlink" Target="../../../../../:i:/s/AdvancedSurfacePlatingApS/EX_RacsLsNBDofkL5WBew1wBMJocdX9BNBBRexxHkRU_uQ?e=qfBeLv" TargetMode="External"/><Relationship Id="rId4" Type="http://schemas.openxmlformats.org/officeDocument/2006/relationships/hyperlink" Target="../../../../../:i:/s/AdvancedSurfacePlatingApS/EV-YCwRpYQNPhBdGLu-vW1UBdLeV2ELc5cTACOX9tL9wmA?e=9TlDsO" TargetMode="External"/><Relationship Id="rId9" Type="http://schemas.openxmlformats.org/officeDocument/2006/relationships/hyperlink" Target="../../../../../:i:/s/AdvancedSurfacePlatingApS/EZ40YETqA7NBqHfGV7-IvzkBLlj3nSHPJ2pjb7j1p1k-Cg?e=abI412" TargetMode="External"/><Relationship Id="rId13" Type="http://schemas.openxmlformats.org/officeDocument/2006/relationships/hyperlink" Target="../../../../../:i:/s/AdvancedSurfacePlatingApS/EUH1tSDfLwdOotEjBgPTH88BtsPCg4z1HYN2a49WHuWyaA?e=j7oOSh" TargetMode="External"/><Relationship Id="rId18" Type="http://schemas.openxmlformats.org/officeDocument/2006/relationships/hyperlink" Target="../../../../../:i:/s/AdvancedSurfacePlatingApS/Ea4_vTOee-5PorrVriHfd5gBWNj-0Ol7d9ThpSI9kkk_Dw?e=AUVofg" TargetMode="External"/><Relationship Id="rId39" Type="http://schemas.openxmlformats.org/officeDocument/2006/relationships/hyperlink" Target="../../../../../:i:/s/AdvancedSurfacePlatingApS/EcGghRowY-FOrbKfCm37LtMBpwDaEXGNhgOQELE0Vna4Iw?e=sS5mIf" TargetMode="External"/><Relationship Id="rId109" Type="http://schemas.openxmlformats.org/officeDocument/2006/relationships/hyperlink" Target="../../../../../:i:/s/AdvancedSurfacePlatingApS/EcQNzebAdBtHgWTNqu2P4BgB4Qh0rsv5Zprqm2ricCZnQQ?e=4HqvQZ" TargetMode="External"/><Relationship Id="rId34" Type="http://schemas.openxmlformats.org/officeDocument/2006/relationships/hyperlink" Target="../../../../../:i:/s/AdvancedSurfacePlatingApS/EbREPjr786BGtSeVmf6ysioBE7BUE2FQWP5Ku_ZAJ9Ctlw?e=8sI8Wc" TargetMode="External"/><Relationship Id="rId50" Type="http://schemas.openxmlformats.org/officeDocument/2006/relationships/hyperlink" Target="../../../../../:i:/s/AdvancedSurfacePlatingApS/EYemcoeLQ3FBgcV0pBHA3twBzd7LCiIygpYthpP0-xw2Gg?e=btKgYC" TargetMode="External"/><Relationship Id="rId55" Type="http://schemas.openxmlformats.org/officeDocument/2006/relationships/hyperlink" Target="../../../../../:i:/s/AdvancedSurfacePlatingApS/EYXlM6EubyNIlAC29S5xEkEB5ppb27Ooh8M3NgADeyV7zA?e=zSs0V3" TargetMode="External"/><Relationship Id="rId76" Type="http://schemas.openxmlformats.org/officeDocument/2006/relationships/hyperlink" Target="../../../../../:i:/s/AdvancedSurfacePlatingApS/EZ-m-5hN2ddGuzug57-2KDEBtjx8Ap8Y0BeecOVjGIdGrA?e=wgFmA8" TargetMode="External"/><Relationship Id="rId97" Type="http://schemas.openxmlformats.org/officeDocument/2006/relationships/hyperlink" Target="../../../../../:i:/s/AdvancedSurfacePlatingApS/EWbnTqp_tddJsjt_I2_G3jEB_y4fSIK8CIdNPt98IQtrKA?e=Xbuka4" TargetMode="External"/><Relationship Id="rId104" Type="http://schemas.openxmlformats.org/officeDocument/2006/relationships/hyperlink" Target="../../../../../:i:/s/AdvancedSurfacePlatingApS/ERtPGyTOus9BjYJtWrmgPAoBh9x6qwPLnDRPqiqcpvKMyQ?e=psjPbc" TargetMode="External"/><Relationship Id="rId7" Type="http://schemas.openxmlformats.org/officeDocument/2006/relationships/hyperlink" Target="../../../../../:i:/s/AdvancedSurfacePlatingApS/ETqbFz1ZVH9PtQiWehSdaIsBb-9Azh6qQ6Fgg-_jFXZQrQ?e=UtJWMh" TargetMode="External"/><Relationship Id="rId71" Type="http://schemas.openxmlformats.org/officeDocument/2006/relationships/hyperlink" Target="../../../../../:i:/s/AdvancedSurfacePlatingApS/ETf-bs4r15lAuKP8Rz69KNUBO23mLg1xuKKRUbsYISujiQ?e=KZeZ6L" TargetMode="External"/><Relationship Id="rId92" Type="http://schemas.openxmlformats.org/officeDocument/2006/relationships/hyperlink" Target="../../../../../:i:/s/AdvancedSurfacePlatingApS/EaC-c1f4tmZNnTsKKWHzy9YBF8i8kBB2zXGdBLTdDwKUIQ?e=ZYirax" TargetMode="External"/><Relationship Id="rId2" Type="http://schemas.openxmlformats.org/officeDocument/2006/relationships/hyperlink" Target="../../../../../:i:/s/AdvancedSurfacePlatingApS/EXSZmzdk6bpMsllV8aliwU4BFRtjH8HunnuFz083l_9NXg?e=Uedtwt" TargetMode="External"/><Relationship Id="rId29" Type="http://schemas.openxmlformats.org/officeDocument/2006/relationships/hyperlink" Target="../../../../../:i:/s/AdvancedSurfacePlatingApS/ESY0DFYo7V1IpUeC3FB7IqIBn_LLvRgIQY3zVb1cwKqHiw?e=WYoHYj" TargetMode="External"/><Relationship Id="rId24" Type="http://schemas.openxmlformats.org/officeDocument/2006/relationships/hyperlink" Target="../../../../../:i:/s/AdvancedSurfacePlatingApS/EaFdQVwJblRKlgR0ZSe-bMIBzTzIqu2jme_y1RE-eOOKNQ?e=hpZFRi" TargetMode="External"/><Relationship Id="rId40" Type="http://schemas.openxmlformats.org/officeDocument/2006/relationships/hyperlink" Target="../../../../../:i:/s/AdvancedSurfacePlatingApS/EaZjEKnG5pxNq-FtnYrlQusBGcvZzMFsS8jPt-LjmTWDOw?e=dLnviA" TargetMode="External"/><Relationship Id="rId45" Type="http://schemas.openxmlformats.org/officeDocument/2006/relationships/hyperlink" Target="../../../../../:i:/s/AdvancedSurfacePlatingApS/ERWLL54K1exChUVS5Z9UqGIBmnrmdhc1XmINlyekqEw9-Q?e=oaMVhC" TargetMode="External"/><Relationship Id="rId66" Type="http://schemas.openxmlformats.org/officeDocument/2006/relationships/hyperlink" Target="../../../../../:i:/s/AdvancedSurfacePlatingApS/Efx3tvI_nIFNjXZTbu4VwHIBhYat_M_4R_88EpoiaTXGHQ?e=bEkNyv" TargetMode="External"/><Relationship Id="rId87" Type="http://schemas.openxmlformats.org/officeDocument/2006/relationships/hyperlink" Target="../../../../../:i:/s/AdvancedSurfacePlatingApS/Ef836KTwiZhKoFu0NN5p-nwB9-q_sEyk2IfPTvIbt_ZPVw?e=UJrsS7" TargetMode="External"/><Relationship Id="rId110" Type="http://schemas.openxmlformats.org/officeDocument/2006/relationships/hyperlink" Target="../../../../../:i:/s/AdvancedSurfacePlatingApS/EVZ0Al0ZhpBIqzTJCjQ2UasBL9pJfO552-iieUlhRQCOew?e=croMIy" TargetMode="External"/><Relationship Id="rId115" Type="http://schemas.openxmlformats.org/officeDocument/2006/relationships/hyperlink" Target="../../../../../:i:/s/AdvancedSurfacePlatingApS/EdMFhwOqBZ1OkNszzLtC1usBL6zlOQGBbQCvm_1BfDC8UA?e=3qnlTf" TargetMode="External"/><Relationship Id="rId61" Type="http://schemas.openxmlformats.org/officeDocument/2006/relationships/hyperlink" Target="../../../../../:i:/s/AdvancedSurfacePlatingApS/EfhmC31EXPlJhSeWwGV4ptkBhoXx4FPs0ghiQPoVBUCy1w?e=uUZFbA" TargetMode="External"/><Relationship Id="rId82" Type="http://schemas.openxmlformats.org/officeDocument/2006/relationships/hyperlink" Target="../../../../../:i:/s/AdvancedSurfacePlatingApS/EfH5VkdLVRpNgF9_kDR4T4IB0bq0h6DWoK7W0CHA-vugjA?e=7oM3Oo" TargetMode="External"/><Relationship Id="rId19" Type="http://schemas.openxmlformats.org/officeDocument/2006/relationships/hyperlink" Target="../../../../../:i:/s/AdvancedSurfacePlatingApS/EbrGnG4c5AVCm0xK5RObO4YB3oaPxYEY6iC8ObXjT_9FYg?e=zLOdpj" TargetMode="External"/><Relationship Id="rId14" Type="http://schemas.openxmlformats.org/officeDocument/2006/relationships/hyperlink" Target="../../../../../:i:/s/AdvancedSurfacePlatingApS/EQynIlb84hlMnAITCWBM-GEBw-M6zMF2AtV3DsNCQhm_Nw?e=QPEKz0" TargetMode="External"/><Relationship Id="rId30" Type="http://schemas.openxmlformats.org/officeDocument/2006/relationships/hyperlink" Target="../../../../../:i:/s/AdvancedSurfacePlatingApS/Eak8hfmEfz9Eq-f0ovuGvYcBDCPGZwQBlimWcZhNWacJfQ?e=JInJKC" TargetMode="External"/><Relationship Id="rId35" Type="http://schemas.openxmlformats.org/officeDocument/2006/relationships/hyperlink" Target="../../../../../:i:/s/AdvancedSurfacePlatingApS/EYPFTddT6FZEsfghFAstfZcBj7bM_orgGh59aQsteN9wwg?e=VnN5ty" TargetMode="External"/><Relationship Id="rId56" Type="http://schemas.openxmlformats.org/officeDocument/2006/relationships/hyperlink" Target="../../../../../:i:/s/AdvancedSurfacePlatingApS/EbkZMLGRuDRKtTbmpCztWeYBR_o3us2sYIiymba9MnsQvw?e=4rEhdD" TargetMode="External"/><Relationship Id="rId77" Type="http://schemas.openxmlformats.org/officeDocument/2006/relationships/hyperlink" Target="../../../../../:i:/s/AdvancedSurfacePlatingApS/EaglCzNRVPhJiYnq3y0cgqABrih5fikg3rTViZNNLFidEQ?e=tgXYYf" TargetMode="External"/><Relationship Id="rId100" Type="http://schemas.openxmlformats.org/officeDocument/2006/relationships/hyperlink" Target="../../../../../:i:/s/AdvancedSurfacePlatingApS/ESaSdiqAFI1DvfTBAn8VEJcBE4iTF7nDu62lXg6OBlPcEA?e=8EQsog" TargetMode="External"/><Relationship Id="rId105" Type="http://schemas.openxmlformats.org/officeDocument/2006/relationships/hyperlink" Target="../../../../../:i:/s/AdvancedSurfacePlatingApS/ESoXJtPU5alKm6w0nVqmMX0BSWraD0seC72QMbNqca5FjA?e=Qb7GdM" TargetMode="External"/><Relationship Id="rId8" Type="http://schemas.openxmlformats.org/officeDocument/2006/relationships/hyperlink" Target="../../../../../:i:/s/AdvancedSurfacePlatingApS/EdOofPJrVyRLljas9VVISmsByNzdcgIOuytfKq89tNnFVQ?e=0jW9JO" TargetMode="External"/><Relationship Id="rId51" Type="http://schemas.openxmlformats.org/officeDocument/2006/relationships/hyperlink" Target="../../../../../:i:/s/AdvancedSurfacePlatingApS/EeYpbpcak7hAlqh0JmZvedcBdsTMt6vDZq7jjHIYJpoNPw?e=UrEP7j" TargetMode="External"/><Relationship Id="rId72" Type="http://schemas.openxmlformats.org/officeDocument/2006/relationships/hyperlink" Target="../../../../../:i:/s/AdvancedSurfacePlatingApS/EaPg781M42dLkjx7U-ufc3ABLdQVCT4yhiiNv-oaF5MeXQ?e=Yz1kiF" TargetMode="External"/><Relationship Id="rId93" Type="http://schemas.openxmlformats.org/officeDocument/2006/relationships/hyperlink" Target="../../../../../:i:/s/AdvancedSurfacePlatingApS/EV2I0BETljRAgqu4qc8_UVIBe-yXZL4crv4G_d6BPyO-7Q?e=wXiY3S" TargetMode="External"/><Relationship Id="rId98" Type="http://schemas.openxmlformats.org/officeDocument/2006/relationships/hyperlink" Target="../../../../../:i:/s/AdvancedSurfacePlatingApS/EZL6nw__9wxFgkKTtAz2FtABSgb2oAM0cS366LLspKPMxw?e=Az6dOq" TargetMode="External"/><Relationship Id="rId3" Type="http://schemas.openxmlformats.org/officeDocument/2006/relationships/hyperlink" Target="../../../../../:i:/s/AdvancedSurfacePlatingApS/EeDZMSUiVPxEgwvZGV9maSsBHvD_RHys2t3JCxcj7o3_VQ?e=8nLEJI" TargetMode="External"/><Relationship Id="rId25" Type="http://schemas.openxmlformats.org/officeDocument/2006/relationships/hyperlink" Target="../../../../../:i:/s/AdvancedSurfacePlatingApS/EW4zk8l01wVPqwGtGiltk1sBEdPNtYQQlSSx39yXLDmixQ?e=ILW0UJ" TargetMode="External"/><Relationship Id="rId46" Type="http://schemas.openxmlformats.org/officeDocument/2006/relationships/hyperlink" Target="../../../../../:i:/s/AdvancedSurfacePlatingApS/Ef6GA4_BWntChYHfR8axNeoBA2yzEJY8uKy31AthM--lmw?e=VkxYyZ" TargetMode="External"/><Relationship Id="rId67" Type="http://schemas.openxmlformats.org/officeDocument/2006/relationships/hyperlink" Target="../../../../../:i:/s/AdvancedSurfacePlatingApS/ETO0yMxsvVFAp6Ij8OdhcBUBh6LvB5VQxIx6FwzIRBuGig?e=8wXzMB" TargetMode="External"/><Relationship Id="rId20" Type="http://schemas.openxmlformats.org/officeDocument/2006/relationships/hyperlink" Target="../../../../../:i:/s/AdvancedSurfacePlatingApS/EcnHO-iSLLpAoYpURDxB5zkBqigHrQjRuCLzBb-6W-Yxxg?e=hyQPzp" TargetMode="External"/><Relationship Id="rId41" Type="http://schemas.openxmlformats.org/officeDocument/2006/relationships/hyperlink" Target="../../../../../:i:/s/AdvancedSurfacePlatingApS/EYZjC1iUd41GqHTXII4B6acBWYimvk3M1-9qNypTyVCpJg?e=ZabNor" TargetMode="External"/><Relationship Id="rId62" Type="http://schemas.openxmlformats.org/officeDocument/2006/relationships/hyperlink" Target="../../../../../:i:/s/AdvancedSurfacePlatingApS/EdaS3YNLrLFDpPX5SZH3dqwBcOmBm4ljVFCj05ZpxTuGAA?e=GG9RZC" TargetMode="External"/><Relationship Id="rId83" Type="http://schemas.openxmlformats.org/officeDocument/2006/relationships/hyperlink" Target="../../../../../:i:/s/AdvancedSurfacePlatingApS/Ec9E2c6koRlLjvtCC6YHAQ0B44x4yEu-wXlhZkA9zT-Hig?e=Zl5zOO" TargetMode="External"/><Relationship Id="rId88" Type="http://schemas.openxmlformats.org/officeDocument/2006/relationships/hyperlink" Target="../../../../../:i:/s/AdvancedSurfacePlatingApS/EfVu964DH61Fjic-N0UR5vABN-6yO_We9Cs9TIhcX1Fc6g?e=JYxSjt" TargetMode="External"/><Relationship Id="rId111" Type="http://schemas.openxmlformats.org/officeDocument/2006/relationships/hyperlink" Target="../../../../../:i:/s/AdvancedSurfacePlatingApS/ER6pYfN-ailLtWbXUk18T0ABixWncSoJFNmlL5SD3JSGpQ?e=3kJulv"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i:/s/AdvancedSurfacePlatingApS/EYxq3o6QfyZHrDXGUF-3G1QBFsHr0qrNbwgcE3t8u_-x7Q?e=1JvauT" TargetMode="External"/><Relationship Id="rId3" Type="http://schemas.openxmlformats.org/officeDocument/2006/relationships/hyperlink" Target="../../../../../:i:/s/AdvancedSurfacePlatingApS/EQCj168HVjVOt8cBCoZkIecBV3MNvTxH3wmnizsmb4jCGw?e=xxDNaU" TargetMode="External"/><Relationship Id="rId7" Type="http://schemas.openxmlformats.org/officeDocument/2006/relationships/hyperlink" Target="../../../../../:i:/s/AdvancedSurfacePlatingApS/EYmPrRwHRppHmy5V6RzkqHoBDhzRRPIvFZe1QgA2dKMZYA?e=8ejL2L" TargetMode="External"/><Relationship Id="rId2" Type="http://schemas.openxmlformats.org/officeDocument/2006/relationships/hyperlink" Target="../../../../../:i:/s/AdvancedSurfacePlatingApS/EbhAAyAFLJtNiXrQ6ynUpA8BN-yNCqllYCS-VqtpSJKdxQ?e=7lqpiS" TargetMode="External"/><Relationship Id="rId1" Type="http://schemas.openxmlformats.org/officeDocument/2006/relationships/hyperlink" Target="../../../../../:i:/s/AdvancedSurfacePlatingApS/EUbuPN8tlt5MkS9HJgDpB5MBrca7BW9pugGmmPfCbrz6jg?e=zjhwQj" TargetMode="External"/><Relationship Id="rId6" Type="http://schemas.openxmlformats.org/officeDocument/2006/relationships/hyperlink" Target="../../../../../:i:/s/AdvancedSurfacePlatingApS/EXmY8pP-j2VFiFdQD837xFABEmD_IDmGI3mW9x9YNmRNww?e=fyp0x3" TargetMode="External"/><Relationship Id="rId11" Type="http://schemas.openxmlformats.org/officeDocument/2006/relationships/hyperlink" Target="../../../../../:i:/s/AdvancedSurfacePlatingApS/EbQ_kG_Z42xNoqVqMcEkI7sBR2ztBJFizBS3su8U_GiQsg?e=eWWHkS" TargetMode="External"/><Relationship Id="rId5" Type="http://schemas.openxmlformats.org/officeDocument/2006/relationships/hyperlink" Target="../../../../../:i:/s/AdvancedSurfacePlatingApS/Ea__WqGq5ApAkKHaBWcJkc8BxbzwEOLMVp3QBzRNQhqWbA?e=9Hy2Io" TargetMode="External"/><Relationship Id="rId10" Type="http://schemas.openxmlformats.org/officeDocument/2006/relationships/hyperlink" Target="../../../../../:i:/s/AdvancedSurfacePlatingApS/Ec2d9fHEv4BKr0GMOtYo9PEB6fgkc7W9_VTwDjxgdrJr4Q?e=qif5LO" TargetMode="External"/><Relationship Id="rId4" Type="http://schemas.openxmlformats.org/officeDocument/2006/relationships/hyperlink" Target="../../../../../:i:/s/AdvancedSurfacePlatingApS/Earcj6Q7Zc9NnfUBGAy4Z2QB83Hw4RcwsXzde220QOzp3A?e=439Qgi" TargetMode="External"/><Relationship Id="rId9" Type="http://schemas.openxmlformats.org/officeDocument/2006/relationships/hyperlink" Target="../../../../../:i:/s/AdvancedSurfacePlatingApS/EZnrKrgG9WhLkRFHv8NmDBwBidKyD3cvMWb7S-ISWcG0cg?e=PX0Ld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E408-94D6-4E43-BFAA-01BAF83EFB82}">
  <dimension ref="A1:Q19"/>
  <sheetViews>
    <sheetView workbookViewId="0">
      <selection activeCell="C19" sqref="C19"/>
    </sheetView>
  </sheetViews>
  <sheetFormatPr defaultRowHeight="15" x14ac:dyDescent="0.25"/>
  <cols>
    <col min="1" max="1" width="35" customWidth="1"/>
    <col min="2" max="2" width="29.7109375" customWidth="1"/>
    <col min="3" max="3" width="19.7109375" bestFit="1" customWidth="1"/>
    <col min="4" max="4" width="17.7109375" customWidth="1"/>
    <col min="5" max="5" width="11.28515625" bestFit="1" customWidth="1"/>
    <col min="6" max="6" width="10.5703125" bestFit="1" customWidth="1"/>
    <col min="9" max="9" width="11.5703125" bestFit="1" customWidth="1"/>
    <col min="10" max="10" width="7.7109375" customWidth="1"/>
    <col min="12" max="12" width="12.28515625" bestFit="1" customWidth="1"/>
    <col min="13" max="13" width="6.7109375" bestFit="1" customWidth="1"/>
    <col min="14" max="14" width="14.28515625" bestFit="1" customWidth="1"/>
    <col min="15" max="15" width="22.85546875" customWidth="1"/>
  </cols>
  <sheetData>
    <row r="1" spans="1:17" x14ac:dyDescent="0.25">
      <c r="A1" s="74"/>
      <c r="B1" s="75" t="s">
        <v>0</v>
      </c>
      <c r="C1" s="75" t="s">
        <v>1</v>
      </c>
      <c r="D1" s="75" t="s">
        <v>2</v>
      </c>
      <c r="E1" s="75" t="s">
        <v>3</v>
      </c>
      <c r="F1" s="75" t="s">
        <v>4</v>
      </c>
      <c r="G1" s="75" t="s">
        <v>5</v>
      </c>
      <c r="H1" s="75" t="s">
        <v>6</v>
      </c>
      <c r="I1" s="75" t="s">
        <v>7</v>
      </c>
      <c r="J1" s="75" t="s">
        <v>8</v>
      </c>
      <c r="K1" s="75" t="s">
        <v>9</v>
      </c>
      <c r="L1" s="75" t="s">
        <v>10</v>
      </c>
      <c r="M1" s="75" t="s">
        <v>11</v>
      </c>
      <c r="N1" s="75" t="s">
        <v>12</v>
      </c>
      <c r="O1" s="75" t="s">
        <v>13</v>
      </c>
      <c r="P1" s="75" t="s">
        <v>14</v>
      </c>
      <c r="Q1" s="76" t="s">
        <v>15</v>
      </c>
    </row>
    <row r="2" spans="1:17" s="67" customFormat="1" x14ac:dyDescent="0.25">
      <c r="A2" s="77" t="s">
        <v>16</v>
      </c>
      <c r="B2" s="73">
        <f>SUM('Gen3-Gen3 '!E2:E1048576)</f>
        <v>34039.25</v>
      </c>
      <c r="C2" s="73">
        <f>SUM('Gen2-Gen3Ano'!E2:E1048576)</f>
        <v>29073.640000000003</v>
      </c>
      <c r="D2" s="73">
        <f>SUM('Gen3Cat-Gen2'!E2:E1048576)</f>
        <v>27253.322083333333</v>
      </c>
      <c r="E2" s="73">
        <f>SUM('Gen2-Gen2'!E2:E1048576)</f>
        <v>29513.720277777775</v>
      </c>
      <c r="F2" s="73">
        <f>SUM(Accelerated!E2:E1048576)</f>
        <v>2367</v>
      </c>
      <c r="G2" s="73">
        <f>SUM('H2-FOAM'!E2:E1048576)</f>
        <v>2338.5</v>
      </c>
      <c r="H2" s="73">
        <f>SUM('LC-H2'!E2:E1048576)</f>
        <v>4960</v>
      </c>
      <c r="I2" s="73">
        <f>SUM('H2-Electrode'!E2:E1048576)</f>
        <v>4765.5</v>
      </c>
      <c r="J2" s="73">
        <f>SUM(MLF!E2:E1048576)</f>
        <v>1587</v>
      </c>
      <c r="K2" s="73">
        <f>SUM(Sulfidized!E2:E1048576)</f>
        <v>36873</v>
      </c>
      <c r="L2" s="73">
        <f>SUM('Substrate tests'!E2:E1048576)</f>
        <v>3872</v>
      </c>
      <c r="M2" s="73">
        <f>SUM('H2-SAF'!E2:E1048576)</f>
        <v>9822</v>
      </c>
      <c r="N2" s="73">
        <f>SUM('Production R&amp;D'!E2:E1048576)</f>
        <v>61488.5</v>
      </c>
      <c r="O2" s="73">
        <f>SUM('Long term testing'!E2:E1048576)+O4</f>
        <v>85948</v>
      </c>
      <c r="P2" s="73">
        <f>SUM('H2-Giga'!E2:E131)</f>
        <v>1680</v>
      </c>
      <c r="Q2" s="82">
        <f>SUM(Other!E2:E10000)</f>
        <v>5784</v>
      </c>
    </row>
    <row r="3" spans="1:17" s="67" customFormat="1" x14ac:dyDescent="0.25">
      <c r="A3" s="77" t="s">
        <v>17</v>
      </c>
      <c r="B3" s="70">
        <f>COUNTA('Gen3-Gen3 '!A2:A1048576)</f>
        <v>66</v>
      </c>
      <c r="C3" s="70">
        <f>COUNTA('Gen2-Gen3Ano'!A2:A1048576)</f>
        <v>433</v>
      </c>
      <c r="D3" s="73">
        <f t="array" ref="D3">COUNTA('Gen3Cat-Gen2'!A2:A1048576)</f>
        <v>399</v>
      </c>
      <c r="E3" s="73">
        <f>COUNTA('Gen2-Gen2'!A2:A1048576)</f>
        <v>153</v>
      </c>
      <c r="F3" s="73">
        <f>COUNTA(Accelerated!A2:A1048576)</f>
        <v>11</v>
      </c>
      <c r="G3" s="73">
        <f>COUNTA('H2-FOAM'!A2:A1048576)</f>
        <v>61</v>
      </c>
      <c r="H3" s="73">
        <f>COUNTA('LC-H2'!A2:A1048576)</f>
        <v>57</v>
      </c>
      <c r="I3" s="73">
        <f>COUNTA('H2-Electrode'!A2:A1048576)</f>
        <v>45</v>
      </c>
      <c r="J3" s="73">
        <f>COUNTA(MLF!A2:A1048576)</f>
        <v>4</v>
      </c>
      <c r="K3" s="73">
        <f>COUNTA(Sulfidized!A2:A1048576)</f>
        <v>108</v>
      </c>
      <c r="L3" s="73">
        <f>COUNTA('Substrate tests'!A2:A1048576)</f>
        <v>22</v>
      </c>
      <c r="M3" s="73">
        <f>COUNTA('H2-SAF'!A2:A1048576)</f>
        <v>62</v>
      </c>
      <c r="N3" s="73">
        <f>COUNTA('Production R&amp;D'!A2:A1048576)</f>
        <v>296</v>
      </c>
      <c r="O3" s="73">
        <f>COUNTA('Long term testing'!A2:A1048576)</f>
        <v>48</v>
      </c>
      <c r="P3" s="73">
        <f>COUNTA('H2-Giga'!A2:A1048576)</f>
        <v>10</v>
      </c>
      <c r="Q3" s="82">
        <f>COUNTA(Other!A2:A1048576)</f>
        <v>21</v>
      </c>
    </row>
    <row r="4" spans="1:17" ht="15.75" thickBot="1" x14ac:dyDescent="0.3">
      <c r="A4" s="83" t="s">
        <v>18</v>
      </c>
      <c r="B4" s="79"/>
      <c r="C4" s="79"/>
      <c r="D4" s="79"/>
      <c r="E4" s="79"/>
      <c r="F4" s="79"/>
      <c r="G4" s="79"/>
      <c r="H4" s="79"/>
      <c r="I4" s="79"/>
      <c r="J4" s="79"/>
      <c r="K4" s="79"/>
      <c r="L4" s="79"/>
      <c r="M4" s="79"/>
      <c r="N4" s="79"/>
      <c r="O4" s="79"/>
      <c r="P4" s="79"/>
      <c r="Q4" s="80"/>
    </row>
    <row r="6" spans="1:17" x14ac:dyDescent="0.25">
      <c r="A6" s="70"/>
      <c r="B6" s="71" t="s">
        <v>19</v>
      </c>
      <c r="C6" s="71" t="s">
        <v>17</v>
      </c>
    </row>
    <row r="7" spans="1:17" x14ac:dyDescent="0.25">
      <c r="A7" s="70" t="s">
        <v>20</v>
      </c>
      <c r="B7" s="72">
        <f>SUM(B2:Q2)</f>
        <v>341365.4323611111</v>
      </c>
      <c r="C7" s="71">
        <f>SUM(B3:Q3)</f>
        <v>1796</v>
      </c>
    </row>
    <row r="9" spans="1:17" x14ac:dyDescent="0.25">
      <c r="A9" t="s">
        <v>21</v>
      </c>
      <c r="B9" t="s">
        <v>22</v>
      </c>
    </row>
    <row r="10" spans="1:17" ht="30" x14ac:dyDescent="0.25">
      <c r="A10" s="13" t="s">
        <v>23</v>
      </c>
      <c r="B10" s="10">
        <v>45539</v>
      </c>
    </row>
    <row r="11" spans="1:17" ht="15.75" thickBot="1" x14ac:dyDescent="0.3">
      <c r="B11" s="69"/>
    </row>
    <row r="12" spans="1:17" x14ac:dyDescent="0.25">
      <c r="A12" s="115" t="s">
        <v>24</v>
      </c>
      <c r="B12" s="116"/>
      <c r="C12" s="116"/>
      <c r="D12" s="117"/>
    </row>
    <row r="13" spans="1:17" x14ac:dyDescent="0.25">
      <c r="A13" s="81" t="s">
        <v>25</v>
      </c>
      <c r="B13" s="71" t="s">
        <v>26</v>
      </c>
      <c r="C13" s="71" t="s">
        <v>19</v>
      </c>
      <c r="D13" s="78" t="s">
        <v>17</v>
      </c>
    </row>
    <row r="14" spans="1:17" x14ac:dyDescent="0.25">
      <c r="A14" s="92">
        <v>45659</v>
      </c>
      <c r="B14" s="84">
        <f t="shared" ref="B14:B19" si="0">A14-$B$10</f>
        <v>120</v>
      </c>
      <c r="C14" s="85" t="s">
        <v>27</v>
      </c>
      <c r="D14" s="86">
        <f>219-58</f>
        <v>161</v>
      </c>
    </row>
    <row r="15" spans="1:17" x14ac:dyDescent="0.25">
      <c r="A15" s="89">
        <v>45952</v>
      </c>
      <c r="B15" s="84">
        <f t="shared" si="0"/>
        <v>413</v>
      </c>
      <c r="C15" s="85">
        <v>203517</v>
      </c>
      <c r="D15" s="86">
        <v>979</v>
      </c>
    </row>
    <row r="16" spans="1:17" x14ac:dyDescent="0.25">
      <c r="A16" s="90">
        <v>45964</v>
      </c>
      <c r="B16" s="73">
        <f t="shared" si="0"/>
        <v>425</v>
      </c>
      <c r="C16" s="73">
        <v>207284.49027777778</v>
      </c>
      <c r="D16" s="70">
        <v>1004</v>
      </c>
    </row>
    <row r="17" spans="1:4" x14ac:dyDescent="0.25">
      <c r="A17" s="107">
        <v>46029</v>
      </c>
      <c r="B17" s="73">
        <f t="shared" si="0"/>
        <v>490</v>
      </c>
      <c r="C17" s="73">
        <v>238051.49027777778</v>
      </c>
      <c r="D17" s="70">
        <v>1175</v>
      </c>
    </row>
    <row r="18" spans="1:4" x14ac:dyDescent="0.25">
      <c r="A18" s="91">
        <v>46085</v>
      </c>
      <c r="B18" s="106">
        <f t="shared" si="0"/>
        <v>546</v>
      </c>
      <c r="C18" s="73">
        <v>291178.95236111112</v>
      </c>
      <c r="D18" s="70">
        <v>1540</v>
      </c>
    </row>
    <row r="19" spans="1:4" x14ac:dyDescent="0.25">
      <c r="A19" s="91">
        <v>46163</v>
      </c>
      <c r="B19" s="106">
        <f t="shared" si="0"/>
        <v>624</v>
      </c>
      <c r="C19" s="73">
        <v>344716.9323611111</v>
      </c>
      <c r="D19" s="70">
        <v>1723</v>
      </c>
    </row>
  </sheetData>
  <mergeCells count="1">
    <mergeCell ref="A12:D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4B2EE-E129-4859-B149-916C7A7C66D4}">
  <dimension ref="A1:K154"/>
  <sheetViews>
    <sheetView topLeftCell="A75" workbookViewId="0">
      <selection activeCell="A81" sqref="A81"/>
    </sheetView>
  </sheetViews>
  <sheetFormatPr defaultRowHeight="15" customHeight="1" x14ac:dyDescent="0.25"/>
  <cols>
    <col min="1" max="1" width="73.7109375" customWidth="1"/>
    <col min="2" max="2" width="7" bestFit="1" customWidth="1"/>
    <col min="3" max="3" width="13.28515625" bestFit="1" customWidth="1"/>
    <col min="4" max="4" width="15.7109375" bestFit="1" customWidth="1"/>
    <col min="5" max="5" width="13" bestFit="1" customWidth="1"/>
    <col min="6" max="6" width="35.7109375" customWidth="1"/>
    <col min="7" max="7" width="14.42578125" bestFit="1" customWidth="1"/>
    <col min="8" max="8" width="21.5703125" style="27" bestFit="1" customWidth="1"/>
    <col min="9" max="9" width="159.28515625" bestFit="1" customWidth="1"/>
    <col min="10" max="10" width="25.7109375" customWidth="1"/>
    <col min="11" max="11" width="78" customWidth="1"/>
  </cols>
  <sheetData>
    <row r="1" spans="1:11" x14ac:dyDescent="0.25">
      <c r="A1" s="6" t="s">
        <v>28</v>
      </c>
      <c r="B1" s="7" t="s">
        <v>29</v>
      </c>
      <c r="C1" s="7" t="s">
        <v>30</v>
      </c>
      <c r="D1" s="7" t="s">
        <v>31</v>
      </c>
      <c r="E1" s="7" t="s">
        <v>32</v>
      </c>
      <c r="F1" s="7" t="s">
        <v>33</v>
      </c>
      <c r="G1" s="7" t="s">
        <v>34</v>
      </c>
      <c r="H1" s="15" t="s">
        <v>35</v>
      </c>
      <c r="I1" s="11" t="s">
        <v>36</v>
      </c>
      <c r="J1" s="97" t="s">
        <v>37</v>
      </c>
      <c r="K1" s="12" t="s">
        <v>38</v>
      </c>
    </row>
    <row r="2" spans="1:11" x14ac:dyDescent="0.25">
      <c r="A2" t="s">
        <v>39</v>
      </c>
      <c r="B2" t="s">
        <v>40</v>
      </c>
      <c r="E2">
        <v>182</v>
      </c>
      <c r="F2" s="18" t="s">
        <v>41</v>
      </c>
      <c r="G2" s="19"/>
      <c r="H2" s="27" t="s">
        <v>42</v>
      </c>
      <c r="J2" t="s">
        <v>43</v>
      </c>
      <c r="K2" s="42" t="s">
        <v>44</v>
      </c>
    </row>
    <row r="3" spans="1:11" x14ac:dyDescent="0.25">
      <c r="A3" t="s">
        <v>45</v>
      </c>
      <c r="B3" t="s">
        <v>40</v>
      </c>
      <c r="E3">
        <v>172</v>
      </c>
      <c r="F3" s="18" t="s">
        <v>41</v>
      </c>
      <c r="G3" s="19"/>
      <c r="H3" s="27" t="s">
        <v>42</v>
      </c>
      <c r="K3" s="42" t="s">
        <v>46</v>
      </c>
    </row>
    <row r="4" spans="1:11" x14ac:dyDescent="0.25">
      <c r="A4" t="s">
        <v>47</v>
      </c>
      <c r="B4" t="s">
        <v>40</v>
      </c>
      <c r="E4">
        <v>171</v>
      </c>
      <c r="F4" s="18" t="s">
        <v>48</v>
      </c>
      <c r="G4" s="19"/>
      <c r="H4" s="27">
        <v>45393</v>
      </c>
      <c r="I4" s="13" t="s">
        <v>49</v>
      </c>
      <c r="J4" s="13"/>
      <c r="K4" s="42" t="s">
        <v>50</v>
      </c>
    </row>
    <row r="5" spans="1:11" x14ac:dyDescent="0.25">
      <c r="A5" t="s">
        <v>51</v>
      </c>
      <c r="B5" t="s">
        <v>40</v>
      </c>
      <c r="E5">
        <v>60</v>
      </c>
      <c r="F5" s="18" t="s">
        <v>48</v>
      </c>
      <c r="G5" t="s">
        <v>52</v>
      </c>
      <c r="H5" s="27">
        <v>45454</v>
      </c>
      <c r="I5" t="s">
        <v>53</v>
      </c>
      <c r="J5" t="s">
        <v>43</v>
      </c>
      <c r="K5" s="42" t="s">
        <v>54</v>
      </c>
    </row>
    <row r="6" spans="1:11" x14ac:dyDescent="0.25">
      <c r="A6" t="s">
        <v>55</v>
      </c>
      <c r="B6" t="s">
        <v>40</v>
      </c>
      <c r="E6">
        <v>1144</v>
      </c>
      <c r="F6" t="s">
        <v>56</v>
      </c>
      <c r="G6" t="s">
        <v>52</v>
      </c>
      <c r="H6" s="27">
        <v>45544</v>
      </c>
      <c r="I6" t="s">
        <v>57</v>
      </c>
      <c r="J6" t="s">
        <v>58</v>
      </c>
      <c r="K6" s="42" t="s">
        <v>59</v>
      </c>
    </row>
    <row r="7" spans="1:11" x14ac:dyDescent="0.25">
      <c r="A7" t="s">
        <v>60</v>
      </c>
      <c r="B7" t="s">
        <v>40</v>
      </c>
      <c r="E7">
        <v>1005</v>
      </c>
      <c r="F7" t="s">
        <v>56</v>
      </c>
      <c r="G7" t="s">
        <v>52</v>
      </c>
      <c r="H7" s="27">
        <v>45391</v>
      </c>
      <c r="I7" t="s">
        <v>61</v>
      </c>
      <c r="K7" s="42" t="s">
        <v>62</v>
      </c>
    </row>
    <row r="8" spans="1:11" x14ac:dyDescent="0.25">
      <c r="A8" t="s">
        <v>63</v>
      </c>
      <c r="B8" t="s">
        <v>40</v>
      </c>
      <c r="E8">
        <v>1002</v>
      </c>
      <c r="F8" t="s">
        <v>64</v>
      </c>
      <c r="G8" t="s">
        <v>52</v>
      </c>
      <c r="H8" s="27">
        <v>45544</v>
      </c>
      <c r="J8" t="s">
        <v>58</v>
      </c>
      <c r="K8" s="42" t="s">
        <v>65</v>
      </c>
    </row>
    <row r="9" spans="1:11" x14ac:dyDescent="0.25">
      <c r="A9" t="s">
        <v>66</v>
      </c>
      <c r="B9" t="s">
        <v>40</v>
      </c>
      <c r="E9">
        <v>1002</v>
      </c>
      <c r="F9" t="s">
        <v>64</v>
      </c>
      <c r="G9" t="s">
        <v>52</v>
      </c>
      <c r="H9" s="27">
        <v>45544</v>
      </c>
      <c r="J9" t="s">
        <v>58</v>
      </c>
      <c r="K9" s="42" t="s">
        <v>67</v>
      </c>
    </row>
    <row r="10" spans="1:11" x14ac:dyDescent="0.25">
      <c r="A10" t="s">
        <v>68</v>
      </c>
      <c r="B10" t="s">
        <v>40</v>
      </c>
      <c r="E10">
        <v>1009</v>
      </c>
      <c r="F10" t="s">
        <v>56</v>
      </c>
      <c r="G10" t="s">
        <v>52</v>
      </c>
      <c r="H10" s="27">
        <v>45605</v>
      </c>
      <c r="J10" t="s">
        <v>58</v>
      </c>
      <c r="K10" s="42" t="s">
        <v>69</v>
      </c>
    </row>
    <row r="11" spans="1:11" x14ac:dyDescent="0.25">
      <c r="A11" t="s">
        <v>70</v>
      </c>
      <c r="B11" t="s">
        <v>40</v>
      </c>
      <c r="E11">
        <v>1002</v>
      </c>
      <c r="F11" t="s">
        <v>64</v>
      </c>
      <c r="G11" t="s">
        <v>52</v>
      </c>
      <c r="H11" s="27">
        <v>45574</v>
      </c>
      <c r="I11" t="s">
        <v>71</v>
      </c>
      <c r="J11" t="s">
        <v>58</v>
      </c>
      <c r="K11" s="42" t="s">
        <v>72</v>
      </c>
    </row>
    <row r="12" spans="1:11" x14ac:dyDescent="0.25">
      <c r="A12" t="s">
        <v>73</v>
      </c>
      <c r="B12" t="s">
        <v>74</v>
      </c>
      <c r="E12">
        <v>168</v>
      </c>
      <c r="F12" t="s">
        <v>41</v>
      </c>
      <c r="G12" t="s">
        <v>75</v>
      </c>
      <c r="H12" s="27" t="s">
        <v>76</v>
      </c>
      <c r="K12" s="42" t="s">
        <v>77</v>
      </c>
    </row>
    <row r="13" spans="1:11" x14ac:dyDescent="0.25">
      <c r="A13" t="s">
        <v>78</v>
      </c>
      <c r="B13" t="s">
        <v>74</v>
      </c>
      <c r="E13">
        <v>168</v>
      </c>
      <c r="F13" t="s">
        <v>41</v>
      </c>
      <c r="G13" t="s">
        <v>75</v>
      </c>
      <c r="H13" s="27" t="s">
        <v>76</v>
      </c>
      <c r="K13" s="42" t="s">
        <v>79</v>
      </c>
    </row>
    <row r="14" spans="1:11" x14ac:dyDescent="0.25">
      <c r="A14" t="s">
        <v>80</v>
      </c>
      <c r="B14" t="s">
        <v>74</v>
      </c>
      <c r="E14">
        <v>168</v>
      </c>
      <c r="F14" t="s">
        <v>41</v>
      </c>
      <c r="G14" t="s">
        <v>75</v>
      </c>
      <c r="H14" s="27" t="s">
        <v>76</v>
      </c>
      <c r="K14" s="42" t="s">
        <v>81</v>
      </c>
    </row>
    <row r="15" spans="1:11" ht="30" x14ac:dyDescent="0.25">
      <c r="A15" t="s">
        <v>82</v>
      </c>
      <c r="B15" t="s">
        <v>83</v>
      </c>
      <c r="E15" t="s">
        <v>84</v>
      </c>
      <c r="F15" t="s">
        <v>56</v>
      </c>
      <c r="I15" s="13" t="s">
        <v>85</v>
      </c>
      <c r="J15" s="13"/>
      <c r="K15" s="42" t="s">
        <v>86</v>
      </c>
    </row>
    <row r="16" spans="1:11" x14ac:dyDescent="0.25">
      <c r="A16" s="13" t="s">
        <v>87</v>
      </c>
      <c r="B16" t="s">
        <v>40</v>
      </c>
      <c r="E16">
        <v>168</v>
      </c>
      <c r="F16" t="s">
        <v>41</v>
      </c>
      <c r="G16" t="s">
        <v>52</v>
      </c>
      <c r="H16" s="28" t="s">
        <v>88</v>
      </c>
      <c r="I16" t="s">
        <v>89</v>
      </c>
      <c r="J16" t="s">
        <v>43</v>
      </c>
      <c r="K16" s="42" t="s">
        <v>90</v>
      </c>
    </row>
    <row r="17" spans="1:11" x14ac:dyDescent="0.25">
      <c r="A17" s="1" t="s">
        <v>91</v>
      </c>
      <c r="B17" t="s">
        <v>40</v>
      </c>
      <c r="E17">
        <v>168</v>
      </c>
      <c r="F17" t="s">
        <v>41</v>
      </c>
      <c r="G17" t="s">
        <v>52</v>
      </c>
      <c r="H17" s="27">
        <v>45394</v>
      </c>
      <c r="I17" t="s">
        <v>89</v>
      </c>
      <c r="K17" s="42" t="s">
        <v>92</v>
      </c>
    </row>
    <row r="18" spans="1:11" x14ac:dyDescent="0.25">
      <c r="A18" t="s">
        <v>93</v>
      </c>
      <c r="B18" t="s">
        <v>40</v>
      </c>
      <c r="E18">
        <v>168</v>
      </c>
      <c r="F18" t="s">
        <v>41</v>
      </c>
      <c r="G18" t="s">
        <v>52</v>
      </c>
      <c r="H18" s="27">
        <v>45424</v>
      </c>
      <c r="I18" t="s">
        <v>89</v>
      </c>
      <c r="J18" t="s">
        <v>43</v>
      </c>
      <c r="K18" s="42" t="s">
        <v>94</v>
      </c>
    </row>
    <row r="19" spans="1:11" x14ac:dyDescent="0.25">
      <c r="A19" t="s">
        <v>95</v>
      </c>
      <c r="B19" t="s">
        <v>40</v>
      </c>
      <c r="E19">
        <v>168</v>
      </c>
      <c r="F19" t="s">
        <v>41</v>
      </c>
      <c r="G19" t="s">
        <v>52</v>
      </c>
      <c r="H19" s="29">
        <v>45424</v>
      </c>
      <c r="I19" t="s">
        <v>89</v>
      </c>
      <c r="J19" t="s">
        <v>43</v>
      </c>
      <c r="K19" s="42" t="s">
        <v>96</v>
      </c>
    </row>
    <row r="20" spans="1:11" x14ac:dyDescent="0.25">
      <c r="A20" t="s">
        <v>97</v>
      </c>
      <c r="B20" t="s">
        <v>40</v>
      </c>
      <c r="E20">
        <v>168</v>
      </c>
      <c r="F20" t="s">
        <v>41</v>
      </c>
      <c r="G20" t="s">
        <v>52</v>
      </c>
      <c r="H20" s="29">
        <v>45424</v>
      </c>
      <c r="I20" t="s">
        <v>89</v>
      </c>
      <c r="J20" t="s">
        <v>43</v>
      </c>
      <c r="K20" s="42" t="s">
        <v>98</v>
      </c>
    </row>
    <row r="21" spans="1:11" x14ac:dyDescent="0.25">
      <c r="A21" t="s">
        <v>99</v>
      </c>
      <c r="B21" t="s">
        <v>40</v>
      </c>
      <c r="E21">
        <v>1024</v>
      </c>
      <c r="F21" t="s">
        <v>56</v>
      </c>
      <c r="G21" t="s">
        <v>52</v>
      </c>
      <c r="H21" s="27">
        <v>45577</v>
      </c>
      <c r="I21" t="s">
        <v>100</v>
      </c>
      <c r="J21" t="s">
        <v>43</v>
      </c>
      <c r="K21" s="42" t="s">
        <v>101</v>
      </c>
    </row>
    <row r="22" spans="1:11" x14ac:dyDescent="0.25">
      <c r="A22" s="1" t="s">
        <v>102</v>
      </c>
      <c r="B22" t="s">
        <v>40</v>
      </c>
      <c r="E22">
        <v>1024</v>
      </c>
      <c r="F22" t="s">
        <v>56</v>
      </c>
      <c r="G22" t="s">
        <v>52</v>
      </c>
      <c r="H22" s="27">
        <v>45577</v>
      </c>
      <c r="I22" t="s">
        <v>100</v>
      </c>
      <c r="J22" t="s">
        <v>43</v>
      </c>
      <c r="K22" s="42" t="s">
        <v>103</v>
      </c>
    </row>
    <row r="23" spans="1:11" x14ac:dyDescent="0.25">
      <c r="A23" t="s">
        <v>104</v>
      </c>
      <c r="B23" t="s">
        <v>105</v>
      </c>
      <c r="E23">
        <v>168</v>
      </c>
      <c r="F23" t="s">
        <v>41</v>
      </c>
      <c r="G23" t="s">
        <v>52</v>
      </c>
      <c r="H23" s="27" t="s">
        <v>106</v>
      </c>
      <c r="I23" t="s">
        <v>107</v>
      </c>
      <c r="J23" t="s">
        <v>43</v>
      </c>
      <c r="K23" s="42" t="s">
        <v>108</v>
      </c>
    </row>
    <row r="24" spans="1:11" x14ac:dyDescent="0.25">
      <c r="A24" t="s">
        <v>109</v>
      </c>
      <c r="B24" t="s">
        <v>105</v>
      </c>
      <c r="E24">
        <v>168</v>
      </c>
      <c r="F24" t="s">
        <v>41</v>
      </c>
      <c r="G24" t="s">
        <v>52</v>
      </c>
      <c r="H24" s="27" t="s">
        <v>106</v>
      </c>
      <c r="I24" t="s">
        <v>107</v>
      </c>
      <c r="J24" t="s">
        <v>43</v>
      </c>
      <c r="K24" s="42" t="s">
        <v>110</v>
      </c>
    </row>
    <row r="25" spans="1:11" x14ac:dyDescent="0.25">
      <c r="A25" t="s">
        <v>111</v>
      </c>
      <c r="B25" t="s">
        <v>105</v>
      </c>
      <c r="E25">
        <v>168</v>
      </c>
      <c r="F25" t="s">
        <v>41</v>
      </c>
      <c r="G25" t="s">
        <v>52</v>
      </c>
      <c r="H25" s="27" t="s">
        <v>106</v>
      </c>
      <c r="I25" t="s">
        <v>112</v>
      </c>
      <c r="J25" t="s">
        <v>43</v>
      </c>
      <c r="K25" s="42" t="s">
        <v>113</v>
      </c>
    </row>
    <row r="26" spans="1:11" x14ac:dyDescent="0.25">
      <c r="A26" t="s">
        <v>114</v>
      </c>
      <c r="B26" t="s">
        <v>40</v>
      </c>
      <c r="E26">
        <v>168</v>
      </c>
      <c r="F26" t="s">
        <v>41</v>
      </c>
      <c r="G26" t="s">
        <v>52</v>
      </c>
      <c r="H26" s="27" t="s">
        <v>115</v>
      </c>
      <c r="I26" t="s">
        <v>107</v>
      </c>
      <c r="J26" t="s">
        <v>43</v>
      </c>
      <c r="K26" s="42" t="s">
        <v>116</v>
      </c>
    </row>
    <row r="27" spans="1:11" x14ac:dyDescent="0.25">
      <c r="A27" t="s">
        <v>117</v>
      </c>
      <c r="B27" t="s">
        <v>40</v>
      </c>
      <c r="E27">
        <v>168</v>
      </c>
      <c r="F27" t="s">
        <v>41</v>
      </c>
      <c r="G27" t="s">
        <v>52</v>
      </c>
      <c r="H27" s="27">
        <v>45664</v>
      </c>
      <c r="I27" s="13" t="s">
        <v>107</v>
      </c>
      <c r="J27" t="s">
        <v>43</v>
      </c>
      <c r="K27" s="42" t="s">
        <v>118</v>
      </c>
    </row>
    <row r="28" spans="1:11" x14ac:dyDescent="0.25">
      <c r="A28" t="s">
        <v>119</v>
      </c>
      <c r="B28" t="s">
        <v>40</v>
      </c>
      <c r="E28">
        <v>168</v>
      </c>
      <c r="F28" t="s">
        <v>41</v>
      </c>
      <c r="G28" t="s">
        <v>52</v>
      </c>
      <c r="H28" s="27">
        <v>45664</v>
      </c>
      <c r="I28" t="s">
        <v>120</v>
      </c>
      <c r="J28" t="s">
        <v>43</v>
      </c>
    </row>
    <row r="29" spans="1:11" x14ac:dyDescent="0.25">
      <c r="A29" t="s">
        <v>121</v>
      </c>
      <c r="B29" t="s">
        <v>40</v>
      </c>
      <c r="E29">
        <v>168</v>
      </c>
      <c r="F29" t="s">
        <v>41</v>
      </c>
      <c r="G29" t="s">
        <v>52</v>
      </c>
      <c r="H29" s="27">
        <v>45664</v>
      </c>
      <c r="I29" t="s">
        <v>120</v>
      </c>
      <c r="J29" t="s">
        <v>43</v>
      </c>
    </row>
    <row r="30" spans="1:11" x14ac:dyDescent="0.25">
      <c r="A30" t="s">
        <v>122</v>
      </c>
      <c r="B30" t="s">
        <v>40</v>
      </c>
      <c r="E30">
        <v>168</v>
      </c>
      <c r="F30" t="s">
        <v>41</v>
      </c>
      <c r="G30" t="s">
        <v>52</v>
      </c>
      <c r="H30" s="27" t="s">
        <v>123</v>
      </c>
      <c r="I30" s="13" t="s">
        <v>107</v>
      </c>
      <c r="J30" t="s">
        <v>43</v>
      </c>
      <c r="K30" s="42" t="s">
        <v>124</v>
      </c>
    </row>
    <row r="31" spans="1:11" x14ac:dyDescent="0.25">
      <c r="A31" t="s">
        <v>125</v>
      </c>
      <c r="B31" t="s">
        <v>40</v>
      </c>
      <c r="E31">
        <v>168</v>
      </c>
      <c r="F31" t="s">
        <v>41</v>
      </c>
      <c r="G31" t="s">
        <v>52</v>
      </c>
      <c r="H31" s="27" t="s">
        <v>123</v>
      </c>
      <c r="I31" s="13" t="s">
        <v>107</v>
      </c>
      <c r="J31" t="s">
        <v>43</v>
      </c>
      <c r="K31" s="42" t="s">
        <v>126</v>
      </c>
    </row>
    <row r="32" spans="1:11" ht="30" x14ac:dyDescent="0.25">
      <c r="A32" s="13" t="s">
        <v>127</v>
      </c>
      <c r="B32" t="s">
        <v>40</v>
      </c>
      <c r="E32">
        <v>58</v>
      </c>
      <c r="F32" s="13" t="s">
        <v>128</v>
      </c>
      <c r="G32" t="s">
        <v>52</v>
      </c>
      <c r="H32" s="27" t="s">
        <v>129</v>
      </c>
      <c r="I32" s="13" t="s">
        <v>130</v>
      </c>
      <c r="J32" t="s">
        <v>43</v>
      </c>
      <c r="K32" s="25" t="s">
        <v>131</v>
      </c>
    </row>
    <row r="33" spans="1:11" ht="30" x14ac:dyDescent="0.25">
      <c r="A33" s="13" t="s">
        <v>132</v>
      </c>
      <c r="B33" t="s">
        <v>40</v>
      </c>
      <c r="E33">
        <v>58</v>
      </c>
      <c r="F33" s="13" t="s">
        <v>128</v>
      </c>
      <c r="G33" t="s">
        <v>52</v>
      </c>
      <c r="H33" s="27" t="s">
        <v>129</v>
      </c>
      <c r="I33" s="13" t="s">
        <v>130</v>
      </c>
      <c r="J33" t="s">
        <v>43</v>
      </c>
      <c r="K33" s="25" t="s">
        <v>133</v>
      </c>
    </row>
    <row r="34" spans="1:11" ht="30" x14ac:dyDescent="0.25">
      <c r="A34" s="13" t="s">
        <v>134</v>
      </c>
      <c r="B34" t="s">
        <v>40</v>
      </c>
      <c r="E34">
        <v>58</v>
      </c>
      <c r="F34" s="13" t="s">
        <v>128</v>
      </c>
      <c r="G34" t="s">
        <v>52</v>
      </c>
      <c r="H34" s="27" t="s">
        <v>129</v>
      </c>
      <c r="I34" t="s">
        <v>135</v>
      </c>
      <c r="J34" t="s">
        <v>43</v>
      </c>
      <c r="K34" s="25" t="s">
        <v>136</v>
      </c>
    </row>
    <row r="35" spans="1:11" ht="30" x14ac:dyDescent="0.25">
      <c r="A35" s="13" t="s">
        <v>137</v>
      </c>
      <c r="B35" t="s">
        <v>40</v>
      </c>
      <c r="E35">
        <v>58</v>
      </c>
      <c r="F35" s="13" t="s">
        <v>128</v>
      </c>
      <c r="G35" t="s">
        <v>52</v>
      </c>
      <c r="H35" s="27" t="s">
        <v>129</v>
      </c>
      <c r="I35" t="s">
        <v>135</v>
      </c>
      <c r="J35" t="s">
        <v>43</v>
      </c>
      <c r="K35" s="25" t="s">
        <v>138</v>
      </c>
    </row>
    <row r="36" spans="1:11" ht="30" x14ac:dyDescent="0.25">
      <c r="A36" s="13" t="s">
        <v>139</v>
      </c>
      <c r="B36" t="s">
        <v>40</v>
      </c>
      <c r="E36">
        <v>58</v>
      </c>
      <c r="F36" s="13" t="s">
        <v>128</v>
      </c>
      <c r="G36" t="s">
        <v>52</v>
      </c>
      <c r="H36" s="27" t="s">
        <v>129</v>
      </c>
      <c r="I36" t="s">
        <v>135</v>
      </c>
      <c r="J36" t="s">
        <v>43</v>
      </c>
      <c r="K36" s="25" t="s">
        <v>140</v>
      </c>
    </row>
    <row r="37" spans="1:11" x14ac:dyDescent="0.25">
      <c r="A37" t="s">
        <v>141</v>
      </c>
      <c r="B37" t="s">
        <v>40</v>
      </c>
      <c r="E37">
        <v>1091</v>
      </c>
      <c r="F37" t="s">
        <v>56</v>
      </c>
      <c r="G37" t="s">
        <v>52</v>
      </c>
      <c r="H37" s="27" t="s">
        <v>142</v>
      </c>
      <c r="I37" t="s">
        <v>143</v>
      </c>
      <c r="J37" t="s">
        <v>43</v>
      </c>
      <c r="K37" s="25" t="s">
        <v>144</v>
      </c>
    </row>
    <row r="38" spans="1:11" x14ac:dyDescent="0.25">
      <c r="A38" t="s">
        <v>145</v>
      </c>
      <c r="B38" t="s">
        <v>40</v>
      </c>
      <c r="E38">
        <v>1091</v>
      </c>
      <c r="F38" t="s">
        <v>56</v>
      </c>
      <c r="G38" t="s">
        <v>52</v>
      </c>
      <c r="H38" s="27">
        <v>45684</v>
      </c>
      <c r="I38" t="s">
        <v>143</v>
      </c>
      <c r="J38" t="s">
        <v>43</v>
      </c>
      <c r="K38" s="25" t="s">
        <v>146</v>
      </c>
    </row>
    <row r="39" spans="1:11" ht="30" x14ac:dyDescent="0.25">
      <c r="A39" s="13" t="s">
        <v>147</v>
      </c>
      <c r="B39" t="s">
        <v>40</v>
      </c>
      <c r="E39">
        <v>70</v>
      </c>
      <c r="F39" s="13" t="s">
        <v>148</v>
      </c>
      <c r="G39" t="s">
        <v>52</v>
      </c>
      <c r="H39" s="27">
        <v>45691</v>
      </c>
      <c r="I39" t="s">
        <v>135</v>
      </c>
      <c r="J39" t="s">
        <v>43</v>
      </c>
      <c r="K39" s="25" t="s">
        <v>149</v>
      </c>
    </row>
    <row r="40" spans="1:11" ht="30" x14ac:dyDescent="0.25">
      <c r="A40" s="13" t="s">
        <v>150</v>
      </c>
      <c r="B40" t="s">
        <v>40</v>
      </c>
      <c r="E40">
        <v>70</v>
      </c>
      <c r="F40" s="13" t="s">
        <v>148</v>
      </c>
      <c r="G40" t="s">
        <v>52</v>
      </c>
      <c r="H40" s="27">
        <v>45691</v>
      </c>
      <c r="I40" t="s">
        <v>135</v>
      </c>
      <c r="J40" t="s">
        <v>43</v>
      </c>
      <c r="K40" s="25" t="s">
        <v>151</v>
      </c>
    </row>
    <row r="41" spans="1:11" ht="30" x14ac:dyDescent="0.25">
      <c r="A41" s="13" t="s">
        <v>152</v>
      </c>
      <c r="B41" t="s">
        <v>40</v>
      </c>
      <c r="E41">
        <v>70</v>
      </c>
      <c r="F41" s="13" t="s">
        <v>148</v>
      </c>
      <c r="G41" t="s">
        <v>52</v>
      </c>
      <c r="H41" s="27">
        <v>45691</v>
      </c>
      <c r="I41" t="s">
        <v>135</v>
      </c>
      <c r="J41" t="s">
        <v>43</v>
      </c>
      <c r="K41" s="25" t="s">
        <v>153</v>
      </c>
    </row>
    <row r="42" spans="1:11" ht="43.5" customHeight="1" x14ac:dyDescent="0.25">
      <c r="A42" s="13" t="s">
        <v>154</v>
      </c>
      <c r="B42" t="s">
        <v>40</v>
      </c>
      <c r="C42" t="s">
        <v>155</v>
      </c>
      <c r="D42" t="s">
        <v>155</v>
      </c>
      <c r="E42" s="66">
        <v>64.3</v>
      </c>
      <c r="F42" s="13" t="s">
        <v>156</v>
      </c>
      <c r="G42" t="s">
        <v>52</v>
      </c>
      <c r="H42" s="27">
        <v>45695</v>
      </c>
      <c r="I42" s="13" t="s">
        <v>157</v>
      </c>
      <c r="J42" t="s">
        <v>43</v>
      </c>
      <c r="K42" s="25" t="s">
        <v>158</v>
      </c>
    </row>
    <row r="43" spans="1:11" ht="48" customHeight="1" x14ac:dyDescent="0.25">
      <c r="A43" s="13" t="s">
        <v>159</v>
      </c>
      <c r="B43" t="s">
        <v>40</v>
      </c>
      <c r="C43" t="s">
        <v>155</v>
      </c>
      <c r="D43" t="s">
        <v>155</v>
      </c>
      <c r="E43" s="66">
        <v>64.3</v>
      </c>
      <c r="F43" s="13" t="s">
        <v>156</v>
      </c>
      <c r="G43" t="s">
        <v>52</v>
      </c>
      <c r="H43" s="27">
        <v>45695</v>
      </c>
      <c r="I43" s="13" t="s">
        <v>157</v>
      </c>
      <c r="J43" t="s">
        <v>43</v>
      </c>
      <c r="K43" s="25" t="s">
        <v>160</v>
      </c>
    </row>
    <row r="44" spans="1:11" ht="52.5" customHeight="1" x14ac:dyDescent="0.25">
      <c r="A44" s="13" t="s">
        <v>161</v>
      </c>
      <c r="B44" t="s">
        <v>40</v>
      </c>
      <c r="C44" t="s">
        <v>155</v>
      </c>
      <c r="D44" t="s">
        <v>155</v>
      </c>
      <c r="E44" s="66">
        <v>64.3</v>
      </c>
      <c r="F44" s="13" t="s">
        <v>156</v>
      </c>
      <c r="G44" t="s">
        <v>52</v>
      </c>
      <c r="H44" s="27">
        <v>45695</v>
      </c>
      <c r="I44" s="13" t="s">
        <v>157</v>
      </c>
      <c r="J44" t="s">
        <v>43</v>
      </c>
      <c r="K44" s="25" t="s">
        <v>162</v>
      </c>
    </row>
    <row r="45" spans="1:11" ht="30" x14ac:dyDescent="0.25">
      <c r="A45" t="s">
        <v>163</v>
      </c>
      <c r="B45" t="s">
        <v>40</v>
      </c>
      <c r="C45" t="s">
        <v>155</v>
      </c>
      <c r="D45" t="s">
        <v>155</v>
      </c>
      <c r="E45">
        <v>48</v>
      </c>
      <c r="F45" t="s">
        <v>164</v>
      </c>
      <c r="G45" t="s">
        <v>52</v>
      </c>
      <c r="H45" s="27">
        <v>45698</v>
      </c>
      <c r="I45" s="13" t="s">
        <v>165</v>
      </c>
      <c r="J45" t="s">
        <v>43</v>
      </c>
      <c r="K45" s="25" t="s">
        <v>166</v>
      </c>
    </row>
    <row r="46" spans="1:11" ht="30" x14ac:dyDescent="0.25">
      <c r="A46" t="s">
        <v>167</v>
      </c>
      <c r="B46" t="s">
        <v>40</v>
      </c>
      <c r="C46" t="s">
        <v>155</v>
      </c>
      <c r="D46" t="s">
        <v>155</v>
      </c>
      <c r="E46">
        <v>48</v>
      </c>
      <c r="F46" t="s">
        <v>164</v>
      </c>
      <c r="G46" t="s">
        <v>52</v>
      </c>
      <c r="H46" s="27">
        <v>45698</v>
      </c>
      <c r="I46" s="13" t="s">
        <v>165</v>
      </c>
      <c r="J46" t="s">
        <v>43</v>
      </c>
      <c r="K46" s="25" t="s">
        <v>168</v>
      </c>
    </row>
    <row r="47" spans="1:11" ht="30" x14ac:dyDescent="0.25">
      <c r="A47" t="s">
        <v>169</v>
      </c>
      <c r="B47" t="s">
        <v>40</v>
      </c>
      <c r="C47" t="s">
        <v>155</v>
      </c>
      <c r="D47" t="s">
        <v>155</v>
      </c>
      <c r="E47">
        <v>48</v>
      </c>
      <c r="F47" t="s">
        <v>164</v>
      </c>
      <c r="G47" t="s">
        <v>52</v>
      </c>
      <c r="H47" s="27">
        <v>45698</v>
      </c>
      <c r="I47" s="13" t="s">
        <v>165</v>
      </c>
      <c r="J47" t="s">
        <v>43</v>
      </c>
      <c r="K47" s="25" t="s">
        <v>170</v>
      </c>
    </row>
    <row r="48" spans="1:11" ht="15" customHeight="1" x14ac:dyDescent="0.25">
      <c r="A48" t="s">
        <v>171</v>
      </c>
      <c r="B48" t="s">
        <v>40</v>
      </c>
      <c r="E48">
        <v>1004</v>
      </c>
      <c r="F48" t="s">
        <v>56</v>
      </c>
      <c r="G48" t="s">
        <v>52</v>
      </c>
      <c r="H48" s="27">
        <v>45701</v>
      </c>
      <c r="I48" t="s">
        <v>172</v>
      </c>
      <c r="J48" t="s">
        <v>43</v>
      </c>
      <c r="K48" s="42" t="s">
        <v>173</v>
      </c>
    </row>
    <row r="49" spans="1:11" ht="15" customHeight="1" x14ac:dyDescent="0.25">
      <c r="A49" t="s">
        <v>174</v>
      </c>
      <c r="B49" t="s">
        <v>40</v>
      </c>
      <c r="E49">
        <v>983</v>
      </c>
      <c r="F49" t="s">
        <v>56</v>
      </c>
      <c r="G49" t="s">
        <v>52</v>
      </c>
      <c r="H49" s="27">
        <v>45701</v>
      </c>
      <c r="I49" t="s">
        <v>175</v>
      </c>
      <c r="J49" t="s">
        <v>43</v>
      </c>
      <c r="K49" s="42" t="s">
        <v>176</v>
      </c>
    </row>
    <row r="50" spans="1:11" ht="30" x14ac:dyDescent="0.25">
      <c r="A50" s="13" t="s">
        <v>177</v>
      </c>
      <c r="B50" t="s">
        <v>40</v>
      </c>
      <c r="D50" t="s">
        <v>178</v>
      </c>
      <c r="E50">
        <v>48</v>
      </c>
      <c r="F50" t="s">
        <v>164</v>
      </c>
      <c r="G50" t="s">
        <v>52</v>
      </c>
      <c r="H50" s="27">
        <v>45707</v>
      </c>
      <c r="I50" s="13" t="s">
        <v>179</v>
      </c>
      <c r="J50" t="s">
        <v>43</v>
      </c>
      <c r="K50" s="25" t="s">
        <v>180</v>
      </c>
    </row>
    <row r="51" spans="1:11" ht="30" x14ac:dyDescent="0.25">
      <c r="A51" t="s">
        <v>181</v>
      </c>
      <c r="B51" t="s">
        <v>40</v>
      </c>
      <c r="C51" t="s">
        <v>155</v>
      </c>
      <c r="D51" t="s">
        <v>178</v>
      </c>
      <c r="E51">
        <v>48</v>
      </c>
      <c r="F51" t="s">
        <v>164</v>
      </c>
      <c r="G51" t="s">
        <v>52</v>
      </c>
      <c r="H51" s="27">
        <v>45707</v>
      </c>
      <c r="I51" s="13" t="s">
        <v>179</v>
      </c>
      <c r="J51" t="s">
        <v>43</v>
      </c>
      <c r="K51" s="25" t="s">
        <v>182</v>
      </c>
    </row>
    <row r="52" spans="1:11" ht="30" x14ac:dyDescent="0.25">
      <c r="A52" t="s">
        <v>183</v>
      </c>
      <c r="B52" t="s">
        <v>40</v>
      </c>
      <c r="D52" t="s">
        <v>178</v>
      </c>
      <c r="E52">
        <v>48</v>
      </c>
      <c r="F52" t="s">
        <v>164</v>
      </c>
      <c r="G52" t="s">
        <v>52</v>
      </c>
      <c r="H52" s="27">
        <v>45707</v>
      </c>
      <c r="I52" s="13" t="s">
        <v>179</v>
      </c>
      <c r="J52" t="s">
        <v>43</v>
      </c>
      <c r="K52" s="25" t="s">
        <v>184</v>
      </c>
    </row>
    <row r="53" spans="1:11" ht="15" customHeight="1" x14ac:dyDescent="0.25">
      <c r="A53" s="13" t="s">
        <v>185</v>
      </c>
      <c r="B53" t="s">
        <v>40</v>
      </c>
      <c r="C53" t="s">
        <v>155</v>
      </c>
      <c r="D53" t="s">
        <v>155</v>
      </c>
      <c r="E53">
        <v>48</v>
      </c>
      <c r="F53" t="s">
        <v>186</v>
      </c>
      <c r="G53" t="s">
        <v>52</v>
      </c>
      <c r="H53" s="27">
        <v>45712</v>
      </c>
      <c r="I53" t="s">
        <v>187</v>
      </c>
      <c r="J53" t="s">
        <v>43</v>
      </c>
      <c r="K53" s="42" t="s">
        <v>188</v>
      </c>
    </row>
    <row r="54" spans="1:11" ht="15" customHeight="1" x14ac:dyDescent="0.25">
      <c r="A54" t="s">
        <v>189</v>
      </c>
      <c r="B54" t="s">
        <v>40</v>
      </c>
      <c r="C54" t="s">
        <v>155</v>
      </c>
      <c r="D54" t="s">
        <v>155</v>
      </c>
      <c r="E54">
        <v>48</v>
      </c>
      <c r="F54" t="s">
        <v>186</v>
      </c>
      <c r="G54" t="s">
        <v>52</v>
      </c>
      <c r="H54" s="27">
        <v>45712</v>
      </c>
      <c r="I54" t="s">
        <v>187</v>
      </c>
      <c r="J54" t="s">
        <v>43</v>
      </c>
      <c r="K54" s="42" t="s">
        <v>190</v>
      </c>
    </row>
    <row r="55" spans="1:11" ht="15" customHeight="1" x14ac:dyDescent="0.25">
      <c r="A55" t="s">
        <v>191</v>
      </c>
      <c r="B55" t="s">
        <v>40</v>
      </c>
      <c r="C55" t="s">
        <v>155</v>
      </c>
      <c r="D55" t="s">
        <v>155</v>
      </c>
      <c r="E55">
        <v>48</v>
      </c>
      <c r="F55" t="s">
        <v>186</v>
      </c>
      <c r="G55" t="s">
        <v>52</v>
      </c>
      <c r="H55" s="27">
        <v>45712</v>
      </c>
      <c r="I55" t="s">
        <v>187</v>
      </c>
      <c r="K55" s="42" t="s">
        <v>192</v>
      </c>
    </row>
    <row r="56" spans="1:11" ht="15" customHeight="1" x14ac:dyDescent="0.25">
      <c r="A56" t="s">
        <v>193</v>
      </c>
      <c r="B56" t="s">
        <v>40</v>
      </c>
      <c r="C56" t="s">
        <v>178</v>
      </c>
      <c r="D56" t="s">
        <v>194</v>
      </c>
      <c r="E56">
        <v>168</v>
      </c>
      <c r="F56" t="s">
        <v>41</v>
      </c>
      <c r="G56" t="s">
        <v>52</v>
      </c>
      <c r="H56" s="27">
        <v>45730</v>
      </c>
      <c r="I56" s="13" t="s">
        <v>195</v>
      </c>
      <c r="J56" t="s">
        <v>196</v>
      </c>
      <c r="K56" s="42" t="s">
        <v>197</v>
      </c>
    </row>
    <row r="57" spans="1:11" ht="15" customHeight="1" x14ac:dyDescent="0.25">
      <c r="A57" t="s">
        <v>198</v>
      </c>
      <c r="B57" t="s">
        <v>40</v>
      </c>
      <c r="C57" t="s">
        <v>178</v>
      </c>
      <c r="D57" t="s">
        <v>194</v>
      </c>
      <c r="E57">
        <v>168</v>
      </c>
      <c r="F57" t="s">
        <v>41</v>
      </c>
      <c r="G57" t="s">
        <v>52</v>
      </c>
      <c r="H57" s="27">
        <v>45730</v>
      </c>
      <c r="I57" s="13" t="s">
        <v>195</v>
      </c>
      <c r="J57" t="s">
        <v>196</v>
      </c>
      <c r="K57" s="42" t="s">
        <v>199</v>
      </c>
    </row>
    <row r="58" spans="1:11" ht="15" customHeight="1" x14ac:dyDescent="0.25">
      <c r="A58" t="s">
        <v>200</v>
      </c>
      <c r="B58" t="s">
        <v>40</v>
      </c>
      <c r="C58" t="s">
        <v>178</v>
      </c>
      <c r="D58" t="s">
        <v>194</v>
      </c>
      <c r="E58">
        <v>168</v>
      </c>
      <c r="F58" t="s">
        <v>41</v>
      </c>
      <c r="G58" t="s">
        <v>52</v>
      </c>
      <c r="H58" s="27">
        <v>45730</v>
      </c>
      <c r="I58" s="13" t="s">
        <v>195</v>
      </c>
      <c r="J58" t="s">
        <v>43</v>
      </c>
      <c r="K58" s="42" t="s">
        <v>201</v>
      </c>
    </row>
    <row r="59" spans="1:11" ht="49.5" customHeight="1" x14ac:dyDescent="0.25">
      <c r="A59" t="s">
        <v>202</v>
      </c>
      <c r="B59" t="s">
        <v>40</v>
      </c>
      <c r="C59" t="s">
        <v>178</v>
      </c>
      <c r="D59" t="s">
        <v>203</v>
      </c>
      <c r="E59">
        <v>168</v>
      </c>
      <c r="F59" t="s">
        <v>41</v>
      </c>
      <c r="G59" t="s">
        <v>52</v>
      </c>
      <c r="H59" s="27">
        <v>45734</v>
      </c>
      <c r="I59" s="13" t="s">
        <v>204</v>
      </c>
      <c r="J59" t="s">
        <v>196</v>
      </c>
      <c r="K59" s="42" t="s">
        <v>205</v>
      </c>
    </row>
    <row r="60" spans="1:11" ht="15" customHeight="1" x14ac:dyDescent="0.25">
      <c r="A60" t="s">
        <v>206</v>
      </c>
      <c r="B60" t="s">
        <v>40</v>
      </c>
      <c r="C60" t="s">
        <v>178</v>
      </c>
      <c r="D60" t="s">
        <v>203</v>
      </c>
      <c r="E60">
        <v>168</v>
      </c>
      <c r="F60" t="s">
        <v>41</v>
      </c>
      <c r="G60" t="s">
        <v>52</v>
      </c>
      <c r="H60" s="27">
        <v>45734</v>
      </c>
      <c r="I60" s="37" t="s">
        <v>207</v>
      </c>
      <c r="J60" t="s">
        <v>196</v>
      </c>
      <c r="K60" s="42" t="s">
        <v>208</v>
      </c>
    </row>
    <row r="61" spans="1:11" ht="15" customHeight="1" x14ac:dyDescent="0.25">
      <c r="A61" t="s">
        <v>209</v>
      </c>
      <c r="B61" t="s">
        <v>40</v>
      </c>
      <c r="C61" t="s">
        <v>178</v>
      </c>
      <c r="D61" t="s">
        <v>178</v>
      </c>
      <c r="E61">
        <v>168</v>
      </c>
      <c r="F61" t="s">
        <v>41</v>
      </c>
      <c r="G61" t="s">
        <v>52</v>
      </c>
      <c r="H61" s="27">
        <v>45736</v>
      </c>
      <c r="I61" s="13" t="s">
        <v>210</v>
      </c>
      <c r="J61" t="s">
        <v>196</v>
      </c>
      <c r="K61" s="42" t="s">
        <v>211</v>
      </c>
    </row>
    <row r="62" spans="1:11" ht="15" customHeight="1" x14ac:dyDescent="0.25">
      <c r="A62" t="s">
        <v>212</v>
      </c>
      <c r="B62" t="s">
        <v>40</v>
      </c>
      <c r="C62" t="s">
        <v>178</v>
      </c>
      <c r="D62" t="s">
        <v>178</v>
      </c>
      <c r="E62">
        <v>168</v>
      </c>
      <c r="F62" t="s">
        <v>41</v>
      </c>
      <c r="G62" t="s">
        <v>52</v>
      </c>
      <c r="H62" s="27">
        <v>45736</v>
      </c>
      <c r="I62" s="34" t="s">
        <v>213</v>
      </c>
      <c r="J62" t="s">
        <v>196</v>
      </c>
      <c r="K62" s="42" t="s">
        <v>214</v>
      </c>
    </row>
    <row r="63" spans="1:11" ht="15" customHeight="1" x14ac:dyDescent="0.25">
      <c r="A63" t="s">
        <v>215</v>
      </c>
      <c r="B63" t="s">
        <v>40</v>
      </c>
      <c r="C63" t="s">
        <v>178</v>
      </c>
      <c r="D63" t="s">
        <v>178</v>
      </c>
      <c r="E63">
        <v>168</v>
      </c>
      <c r="F63" t="s">
        <v>41</v>
      </c>
      <c r="G63" t="s">
        <v>52</v>
      </c>
      <c r="H63" s="27">
        <v>45736</v>
      </c>
      <c r="I63" s="13" t="s">
        <v>216</v>
      </c>
      <c r="J63" t="s">
        <v>196</v>
      </c>
      <c r="K63" s="42" t="s">
        <v>217</v>
      </c>
    </row>
    <row r="64" spans="1:11" ht="15" customHeight="1" x14ac:dyDescent="0.25">
      <c r="A64" t="s">
        <v>218</v>
      </c>
      <c r="B64" t="s">
        <v>40</v>
      </c>
      <c r="C64" t="s">
        <v>178</v>
      </c>
      <c r="D64" t="s">
        <v>155</v>
      </c>
      <c r="E64">
        <v>168</v>
      </c>
      <c r="F64" t="s">
        <v>41</v>
      </c>
      <c r="G64" t="s">
        <v>52</v>
      </c>
      <c r="H64" s="27">
        <v>45744</v>
      </c>
      <c r="I64" t="s">
        <v>219</v>
      </c>
      <c r="J64" t="s">
        <v>196</v>
      </c>
      <c r="K64" s="42" t="s">
        <v>220</v>
      </c>
    </row>
    <row r="65" spans="1:11" ht="15" customHeight="1" x14ac:dyDescent="0.25">
      <c r="A65" t="s">
        <v>221</v>
      </c>
      <c r="B65" t="s">
        <v>40</v>
      </c>
      <c r="C65" t="s">
        <v>178</v>
      </c>
      <c r="D65" t="s">
        <v>155</v>
      </c>
      <c r="E65">
        <v>168</v>
      </c>
      <c r="F65" t="s">
        <v>41</v>
      </c>
      <c r="G65" t="s">
        <v>52</v>
      </c>
      <c r="H65" s="27">
        <v>45744</v>
      </c>
      <c r="I65" t="s">
        <v>219</v>
      </c>
      <c r="J65" t="s">
        <v>196</v>
      </c>
      <c r="K65" s="42" t="s">
        <v>222</v>
      </c>
    </row>
    <row r="66" spans="1:11" ht="15" customHeight="1" x14ac:dyDescent="0.25">
      <c r="A66" t="s">
        <v>223</v>
      </c>
      <c r="B66" t="s">
        <v>40</v>
      </c>
      <c r="C66" t="s">
        <v>178</v>
      </c>
      <c r="D66" t="s">
        <v>155</v>
      </c>
      <c r="E66">
        <v>168</v>
      </c>
      <c r="F66" t="s">
        <v>41</v>
      </c>
      <c r="G66" t="s">
        <v>52</v>
      </c>
      <c r="H66" s="27">
        <v>45744</v>
      </c>
      <c r="I66" t="s">
        <v>219</v>
      </c>
      <c r="J66" t="s">
        <v>196</v>
      </c>
      <c r="K66" s="42" t="s">
        <v>224</v>
      </c>
    </row>
    <row r="67" spans="1:11" ht="15" customHeight="1" x14ac:dyDescent="0.25">
      <c r="A67" t="s">
        <v>225</v>
      </c>
      <c r="B67" t="s">
        <v>40</v>
      </c>
      <c r="C67" t="s">
        <v>178</v>
      </c>
      <c r="D67" t="s">
        <v>155</v>
      </c>
      <c r="E67">
        <v>168</v>
      </c>
      <c r="F67" t="s">
        <v>41</v>
      </c>
      <c r="G67" t="s">
        <v>52</v>
      </c>
      <c r="H67" s="27">
        <v>45744</v>
      </c>
      <c r="I67" s="24" t="s">
        <v>226</v>
      </c>
      <c r="J67" t="s">
        <v>196</v>
      </c>
      <c r="K67" s="42" t="s">
        <v>227</v>
      </c>
    </row>
    <row r="68" spans="1:11" ht="15" customHeight="1" x14ac:dyDescent="0.25">
      <c r="A68" t="s">
        <v>228</v>
      </c>
      <c r="B68" t="s">
        <v>40</v>
      </c>
      <c r="C68" t="s">
        <v>178</v>
      </c>
      <c r="D68" t="s">
        <v>155</v>
      </c>
      <c r="E68">
        <v>168</v>
      </c>
      <c r="F68" t="s">
        <v>41</v>
      </c>
      <c r="G68" t="s">
        <v>52</v>
      </c>
      <c r="H68" s="27">
        <v>45744</v>
      </c>
      <c r="I68" t="s">
        <v>229</v>
      </c>
      <c r="J68" t="s">
        <v>196</v>
      </c>
      <c r="K68" s="42" t="s">
        <v>230</v>
      </c>
    </row>
    <row r="69" spans="1:11" ht="15" customHeight="1" x14ac:dyDescent="0.25">
      <c r="A69" t="s">
        <v>231</v>
      </c>
      <c r="B69" t="s">
        <v>40</v>
      </c>
      <c r="C69" t="s">
        <v>178</v>
      </c>
      <c r="D69" t="s">
        <v>155</v>
      </c>
      <c r="E69">
        <v>168</v>
      </c>
      <c r="F69" t="s">
        <v>41</v>
      </c>
      <c r="G69" t="s">
        <v>52</v>
      </c>
      <c r="H69" s="27">
        <v>45744</v>
      </c>
      <c r="I69" t="s">
        <v>229</v>
      </c>
      <c r="J69" t="s">
        <v>196</v>
      </c>
      <c r="K69" s="42" t="s">
        <v>232</v>
      </c>
    </row>
    <row r="70" spans="1:11" ht="15" customHeight="1" x14ac:dyDescent="0.25">
      <c r="A70" t="s">
        <v>233</v>
      </c>
      <c r="B70" t="s">
        <v>40</v>
      </c>
      <c r="C70" t="s">
        <v>194</v>
      </c>
      <c r="D70" t="s">
        <v>74</v>
      </c>
      <c r="E70">
        <v>168</v>
      </c>
      <c r="F70" t="s">
        <v>41</v>
      </c>
      <c r="G70" t="s">
        <v>52</v>
      </c>
      <c r="H70" s="27">
        <v>45747</v>
      </c>
      <c r="I70" s="1" t="s">
        <v>234</v>
      </c>
      <c r="J70" t="s">
        <v>196</v>
      </c>
      <c r="K70" s="42" t="s">
        <v>235</v>
      </c>
    </row>
    <row r="71" spans="1:11" ht="15" customHeight="1" x14ac:dyDescent="0.25">
      <c r="A71" t="s">
        <v>236</v>
      </c>
      <c r="B71" t="s">
        <v>40</v>
      </c>
      <c r="C71" t="s">
        <v>194</v>
      </c>
      <c r="D71" t="s">
        <v>74</v>
      </c>
      <c r="E71">
        <v>168</v>
      </c>
      <c r="F71" t="s">
        <v>41</v>
      </c>
      <c r="G71" t="s">
        <v>52</v>
      </c>
      <c r="H71" s="27">
        <v>45747</v>
      </c>
      <c r="I71" t="s">
        <v>237</v>
      </c>
      <c r="J71" t="s">
        <v>196</v>
      </c>
      <c r="K71" s="42" t="s">
        <v>238</v>
      </c>
    </row>
    <row r="72" spans="1:11" ht="15" customHeight="1" x14ac:dyDescent="0.25">
      <c r="A72" t="s">
        <v>239</v>
      </c>
      <c r="B72" t="s">
        <v>40</v>
      </c>
      <c r="C72" t="s">
        <v>194</v>
      </c>
      <c r="D72" t="s">
        <v>74</v>
      </c>
      <c r="E72">
        <v>168</v>
      </c>
      <c r="F72" t="s">
        <v>41</v>
      </c>
      <c r="G72" t="s">
        <v>52</v>
      </c>
      <c r="H72" s="27">
        <v>45747</v>
      </c>
      <c r="I72" t="s">
        <v>237</v>
      </c>
      <c r="J72" t="s">
        <v>196</v>
      </c>
      <c r="K72" s="25" t="s">
        <v>240</v>
      </c>
    </row>
    <row r="73" spans="1:11" ht="15" customHeight="1" x14ac:dyDescent="0.25">
      <c r="A73" t="s">
        <v>241</v>
      </c>
      <c r="B73" t="s">
        <v>40</v>
      </c>
      <c r="C73" t="s">
        <v>155</v>
      </c>
      <c r="D73" t="s">
        <v>194</v>
      </c>
      <c r="E73">
        <v>168</v>
      </c>
      <c r="F73" t="s">
        <v>41</v>
      </c>
      <c r="G73" t="s">
        <v>52</v>
      </c>
      <c r="H73" s="27">
        <v>45765</v>
      </c>
      <c r="I73" s="1" t="s">
        <v>242</v>
      </c>
      <c r="J73" t="s">
        <v>196</v>
      </c>
      <c r="K73" s="42" t="s">
        <v>243</v>
      </c>
    </row>
    <row r="74" spans="1:11" ht="15" customHeight="1" x14ac:dyDescent="0.25">
      <c r="A74" t="s">
        <v>244</v>
      </c>
      <c r="B74" t="s">
        <v>40</v>
      </c>
      <c r="C74" t="s">
        <v>245</v>
      </c>
      <c r="D74" t="s">
        <v>178</v>
      </c>
      <c r="E74">
        <v>168</v>
      </c>
      <c r="F74" t="s">
        <v>41</v>
      </c>
      <c r="G74" t="s">
        <v>246</v>
      </c>
      <c r="H74" s="27">
        <v>45777</v>
      </c>
      <c r="I74" t="s">
        <v>247</v>
      </c>
      <c r="J74" t="s">
        <v>196</v>
      </c>
      <c r="K74" s="42" t="s">
        <v>248</v>
      </c>
    </row>
    <row r="75" spans="1:11" ht="15" customHeight="1" x14ac:dyDescent="0.25">
      <c r="A75" t="s">
        <v>249</v>
      </c>
      <c r="B75" t="s">
        <v>40</v>
      </c>
      <c r="C75" t="s">
        <v>245</v>
      </c>
      <c r="D75" t="s">
        <v>178</v>
      </c>
      <c r="E75">
        <v>168</v>
      </c>
      <c r="F75" t="s">
        <v>41</v>
      </c>
      <c r="G75" t="s">
        <v>246</v>
      </c>
      <c r="H75" s="27">
        <v>45777</v>
      </c>
      <c r="I75" t="s">
        <v>247</v>
      </c>
      <c r="J75" t="s">
        <v>196</v>
      </c>
      <c r="K75" s="42" t="s">
        <v>250</v>
      </c>
    </row>
    <row r="76" spans="1:11" x14ac:dyDescent="0.25">
      <c r="A76" t="s">
        <v>251</v>
      </c>
      <c r="B76" t="s">
        <v>40</v>
      </c>
      <c r="C76" t="s">
        <v>155</v>
      </c>
      <c r="D76" t="s">
        <v>155</v>
      </c>
      <c r="E76">
        <v>72</v>
      </c>
      <c r="F76" t="s">
        <v>41</v>
      </c>
      <c r="G76" t="s">
        <v>246</v>
      </c>
      <c r="H76" s="27">
        <v>45778</v>
      </c>
      <c r="I76" t="s">
        <v>58</v>
      </c>
      <c r="J76" s="13"/>
      <c r="K76" s="42" t="s">
        <v>252</v>
      </c>
    </row>
    <row r="77" spans="1:11" ht="30" x14ac:dyDescent="0.25">
      <c r="A77" t="s">
        <v>253</v>
      </c>
      <c r="B77" t="s">
        <v>40</v>
      </c>
      <c r="C77" t="s">
        <v>155</v>
      </c>
      <c r="D77" t="s">
        <v>155</v>
      </c>
      <c r="E77">
        <v>72</v>
      </c>
      <c r="F77" t="s">
        <v>41</v>
      </c>
      <c r="G77" t="s">
        <v>246</v>
      </c>
      <c r="H77" s="27">
        <v>45778</v>
      </c>
      <c r="I77" s="13" t="s">
        <v>254</v>
      </c>
      <c r="J77" s="13"/>
      <c r="K77" s="42" t="s">
        <v>255</v>
      </c>
    </row>
    <row r="78" spans="1:11" ht="15" customHeight="1" x14ac:dyDescent="0.25">
      <c r="A78" t="s">
        <v>256</v>
      </c>
      <c r="B78" t="s">
        <v>40</v>
      </c>
      <c r="C78" t="s">
        <v>257</v>
      </c>
      <c r="D78" t="s">
        <v>258</v>
      </c>
      <c r="E78">
        <v>168</v>
      </c>
      <c r="F78" t="s">
        <v>41</v>
      </c>
      <c r="G78" t="s">
        <v>246</v>
      </c>
      <c r="H78" s="27">
        <v>45779</v>
      </c>
      <c r="I78" t="s">
        <v>259</v>
      </c>
      <c r="J78" t="s">
        <v>196</v>
      </c>
      <c r="K78" s="42" t="s">
        <v>260</v>
      </c>
    </row>
    <row r="79" spans="1:11" ht="15" customHeight="1" x14ac:dyDescent="0.25">
      <c r="A79" t="s">
        <v>261</v>
      </c>
      <c r="B79" t="s">
        <v>40</v>
      </c>
      <c r="C79" t="s">
        <v>194</v>
      </c>
      <c r="D79" t="s">
        <v>258</v>
      </c>
      <c r="E79">
        <v>168</v>
      </c>
      <c r="F79" t="s">
        <v>41</v>
      </c>
      <c r="G79" t="s">
        <v>246</v>
      </c>
      <c r="H79" s="27">
        <v>45779</v>
      </c>
      <c r="I79" s="13" t="s">
        <v>262</v>
      </c>
      <c r="J79" s="13"/>
      <c r="K79" s="42" t="s">
        <v>263</v>
      </c>
    </row>
    <row r="80" spans="1:11" ht="50.25" customHeight="1" x14ac:dyDescent="0.25">
      <c r="A80" t="s">
        <v>264</v>
      </c>
      <c r="B80" t="s">
        <v>40</v>
      </c>
      <c r="C80" t="s">
        <v>155</v>
      </c>
      <c r="D80" t="s">
        <v>245</v>
      </c>
      <c r="E80" s="68">
        <v>0.79513888888888884</v>
      </c>
      <c r="F80" t="s">
        <v>41</v>
      </c>
      <c r="G80" t="s">
        <v>246</v>
      </c>
      <c r="H80" s="27">
        <v>45779</v>
      </c>
      <c r="I80" s="13" t="s">
        <v>265</v>
      </c>
      <c r="J80" s="13"/>
      <c r="K80" s="42" t="s">
        <v>266</v>
      </c>
    </row>
    <row r="81" spans="1:11" ht="51" customHeight="1" x14ac:dyDescent="0.25">
      <c r="A81" t="s">
        <v>267</v>
      </c>
      <c r="B81" t="s">
        <v>40</v>
      </c>
      <c r="C81" t="s">
        <v>155</v>
      </c>
      <c r="D81" t="s">
        <v>245</v>
      </c>
      <c r="E81" s="68">
        <v>0.79513888888888884</v>
      </c>
      <c r="F81" t="s">
        <v>41</v>
      </c>
      <c r="G81" t="s">
        <v>246</v>
      </c>
      <c r="H81" s="27">
        <v>45779</v>
      </c>
      <c r="I81" s="13" t="s">
        <v>268</v>
      </c>
      <c r="J81" s="13"/>
      <c r="K81" s="42" t="s">
        <v>269</v>
      </c>
    </row>
    <row r="82" spans="1:11" ht="15" customHeight="1" x14ac:dyDescent="0.25">
      <c r="A82" t="s">
        <v>270</v>
      </c>
      <c r="B82" t="s">
        <v>40</v>
      </c>
      <c r="C82" t="s">
        <v>155</v>
      </c>
      <c r="D82" t="s">
        <v>257</v>
      </c>
      <c r="E82">
        <v>72</v>
      </c>
      <c r="F82" t="s">
        <v>271</v>
      </c>
      <c r="G82" t="s">
        <v>246</v>
      </c>
      <c r="H82" s="27">
        <v>45782</v>
      </c>
      <c r="I82" t="s">
        <v>272</v>
      </c>
      <c r="K82" s="42" t="s">
        <v>273</v>
      </c>
    </row>
    <row r="83" spans="1:11" ht="15" customHeight="1" x14ac:dyDescent="0.25">
      <c r="A83" t="s">
        <v>274</v>
      </c>
      <c r="B83" t="s">
        <v>40</v>
      </c>
      <c r="C83" t="s">
        <v>155</v>
      </c>
      <c r="D83" t="s">
        <v>178</v>
      </c>
      <c r="E83">
        <v>168</v>
      </c>
      <c r="F83" t="s">
        <v>41</v>
      </c>
      <c r="G83" t="s">
        <v>246</v>
      </c>
      <c r="H83" s="27">
        <v>45782</v>
      </c>
      <c r="I83" t="s">
        <v>275</v>
      </c>
      <c r="J83" t="s">
        <v>196</v>
      </c>
      <c r="K83" s="42" t="s">
        <v>276</v>
      </c>
    </row>
    <row r="84" spans="1:11" ht="15" customHeight="1" x14ac:dyDescent="0.25">
      <c r="A84" t="s">
        <v>277</v>
      </c>
      <c r="B84" t="s">
        <v>40</v>
      </c>
      <c r="C84" t="s">
        <v>178</v>
      </c>
      <c r="D84" t="s">
        <v>257</v>
      </c>
      <c r="E84">
        <v>168</v>
      </c>
      <c r="F84" t="s">
        <v>41</v>
      </c>
      <c r="G84" t="s">
        <v>246</v>
      </c>
      <c r="H84" s="27">
        <v>45785</v>
      </c>
      <c r="I84" t="s">
        <v>278</v>
      </c>
      <c r="J84" t="s">
        <v>196</v>
      </c>
      <c r="K84" s="42" t="s">
        <v>279</v>
      </c>
    </row>
    <row r="85" spans="1:11" ht="15" customHeight="1" x14ac:dyDescent="0.25">
      <c r="A85" t="s">
        <v>280</v>
      </c>
      <c r="B85" t="s">
        <v>40</v>
      </c>
      <c r="C85" t="s">
        <v>178</v>
      </c>
      <c r="D85" t="s">
        <v>257</v>
      </c>
      <c r="E85">
        <v>168</v>
      </c>
      <c r="F85" t="s">
        <v>41</v>
      </c>
      <c r="G85" t="s">
        <v>246</v>
      </c>
      <c r="H85" s="27">
        <v>45785</v>
      </c>
      <c r="I85" t="s">
        <v>278</v>
      </c>
      <c r="J85" t="s">
        <v>196</v>
      </c>
      <c r="K85" s="42" t="s">
        <v>281</v>
      </c>
    </row>
    <row r="86" spans="1:11" ht="38.25" customHeight="1" x14ac:dyDescent="0.25">
      <c r="A86" t="s">
        <v>282</v>
      </c>
      <c r="B86" t="s">
        <v>40</v>
      </c>
      <c r="C86" t="s">
        <v>155</v>
      </c>
      <c r="D86" t="s">
        <v>245</v>
      </c>
      <c r="E86">
        <v>168</v>
      </c>
      <c r="F86" t="s">
        <v>41</v>
      </c>
      <c r="G86" t="s">
        <v>246</v>
      </c>
      <c r="H86" s="27">
        <v>45786</v>
      </c>
      <c r="I86" s="13" t="s">
        <v>283</v>
      </c>
      <c r="J86" t="s">
        <v>196</v>
      </c>
      <c r="K86" s="42" t="s">
        <v>284</v>
      </c>
    </row>
    <row r="87" spans="1:11" ht="29.25" customHeight="1" x14ac:dyDescent="0.25">
      <c r="A87" t="s">
        <v>285</v>
      </c>
      <c r="B87" t="s">
        <v>40</v>
      </c>
      <c r="C87" t="s">
        <v>245</v>
      </c>
      <c r="D87" t="s">
        <v>257</v>
      </c>
      <c r="E87">
        <v>62.5</v>
      </c>
      <c r="F87" t="s">
        <v>41</v>
      </c>
      <c r="G87" t="s">
        <v>246</v>
      </c>
      <c r="H87" s="27">
        <v>45789</v>
      </c>
      <c r="I87" s="43" t="s">
        <v>286</v>
      </c>
      <c r="J87" t="s">
        <v>196</v>
      </c>
      <c r="K87" s="42" t="s">
        <v>287</v>
      </c>
    </row>
    <row r="88" spans="1:11" ht="15" customHeight="1" x14ac:dyDescent="0.25">
      <c r="A88" t="s">
        <v>288</v>
      </c>
      <c r="B88" t="s">
        <v>40</v>
      </c>
      <c r="C88" t="s">
        <v>155</v>
      </c>
      <c r="D88" t="s">
        <v>257</v>
      </c>
      <c r="E88">
        <v>74.5</v>
      </c>
      <c r="F88" t="s">
        <v>41</v>
      </c>
      <c r="G88" t="s">
        <v>246</v>
      </c>
      <c r="H88" s="27">
        <v>45789</v>
      </c>
      <c r="I88" t="s">
        <v>289</v>
      </c>
      <c r="J88" t="s">
        <v>196</v>
      </c>
      <c r="K88" s="42" t="s">
        <v>290</v>
      </c>
    </row>
    <row r="89" spans="1:11" ht="15" customHeight="1" x14ac:dyDescent="0.25">
      <c r="A89" t="s">
        <v>291</v>
      </c>
      <c r="B89" t="s">
        <v>40</v>
      </c>
      <c r="C89" t="s">
        <v>257</v>
      </c>
      <c r="D89" t="s">
        <v>257</v>
      </c>
      <c r="E89" t="s">
        <v>27</v>
      </c>
      <c r="F89" t="s">
        <v>41</v>
      </c>
      <c r="G89" t="s">
        <v>246</v>
      </c>
      <c r="H89" s="27">
        <v>45789</v>
      </c>
      <c r="I89" s="44" t="s">
        <v>292</v>
      </c>
      <c r="J89" t="s">
        <v>196</v>
      </c>
    </row>
    <row r="90" spans="1:11" ht="15" customHeight="1" x14ac:dyDescent="0.25">
      <c r="A90" t="s">
        <v>293</v>
      </c>
      <c r="B90" t="s">
        <v>40</v>
      </c>
      <c r="C90" t="s">
        <v>257</v>
      </c>
      <c r="E90">
        <v>168</v>
      </c>
      <c r="F90" t="s">
        <v>41</v>
      </c>
      <c r="G90" t="s">
        <v>246</v>
      </c>
      <c r="H90" s="27">
        <v>45789</v>
      </c>
      <c r="K90" s="42" t="s">
        <v>294</v>
      </c>
    </row>
    <row r="91" spans="1:11" ht="15" customHeight="1" x14ac:dyDescent="0.25">
      <c r="A91" s="94" t="s">
        <v>295</v>
      </c>
      <c r="B91" t="s">
        <v>40</v>
      </c>
      <c r="C91" t="s">
        <v>257</v>
      </c>
      <c r="D91" t="s">
        <v>257</v>
      </c>
      <c r="E91">
        <v>168</v>
      </c>
      <c r="F91" t="s">
        <v>41</v>
      </c>
      <c r="G91" t="s">
        <v>246</v>
      </c>
      <c r="H91" s="27">
        <v>45797</v>
      </c>
      <c r="I91" t="s">
        <v>296</v>
      </c>
      <c r="J91" t="s">
        <v>196</v>
      </c>
      <c r="K91" s="42" t="s">
        <v>297</v>
      </c>
    </row>
    <row r="92" spans="1:11" ht="15" customHeight="1" x14ac:dyDescent="0.25">
      <c r="A92" t="s">
        <v>298</v>
      </c>
      <c r="B92" t="s">
        <v>40</v>
      </c>
      <c r="C92" t="s">
        <v>257</v>
      </c>
      <c r="D92" t="s">
        <v>257</v>
      </c>
      <c r="E92">
        <v>168</v>
      </c>
      <c r="F92" t="s">
        <v>41</v>
      </c>
      <c r="G92" t="s">
        <v>246</v>
      </c>
      <c r="H92" s="27">
        <v>45797</v>
      </c>
      <c r="I92" t="s">
        <v>299</v>
      </c>
      <c r="J92" t="s">
        <v>196</v>
      </c>
      <c r="K92" s="42" t="s">
        <v>300</v>
      </c>
    </row>
    <row r="93" spans="1:11" ht="15" customHeight="1" x14ac:dyDescent="0.25">
      <c r="A93" t="s">
        <v>301</v>
      </c>
      <c r="B93" t="s">
        <v>40</v>
      </c>
      <c r="C93" t="s">
        <v>155</v>
      </c>
      <c r="D93" t="s">
        <v>245</v>
      </c>
      <c r="E93">
        <v>168</v>
      </c>
      <c r="F93" t="s">
        <v>41</v>
      </c>
      <c r="G93" t="s">
        <v>246</v>
      </c>
      <c r="H93" s="27">
        <v>45797</v>
      </c>
      <c r="I93" t="s">
        <v>302</v>
      </c>
      <c r="J93" t="s">
        <v>196</v>
      </c>
      <c r="K93" s="42" t="s">
        <v>303</v>
      </c>
    </row>
    <row r="94" spans="1:11" ht="15" customHeight="1" x14ac:dyDescent="0.25">
      <c r="A94" t="s">
        <v>304</v>
      </c>
      <c r="B94" t="s">
        <v>40</v>
      </c>
      <c r="C94" t="s">
        <v>257</v>
      </c>
      <c r="D94" t="s">
        <v>258</v>
      </c>
      <c r="E94">
        <v>168</v>
      </c>
      <c r="F94" t="s">
        <v>41</v>
      </c>
      <c r="G94" t="s">
        <v>246</v>
      </c>
      <c r="H94" s="27">
        <v>45799</v>
      </c>
      <c r="I94" s="13" t="s">
        <v>305</v>
      </c>
      <c r="J94" t="s">
        <v>196</v>
      </c>
      <c r="K94" s="42" t="s">
        <v>306</v>
      </c>
    </row>
    <row r="95" spans="1:11" ht="15" customHeight="1" x14ac:dyDescent="0.25">
      <c r="A95" t="s">
        <v>307</v>
      </c>
      <c r="B95" t="s">
        <v>40</v>
      </c>
      <c r="C95" t="s">
        <v>155</v>
      </c>
      <c r="D95" t="s">
        <v>245</v>
      </c>
      <c r="E95">
        <v>168</v>
      </c>
      <c r="F95" t="s">
        <v>41</v>
      </c>
      <c r="G95" t="s">
        <v>246</v>
      </c>
      <c r="H95" s="27">
        <v>45800</v>
      </c>
      <c r="I95" t="s">
        <v>308</v>
      </c>
      <c r="J95" t="s">
        <v>196</v>
      </c>
      <c r="K95" s="42" t="s">
        <v>309</v>
      </c>
    </row>
    <row r="96" spans="1:11" ht="15" customHeight="1" x14ac:dyDescent="0.25">
      <c r="A96" t="s">
        <v>310</v>
      </c>
      <c r="B96" t="s">
        <v>40</v>
      </c>
      <c r="C96" t="s">
        <v>155</v>
      </c>
      <c r="D96" t="s">
        <v>245</v>
      </c>
      <c r="E96">
        <v>168</v>
      </c>
      <c r="F96" t="s">
        <v>41</v>
      </c>
      <c r="G96" t="s">
        <v>246</v>
      </c>
      <c r="H96" s="27">
        <v>45800</v>
      </c>
      <c r="I96" t="s">
        <v>311</v>
      </c>
      <c r="J96" t="s">
        <v>196</v>
      </c>
      <c r="K96" s="42" t="s">
        <v>312</v>
      </c>
    </row>
    <row r="97" spans="1:11" ht="15" customHeight="1" x14ac:dyDescent="0.25">
      <c r="A97" t="s">
        <v>313</v>
      </c>
      <c r="B97" t="s">
        <v>40</v>
      </c>
      <c r="C97" t="s">
        <v>155</v>
      </c>
      <c r="D97" t="s">
        <v>245</v>
      </c>
      <c r="E97">
        <v>168</v>
      </c>
      <c r="F97" t="s">
        <v>41</v>
      </c>
      <c r="G97" t="s">
        <v>246</v>
      </c>
      <c r="H97" s="27">
        <v>45800</v>
      </c>
      <c r="I97" t="s">
        <v>314</v>
      </c>
      <c r="J97" t="s">
        <v>196</v>
      </c>
      <c r="K97" s="42" t="s">
        <v>315</v>
      </c>
    </row>
    <row r="98" spans="1:11" ht="15" customHeight="1" x14ac:dyDescent="0.25">
      <c r="A98" t="s">
        <v>316</v>
      </c>
      <c r="B98" t="s">
        <v>40</v>
      </c>
      <c r="C98" t="s">
        <v>155</v>
      </c>
      <c r="D98" t="s">
        <v>245</v>
      </c>
      <c r="E98">
        <v>168</v>
      </c>
      <c r="F98" t="s">
        <v>41</v>
      </c>
      <c r="G98" t="s">
        <v>246</v>
      </c>
      <c r="H98" s="27">
        <v>45800</v>
      </c>
      <c r="I98" t="s">
        <v>317</v>
      </c>
      <c r="J98" t="s">
        <v>196</v>
      </c>
      <c r="K98" s="42" t="s">
        <v>318</v>
      </c>
    </row>
    <row r="99" spans="1:11" ht="15" customHeight="1" x14ac:dyDescent="0.25">
      <c r="A99" s="13" t="s">
        <v>319</v>
      </c>
      <c r="B99" t="s">
        <v>40</v>
      </c>
      <c r="C99" t="s">
        <v>258</v>
      </c>
      <c r="D99" t="s">
        <v>257</v>
      </c>
      <c r="E99">
        <v>168</v>
      </c>
      <c r="F99" t="s">
        <v>41</v>
      </c>
      <c r="G99" t="s">
        <v>246</v>
      </c>
      <c r="H99" s="27">
        <v>45803</v>
      </c>
      <c r="I99" t="s">
        <v>320</v>
      </c>
      <c r="J99" t="s">
        <v>196</v>
      </c>
      <c r="K99" s="42" t="s">
        <v>321</v>
      </c>
    </row>
    <row r="100" spans="1:11" ht="15" customHeight="1" x14ac:dyDescent="0.25">
      <c r="A100" s="13" t="s">
        <v>322</v>
      </c>
      <c r="B100" t="s">
        <v>40</v>
      </c>
      <c r="C100" t="s">
        <v>258</v>
      </c>
      <c r="D100" t="s">
        <v>257</v>
      </c>
      <c r="E100">
        <v>168</v>
      </c>
      <c r="F100" t="s">
        <v>41</v>
      </c>
      <c r="G100" t="s">
        <v>246</v>
      </c>
      <c r="H100" s="27">
        <v>45803</v>
      </c>
      <c r="I100" t="s">
        <v>320</v>
      </c>
      <c r="J100" t="s">
        <v>196</v>
      </c>
      <c r="K100" s="42" t="s">
        <v>323</v>
      </c>
    </row>
    <row r="101" spans="1:11" ht="15" customHeight="1" x14ac:dyDescent="0.25">
      <c r="A101" s="13" t="s">
        <v>324</v>
      </c>
      <c r="B101" t="s">
        <v>40</v>
      </c>
      <c r="C101" t="s">
        <v>245</v>
      </c>
      <c r="D101" t="s">
        <v>257</v>
      </c>
      <c r="E101">
        <v>168</v>
      </c>
      <c r="F101" t="s">
        <v>41</v>
      </c>
      <c r="G101" t="s">
        <v>246</v>
      </c>
      <c r="H101" s="27">
        <v>45803</v>
      </c>
      <c r="I101" t="s">
        <v>320</v>
      </c>
      <c r="J101" t="s">
        <v>196</v>
      </c>
      <c r="K101" s="42" t="s">
        <v>325</v>
      </c>
    </row>
    <row r="102" spans="1:11" ht="15" customHeight="1" x14ac:dyDescent="0.25">
      <c r="A102" t="s">
        <v>326</v>
      </c>
      <c r="B102" t="s">
        <v>40</v>
      </c>
      <c r="C102" t="s">
        <v>245</v>
      </c>
      <c r="D102" t="s">
        <v>257</v>
      </c>
      <c r="E102">
        <v>168</v>
      </c>
      <c r="F102" t="s">
        <v>41</v>
      </c>
      <c r="G102" t="s">
        <v>246</v>
      </c>
      <c r="H102" s="27">
        <v>45803</v>
      </c>
      <c r="I102" t="s">
        <v>320</v>
      </c>
      <c r="J102" t="s">
        <v>196</v>
      </c>
      <c r="K102" s="42" t="s">
        <v>327</v>
      </c>
    </row>
    <row r="103" spans="1:11" ht="15" customHeight="1" x14ac:dyDescent="0.25">
      <c r="A103" t="s">
        <v>328</v>
      </c>
      <c r="B103" t="s">
        <v>40</v>
      </c>
      <c r="C103" t="s">
        <v>257</v>
      </c>
      <c r="D103" t="s">
        <v>258</v>
      </c>
      <c r="E103">
        <v>168</v>
      </c>
      <c r="F103" t="s">
        <v>41</v>
      </c>
      <c r="G103" t="s">
        <v>246</v>
      </c>
      <c r="H103" s="27">
        <v>45805</v>
      </c>
      <c r="I103" t="s">
        <v>329</v>
      </c>
      <c r="J103" t="s">
        <v>196</v>
      </c>
      <c r="K103" s="42" t="s">
        <v>330</v>
      </c>
    </row>
    <row r="104" spans="1:11" ht="15" customHeight="1" x14ac:dyDescent="0.25">
      <c r="A104" t="s">
        <v>331</v>
      </c>
      <c r="B104" t="s">
        <v>40</v>
      </c>
      <c r="C104" t="s">
        <v>245</v>
      </c>
      <c r="D104" t="s">
        <v>245</v>
      </c>
      <c r="E104">
        <v>168</v>
      </c>
      <c r="F104" t="s">
        <v>41</v>
      </c>
      <c r="G104" t="s">
        <v>246</v>
      </c>
      <c r="H104" s="27">
        <v>45805</v>
      </c>
      <c r="I104" t="s">
        <v>332</v>
      </c>
      <c r="J104" t="s">
        <v>196</v>
      </c>
      <c r="K104" s="42" t="s">
        <v>333</v>
      </c>
    </row>
    <row r="105" spans="1:11" ht="15" customHeight="1" x14ac:dyDescent="0.25">
      <c r="A105" t="s">
        <v>334</v>
      </c>
      <c r="B105" t="s">
        <v>40</v>
      </c>
      <c r="C105" t="s">
        <v>258</v>
      </c>
      <c r="D105" t="s">
        <v>194</v>
      </c>
      <c r="E105">
        <v>168</v>
      </c>
      <c r="F105" t="s">
        <v>41</v>
      </c>
      <c r="G105" t="s">
        <v>246</v>
      </c>
      <c r="H105" s="27">
        <v>45807</v>
      </c>
      <c r="I105" t="s">
        <v>335</v>
      </c>
      <c r="J105" t="s">
        <v>196</v>
      </c>
      <c r="K105" s="42" t="s">
        <v>336</v>
      </c>
    </row>
    <row r="106" spans="1:11" ht="15" customHeight="1" x14ac:dyDescent="0.25">
      <c r="A106" t="s">
        <v>337</v>
      </c>
      <c r="B106" t="s">
        <v>40</v>
      </c>
      <c r="C106" t="s">
        <v>258</v>
      </c>
      <c r="D106" t="s">
        <v>194</v>
      </c>
      <c r="E106">
        <v>168</v>
      </c>
      <c r="F106" t="s">
        <v>41</v>
      </c>
      <c r="G106" t="s">
        <v>246</v>
      </c>
      <c r="H106" s="27">
        <v>45807</v>
      </c>
      <c r="I106" t="s">
        <v>335</v>
      </c>
      <c r="J106" t="s">
        <v>196</v>
      </c>
      <c r="K106" s="42" t="s">
        <v>338</v>
      </c>
    </row>
    <row r="107" spans="1:11" ht="15" customHeight="1" x14ac:dyDescent="0.25">
      <c r="A107" t="s">
        <v>339</v>
      </c>
      <c r="B107" t="s">
        <v>40</v>
      </c>
      <c r="C107" t="s">
        <v>245</v>
      </c>
      <c r="D107" t="s">
        <v>178</v>
      </c>
      <c r="E107">
        <v>168</v>
      </c>
      <c r="F107" t="s">
        <v>41</v>
      </c>
      <c r="G107" t="s">
        <v>246</v>
      </c>
      <c r="H107" s="27">
        <v>45820</v>
      </c>
      <c r="I107" t="s">
        <v>340</v>
      </c>
      <c r="J107" t="s">
        <v>196</v>
      </c>
      <c r="K107" s="42" t="s">
        <v>341</v>
      </c>
    </row>
    <row r="108" spans="1:11" ht="15" customHeight="1" x14ac:dyDescent="0.25">
      <c r="A108" t="s">
        <v>342</v>
      </c>
      <c r="B108" t="s">
        <v>40</v>
      </c>
      <c r="C108" t="s">
        <v>245</v>
      </c>
      <c r="D108" t="s">
        <v>178</v>
      </c>
      <c r="E108">
        <v>168</v>
      </c>
      <c r="F108" t="s">
        <v>41</v>
      </c>
      <c r="G108" t="s">
        <v>246</v>
      </c>
      <c r="H108" s="27">
        <v>45820</v>
      </c>
      <c r="I108" t="s">
        <v>343</v>
      </c>
      <c r="J108" t="s">
        <v>196</v>
      </c>
      <c r="K108" s="42" t="s">
        <v>344</v>
      </c>
    </row>
    <row r="109" spans="1:11" ht="15" customHeight="1" x14ac:dyDescent="0.25">
      <c r="A109" t="s">
        <v>345</v>
      </c>
      <c r="B109" t="s">
        <v>40</v>
      </c>
      <c r="C109" t="s">
        <v>245</v>
      </c>
      <c r="D109" t="s">
        <v>178</v>
      </c>
      <c r="E109">
        <v>168</v>
      </c>
      <c r="F109" t="s">
        <v>41</v>
      </c>
      <c r="G109" t="s">
        <v>246</v>
      </c>
      <c r="H109" s="27">
        <v>45820</v>
      </c>
      <c r="I109" t="s">
        <v>346</v>
      </c>
      <c r="J109" t="s">
        <v>196</v>
      </c>
      <c r="K109" s="42" t="s">
        <v>347</v>
      </c>
    </row>
    <row r="110" spans="1:11" ht="15" customHeight="1" x14ac:dyDescent="0.25">
      <c r="A110" t="s">
        <v>348</v>
      </c>
      <c r="B110" t="s">
        <v>40</v>
      </c>
      <c r="C110" t="s">
        <v>194</v>
      </c>
      <c r="D110" t="s">
        <v>155</v>
      </c>
      <c r="E110">
        <v>168</v>
      </c>
      <c r="F110" t="s">
        <v>41</v>
      </c>
      <c r="G110" t="s">
        <v>246</v>
      </c>
      <c r="H110" s="27">
        <v>45832</v>
      </c>
      <c r="I110" t="s">
        <v>349</v>
      </c>
      <c r="J110" t="s">
        <v>196</v>
      </c>
      <c r="K110" s="42"/>
    </row>
    <row r="111" spans="1:11" ht="15" customHeight="1" x14ac:dyDescent="0.25">
      <c r="A111" t="s">
        <v>350</v>
      </c>
      <c r="B111" t="s">
        <v>40</v>
      </c>
      <c r="C111" t="s">
        <v>194</v>
      </c>
      <c r="D111" t="s">
        <v>155</v>
      </c>
      <c r="E111">
        <v>168</v>
      </c>
      <c r="F111" t="s">
        <v>41</v>
      </c>
      <c r="G111" t="s">
        <v>246</v>
      </c>
      <c r="H111" s="27">
        <v>45832</v>
      </c>
      <c r="I111" t="s">
        <v>349</v>
      </c>
      <c r="J111" t="s">
        <v>196</v>
      </c>
      <c r="K111" s="42"/>
    </row>
    <row r="112" spans="1:11" ht="15" customHeight="1" x14ac:dyDescent="0.25">
      <c r="A112" t="s">
        <v>351</v>
      </c>
      <c r="B112" t="s">
        <v>40</v>
      </c>
      <c r="C112" t="s">
        <v>178</v>
      </c>
      <c r="D112" t="s">
        <v>155</v>
      </c>
      <c r="E112">
        <v>168</v>
      </c>
      <c r="F112" t="s">
        <v>41</v>
      </c>
      <c r="G112" t="s">
        <v>246</v>
      </c>
      <c r="H112" s="27">
        <v>45833</v>
      </c>
      <c r="I112" t="s">
        <v>349</v>
      </c>
      <c r="J112" t="s">
        <v>196</v>
      </c>
      <c r="K112" s="42"/>
    </row>
    <row r="113" spans="1:10" ht="15" customHeight="1" x14ac:dyDescent="0.25">
      <c r="A113" t="s">
        <v>352</v>
      </c>
      <c r="B113" t="s">
        <v>40</v>
      </c>
      <c r="C113" t="s">
        <v>178</v>
      </c>
      <c r="D113" t="s">
        <v>155</v>
      </c>
      <c r="E113">
        <v>168</v>
      </c>
      <c r="F113" t="s">
        <v>41</v>
      </c>
      <c r="G113" t="s">
        <v>246</v>
      </c>
      <c r="H113" s="27">
        <v>45833</v>
      </c>
      <c r="I113" t="s">
        <v>349</v>
      </c>
      <c r="J113" t="s">
        <v>196</v>
      </c>
    </row>
    <row r="114" spans="1:10" ht="15" customHeight="1" x14ac:dyDescent="0.25">
      <c r="A114" t="s">
        <v>353</v>
      </c>
      <c r="B114" t="s">
        <v>40</v>
      </c>
      <c r="C114" t="s">
        <v>178</v>
      </c>
      <c r="D114" t="s">
        <v>155</v>
      </c>
      <c r="E114">
        <v>168</v>
      </c>
      <c r="F114" t="s">
        <v>41</v>
      </c>
      <c r="G114" t="s">
        <v>246</v>
      </c>
      <c r="H114" s="27">
        <v>45833</v>
      </c>
      <c r="I114" s="13" t="s">
        <v>354</v>
      </c>
      <c r="J114" t="s">
        <v>196</v>
      </c>
    </row>
    <row r="115" spans="1:10" ht="15" customHeight="1" x14ac:dyDescent="0.25">
      <c r="A115" t="s">
        <v>355</v>
      </c>
      <c r="B115" t="s">
        <v>40</v>
      </c>
      <c r="C115" t="s">
        <v>194</v>
      </c>
      <c r="D115" t="s">
        <v>356</v>
      </c>
      <c r="E115">
        <v>168</v>
      </c>
      <c r="F115" t="s">
        <v>357</v>
      </c>
      <c r="G115" t="s">
        <v>358</v>
      </c>
      <c r="H115" s="27">
        <v>45847</v>
      </c>
      <c r="I115" t="s">
        <v>359</v>
      </c>
      <c r="J115" t="s">
        <v>360</v>
      </c>
    </row>
    <row r="116" spans="1:10" ht="15" customHeight="1" x14ac:dyDescent="0.25">
      <c r="A116" t="s">
        <v>361</v>
      </c>
      <c r="B116" t="s">
        <v>40</v>
      </c>
      <c r="C116" t="s">
        <v>194</v>
      </c>
      <c r="D116" t="s">
        <v>356</v>
      </c>
      <c r="E116">
        <v>168</v>
      </c>
      <c r="F116" s="23" t="s">
        <v>357</v>
      </c>
      <c r="G116" t="s">
        <v>358</v>
      </c>
      <c r="H116" s="27">
        <v>45847</v>
      </c>
      <c r="I116" t="s">
        <v>359</v>
      </c>
      <c r="J116" t="s">
        <v>360</v>
      </c>
    </row>
    <row r="117" spans="1:10" ht="15" customHeight="1" x14ac:dyDescent="0.25">
      <c r="A117" t="s">
        <v>362</v>
      </c>
      <c r="B117" t="s">
        <v>40</v>
      </c>
      <c r="C117" t="s">
        <v>363</v>
      </c>
      <c r="D117" t="s">
        <v>363</v>
      </c>
      <c r="E117">
        <v>168</v>
      </c>
      <c r="F117" t="s">
        <v>271</v>
      </c>
      <c r="G117" t="s">
        <v>246</v>
      </c>
      <c r="H117" s="10">
        <v>45911</v>
      </c>
      <c r="I117" s="13" t="s">
        <v>364</v>
      </c>
      <c r="J117" t="s">
        <v>360</v>
      </c>
    </row>
    <row r="118" spans="1:10" ht="15" customHeight="1" x14ac:dyDescent="0.25">
      <c r="A118" t="s">
        <v>365</v>
      </c>
      <c r="B118" t="s">
        <v>40</v>
      </c>
      <c r="C118" t="s">
        <v>363</v>
      </c>
      <c r="D118" t="s">
        <v>363</v>
      </c>
      <c r="E118">
        <v>168</v>
      </c>
      <c r="F118" t="s">
        <v>271</v>
      </c>
      <c r="G118" t="s">
        <v>246</v>
      </c>
      <c r="H118" s="10">
        <v>45911</v>
      </c>
      <c r="I118" s="13" t="s">
        <v>366</v>
      </c>
      <c r="J118" t="s">
        <v>360</v>
      </c>
    </row>
    <row r="119" spans="1:10" ht="15" customHeight="1" x14ac:dyDescent="0.25">
      <c r="A119" s="13" t="s">
        <v>367</v>
      </c>
      <c r="B119" t="s">
        <v>40</v>
      </c>
      <c r="C119" t="s">
        <v>363</v>
      </c>
      <c r="D119" t="s">
        <v>363</v>
      </c>
      <c r="E119">
        <v>168</v>
      </c>
      <c r="F119" t="s">
        <v>271</v>
      </c>
      <c r="G119" t="s">
        <v>246</v>
      </c>
      <c r="H119" s="10">
        <v>45911</v>
      </c>
      <c r="I119" s="13" t="s">
        <v>368</v>
      </c>
      <c r="J119" t="s">
        <v>360</v>
      </c>
    </row>
    <row r="120" spans="1:10" ht="15" customHeight="1" x14ac:dyDescent="0.25">
      <c r="A120" s="13" t="s">
        <v>369</v>
      </c>
      <c r="B120" t="s">
        <v>40</v>
      </c>
      <c r="C120" t="s">
        <v>363</v>
      </c>
      <c r="D120" t="s">
        <v>363</v>
      </c>
      <c r="E120">
        <v>168</v>
      </c>
      <c r="F120" t="s">
        <v>271</v>
      </c>
      <c r="G120" t="s">
        <v>246</v>
      </c>
      <c r="H120" s="10">
        <v>45911</v>
      </c>
      <c r="I120" t="s">
        <v>370</v>
      </c>
      <c r="J120" t="s">
        <v>360</v>
      </c>
    </row>
    <row r="121" spans="1:10" ht="15" customHeight="1" x14ac:dyDescent="0.25">
      <c r="A121" s="13" t="s">
        <v>371</v>
      </c>
      <c r="B121" t="s">
        <v>40</v>
      </c>
      <c r="C121" t="s">
        <v>363</v>
      </c>
      <c r="D121" t="s">
        <v>363</v>
      </c>
      <c r="E121">
        <v>168</v>
      </c>
      <c r="F121" t="s">
        <v>271</v>
      </c>
      <c r="G121" t="s">
        <v>246</v>
      </c>
      <c r="H121" s="10">
        <v>45911</v>
      </c>
      <c r="I121" t="s">
        <v>372</v>
      </c>
      <c r="J121" t="s">
        <v>360</v>
      </c>
    </row>
    <row r="122" spans="1:10" ht="15" customHeight="1" x14ac:dyDescent="0.25">
      <c r="A122" s="13" t="s">
        <v>373</v>
      </c>
      <c r="B122" t="s">
        <v>40</v>
      </c>
      <c r="C122" t="s">
        <v>363</v>
      </c>
      <c r="E122">
        <v>168</v>
      </c>
      <c r="F122" t="s">
        <v>271</v>
      </c>
      <c r="G122" t="s">
        <v>246</v>
      </c>
      <c r="H122" s="10">
        <v>45912</v>
      </c>
      <c r="I122" t="s">
        <v>374</v>
      </c>
      <c r="J122" t="s">
        <v>375</v>
      </c>
    </row>
    <row r="123" spans="1:10" ht="15" customHeight="1" x14ac:dyDescent="0.25">
      <c r="A123" t="s">
        <v>376</v>
      </c>
      <c r="B123" t="s">
        <v>40</v>
      </c>
      <c r="C123" t="s">
        <v>377</v>
      </c>
      <c r="D123" t="s">
        <v>378</v>
      </c>
      <c r="E123">
        <v>43</v>
      </c>
      <c r="F123" t="s">
        <v>271</v>
      </c>
      <c r="G123" t="s">
        <v>246</v>
      </c>
      <c r="H123" s="27">
        <v>45995</v>
      </c>
      <c r="I123" t="s">
        <v>379</v>
      </c>
      <c r="J123" t="s">
        <v>380</v>
      </c>
    </row>
    <row r="124" spans="1:10" ht="15" customHeight="1" x14ac:dyDescent="0.25">
      <c r="A124" t="s">
        <v>381</v>
      </c>
      <c r="B124" t="s">
        <v>40</v>
      </c>
      <c r="C124" t="s">
        <v>377</v>
      </c>
      <c r="D124" t="s">
        <v>245</v>
      </c>
      <c r="E124">
        <v>168</v>
      </c>
      <c r="F124" t="s">
        <v>382</v>
      </c>
      <c r="G124" t="s">
        <v>246</v>
      </c>
      <c r="H124" s="27">
        <v>46001</v>
      </c>
      <c r="I124" t="s">
        <v>379</v>
      </c>
      <c r="J124" t="s">
        <v>383</v>
      </c>
    </row>
    <row r="125" spans="1:10" ht="15" customHeight="1" x14ac:dyDescent="0.25">
      <c r="A125" s="13" t="s">
        <v>384</v>
      </c>
      <c r="B125" t="s">
        <v>40</v>
      </c>
      <c r="C125" t="s">
        <v>378</v>
      </c>
      <c r="D125" t="s">
        <v>377</v>
      </c>
      <c r="E125">
        <v>168</v>
      </c>
      <c r="F125" t="s">
        <v>271</v>
      </c>
      <c r="G125" t="s">
        <v>246</v>
      </c>
      <c r="H125" s="27">
        <v>46003</v>
      </c>
      <c r="I125" t="s">
        <v>385</v>
      </c>
      <c r="J125" t="s">
        <v>383</v>
      </c>
    </row>
    <row r="126" spans="1:10" ht="15" customHeight="1" x14ac:dyDescent="0.25">
      <c r="A126" t="s">
        <v>386</v>
      </c>
      <c r="B126" t="s">
        <v>40</v>
      </c>
      <c r="C126" t="s">
        <v>245</v>
      </c>
      <c r="D126" t="s">
        <v>245</v>
      </c>
      <c r="E126">
        <v>18.22</v>
      </c>
      <c r="F126" t="s">
        <v>271</v>
      </c>
      <c r="G126" t="s">
        <v>246</v>
      </c>
      <c r="H126" s="27">
        <v>46107</v>
      </c>
      <c r="I126" t="s">
        <v>387</v>
      </c>
      <c r="J126" t="s">
        <v>388</v>
      </c>
    </row>
    <row r="127" spans="1:10" ht="15" customHeight="1" x14ac:dyDescent="0.25">
      <c r="A127" s="13" t="s">
        <v>389</v>
      </c>
      <c r="B127" t="s">
        <v>40</v>
      </c>
      <c r="C127" t="s">
        <v>245</v>
      </c>
      <c r="E127">
        <v>22.28</v>
      </c>
      <c r="F127" t="s">
        <v>271</v>
      </c>
      <c r="G127" t="s">
        <v>358</v>
      </c>
      <c r="H127" s="27">
        <v>46114</v>
      </c>
      <c r="I127" t="s">
        <v>390</v>
      </c>
      <c r="J127" t="s">
        <v>388</v>
      </c>
    </row>
    <row r="128" spans="1:10" ht="15" customHeight="1" x14ac:dyDescent="0.25">
      <c r="A128" t="s">
        <v>391</v>
      </c>
      <c r="B128" t="s">
        <v>40</v>
      </c>
      <c r="C128" t="s">
        <v>245</v>
      </c>
      <c r="D128" t="s">
        <v>392</v>
      </c>
      <c r="E128">
        <v>168</v>
      </c>
      <c r="F128" t="s">
        <v>382</v>
      </c>
      <c r="G128" t="s">
        <v>358</v>
      </c>
      <c r="H128" s="27">
        <v>46113</v>
      </c>
      <c r="I128" t="s">
        <v>393</v>
      </c>
      <c r="J128" t="s">
        <v>388</v>
      </c>
    </row>
    <row r="129" spans="1:10" ht="15" customHeight="1" x14ac:dyDescent="0.25">
      <c r="A129" t="s">
        <v>394</v>
      </c>
      <c r="B129" t="s">
        <v>40</v>
      </c>
      <c r="C129" t="s">
        <v>392</v>
      </c>
      <c r="D129" t="s">
        <v>392</v>
      </c>
      <c r="E129">
        <v>20.46</v>
      </c>
      <c r="F129" t="s">
        <v>382</v>
      </c>
      <c r="G129" t="s">
        <v>358</v>
      </c>
      <c r="H129" s="27">
        <v>46114</v>
      </c>
      <c r="I129" t="s">
        <v>395</v>
      </c>
      <c r="J129" t="s">
        <v>388</v>
      </c>
    </row>
    <row r="130" spans="1:10" ht="15" customHeight="1" x14ac:dyDescent="0.25">
      <c r="A130" t="s">
        <v>396</v>
      </c>
      <c r="B130" t="s">
        <v>40</v>
      </c>
      <c r="C130" t="s">
        <v>363</v>
      </c>
      <c r="E130">
        <v>19.420000000000002</v>
      </c>
      <c r="F130" t="s">
        <v>397</v>
      </c>
      <c r="G130" t="s">
        <v>358</v>
      </c>
      <c r="H130" s="27">
        <v>46115</v>
      </c>
      <c r="I130" t="s">
        <v>398</v>
      </c>
      <c r="J130" t="s">
        <v>388</v>
      </c>
    </row>
    <row r="131" spans="1:10" ht="15" customHeight="1" x14ac:dyDescent="0.25">
      <c r="A131" t="s">
        <v>399</v>
      </c>
      <c r="B131" t="s">
        <v>40</v>
      </c>
      <c r="C131" t="s">
        <v>363</v>
      </c>
      <c r="E131">
        <v>19.420000000000002</v>
      </c>
      <c r="F131" t="s">
        <v>397</v>
      </c>
      <c r="G131" t="s">
        <v>358</v>
      </c>
      <c r="H131" s="27">
        <v>46115</v>
      </c>
      <c r="I131" s="13" t="s">
        <v>400</v>
      </c>
      <c r="J131" t="s">
        <v>388</v>
      </c>
    </row>
    <row r="132" spans="1:10" ht="15" customHeight="1" x14ac:dyDescent="0.25">
      <c r="A132" t="s">
        <v>401</v>
      </c>
      <c r="B132" t="s">
        <v>40</v>
      </c>
      <c r="C132" t="s">
        <v>245</v>
      </c>
      <c r="E132">
        <v>42.48</v>
      </c>
      <c r="F132" t="s">
        <v>271</v>
      </c>
      <c r="G132" t="s">
        <v>358</v>
      </c>
      <c r="H132" s="27">
        <v>46115</v>
      </c>
      <c r="I132" t="s">
        <v>390</v>
      </c>
      <c r="J132" t="s">
        <v>388</v>
      </c>
    </row>
    <row r="133" spans="1:10" ht="15" customHeight="1" x14ac:dyDescent="0.25">
      <c r="A133" t="s">
        <v>402</v>
      </c>
      <c r="B133" t="s">
        <v>40</v>
      </c>
      <c r="C133" t="s">
        <v>392</v>
      </c>
      <c r="E133">
        <v>42.45</v>
      </c>
      <c r="F133" t="s">
        <v>271</v>
      </c>
      <c r="G133" t="s">
        <v>358</v>
      </c>
      <c r="H133" s="27">
        <v>46115</v>
      </c>
      <c r="I133" t="s">
        <v>403</v>
      </c>
      <c r="J133" t="s">
        <v>388</v>
      </c>
    </row>
    <row r="134" spans="1:10" ht="15" customHeight="1" x14ac:dyDescent="0.25">
      <c r="A134" s="13" t="s">
        <v>404</v>
      </c>
      <c r="B134" t="s">
        <v>40</v>
      </c>
      <c r="C134" t="s">
        <v>378</v>
      </c>
      <c r="E134">
        <v>48</v>
      </c>
      <c r="F134" t="s">
        <v>397</v>
      </c>
      <c r="G134" t="s">
        <v>358</v>
      </c>
      <c r="H134" s="27">
        <v>46113</v>
      </c>
      <c r="J134" t="s">
        <v>388</v>
      </c>
    </row>
    <row r="135" spans="1:10" ht="15" customHeight="1" x14ac:dyDescent="0.25">
      <c r="A135" t="s">
        <v>405</v>
      </c>
      <c r="B135" t="s">
        <v>40</v>
      </c>
      <c r="C135" t="s">
        <v>392</v>
      </c>
      <c r="E135">
        <v>21.5</v>
      </c>
      <c r="F135" t="s">
        <v>271</v>
      </c>
      <c r="G135" t="s">
        <v>358</v>
      </c>
      <c r="H135" s="27">
        <v>46115</v>
      </c>
      <c r="I135" t="s">
        <v>406</v>
      </c>
      <c r="J135" t="s">
        <v>388</v>
      </c>
    </row>
    <row r="136" spans="1:10" ht="15" customHeight="1" x14ac:dyDescent="0.25">
      <c r="A136" t="s">
        <v>407</v>
      </c>
      <c r="B136" t="s">
        <v>40</v>
      </c>
      <c r="C136" t="s">
        <v>378</v>
      </c>
      <c r="D136" t="s">
        <v>40</v>
      </c>
      <c r="E136">
        <v>48</v>
      </c>
      <c r="F136" t="s">
        <v>397</v>
      </c>
      <c r="G136" t="s">
        <v>358</v>
      </c>
      <c r="H136" s="27">
        <v>46119</v>
      </c>
      <c r="I136" t="s">
        <v>408</v>
      </c>
      <c r="J136" t="s">
        <v>388</v>
      </c>
    </row>
    <row r="137" spans="1:10" ht="15" customHeight="1" x14ac:dyDescent="0.25">
      <c r="A137" t="s">
        <v>409</v>
      </c>
      <c r="B137" t="s">
        <v>40</v>
      </c>
      <c r="C137" t="s">
        <v>378</v>
      </c>
      <c r="D137" t="s">
        <v>40</v>
      </c>
      <c r="E137">
        <v>49</v>
      </c>
      <c r="F137" t="s">
        <v>397</v>
      </c>
      <c r="G137" t="s">
        <v>358</v>
      </c>
      <c r="H137" s="27">
        <v>46119</v>
      </c>
      <c r="I137" t="s">
        <v>410</v>
      </c>
      <c r="J137" t="s">
        <v>411</v>
      </c>
    </row>
    <row r="138" spans="1:10" ht="15" customHeight="1" x14ac:dyDescent="0.25">
      <c r="A138" t="s">
        <v>412</v>
      </c>
      <c r="B138" t="s">
        <v>413</v>
      </c>
      <c r="C138" t="s">
        <v>414</v>
      </c>
      <c r="E138">
        <v>48</v>
      </c>
      <c r="F138" t="s">
        <v>397</v>
      </c>
      <c r="G138" t="s">
        <v>358</v>
      </c>
      <c r="H138" s="27">
        <v>46135</v>
      </c>
      <c r="I138" t="s">
        <v>415</v>
      </c>
      <c r="J138" t="s">
        <v>411</v>
      </c>
    </row>
    <row r="139" spans="1:10" ht="15" customHeight="1" x14ac:dyDescent="0.25">
      <c r="A139" t="s">
        <v>416</v>
      </c>
      <c r="B139" t="s">
        <v>413</v>
      </c>
      <c r="C139" t="s">
        <v>414</v>
      </c>
      <c r="E139">
        <v>48</v>
      </c>
      <c r="F139" t="s">
        <v>397</v>
      </c>
      <c r="G139" t="s">
        <v>358</v>
      </c>
      <c r="H139" s="27">
        <v>46135</v>
      </c>
      <c r="I139" t="s">
        <v>417</v>
      </c>
      <c r="J139" t="s">
        <v>411</v>
      </c>
    </row>
    <row r="140" spans="1:10" ht="15" customHeight="1" x14ac:dyDescent="0.25">
      <c r="A140" t="s">
        <v>418</v>
      </c>
      <c r="B140" t="s">
        <v>413</v>
      </c>
      <c r="C140" t="s">
        <v>363</v>
      </c>
      <c r="E140">
        <v>48</v>
      </c>
      <c r="F140" t="s">
        <v>397</v>
      </c>
      <c r="G140" t="s">
        <v>358</v>
      </c>
      <c r="H140" s="27">
        <v>46135</v>
      </c>
      <c r="I140" t="s">
        <v>419</v>
      </c>
      <c r="J140" t="s">
        <v>411</v>
      </c>
    </row>
    <row r="141" spans="1:10" ht="15" customHeight="1" x14ac:dyDescent="0.25">
      <c r="A141" t="s">
        <v>420</v>
      </c>
      <c r="B141" t="s">
        <v>413</v>
      </c>
      <c r="C141" t="s">
        <v>363</v>
      </c>
      <c r="E141">
        <v>48</v>
      </c>
      <c r="F141" t="s">
        <v>397</v>
      </c>
      <c r="G141" t="s">
        <v>358</v>
      </c>
      <c r="H141" s="27">
        <v>46135</v>
      </c>
      <c r="I141" t="s">
        <v>421</v>
      </c>
      <c r="J141" t="s">
        <v>411</v>
      </c>
    </row>
    <row r="142" spans="1:10" ht="15" customHeight="1" x14ac:dyDescent="0.25">
      <c r="A142" t="s">
        <v>422</v>
      </c>
      <c r="B142" t="s">
        <v>40</v>
      </c>
      <c r="C142" t="s">
        <v>392</v>
      </c>
      <c r="D142" t="s">
        <v>245</v>
      </c>
      <c r="E142">
        <v>24</v>
      </c>
      <c r="F142" t="s">
        <v>423</v>
      </c>
      <c r="G142" t="s">
        <v>358</v>
      </c>
      <c r="H142" s="27">
        <v>46135</v>
      </c>
      <c r="I142" t="s">
        <v>424</v>
      </c>
      <c r="J142" t="s">
        <v>411</v>
      </c>
    </row>
    <row r="143" spans="1:10" ht="15" customHeight="1" x14ac:dyDescent="0.25">
      <c r="A143" t="s">
        <v>425</v>
      </c>
      <c r="B143" t="s">
        <v>40</v>
      </c>
      <c r="C143" t="s">
        <v>392</v>
      </c>
      <c r="D143" t="s">
        <v>245</v>
      </c>
      <c r="E143">
        <v>24</v>
      </c>
      <c r="F143" t="s">
        <v>423</v>
      </c>
      <c r="G143" t="s">
        <v>358</v>
      </c>
      <c r="H143" s="27">
        <v>46135</v>
      </c>
      <c r="I143" t="s">
        <v>426</v>
      </c>
    </row>
    <row r="144" spans="1:10" ht="15" customHeight="1" x14ac:dyDescent="0.25">
      <c r="A144" t="s">
        <v>427</v>
      </c>
      <c r="B144" t="s">
        <v>428</v>
      </c>
      <c r="C144" t="s">
        <v>378</v>
      </c>
      <c r="D144" t="s">
        <v>377</v>
      </c>
      <c r="E144">
        <v>168</v>
      </c>
      <c r="F144" t="s">
        <v>271</v>
      </c>
      <c r="G144" t="s">
        <v>358</v>
      </c>
      <c r="H144" s="27">
        <v>46136</v>
      </c>
      <c r="J144" t="s">
        <v>411</v>
      </c>
    </row>
    <row r="145" spans="1:10" ht="15" customHeight="1" x14ac:dyDescent="0.25">
      <c r="A145" t="s">
        <v>429</v>
      </c>
      <c r="B145" t="s">
        <v>428</v>
      </c>
      <c r="C145" t="s">
        <v>363</v>
      </c>
      <c r="D145" t="s">
        <v>377</v>
      </c>
      <c r="E145">
        <v>168</v>
      </c>
      <c r="F145" t="s">
        <v>271</v>
      </c>
      <c r="G145" t="s">
        <v>358</v>
      </c>
      <c r="H145" s="27">
        <v>46136</v>
      </c>
      <c r="J145" t="s">
        <v>411</v>
      </c>
    </row>
    <row r="146" spans="1:10" ht="15" customHeight="1" x14ac:dyDescent="0.25">
      <c r="A146" t="s">
        <v>430</v>
      </c>
      <c r="B146" t="s">
        <v>428</v>
      </c>
      <c r="C146" t="s">
        <v>378</v>
      </c>
      <c r="D146" t="s">
        <v>377</v>
      </c>
      <c r="E146">
        <v>168</v>
      </c>
      <c r="F146" t="s">
        <v>271</v>
      </c>
      <c r="G146" t="s">
        <v>358</v>
      </c>
      <c r="H146" s="27">
        <v>46136</v>
      </c>
      <c r="I146" t="s">
        <v>421</v>
      </c>
      <c r="J146" t="s">
        <v>411</v>
      </c>
    </row>
    <row r="147" spans="1:10" ht="15" customHeight="1" x14ac:dyDescent="0.25">
      <c r="A147" t="s">
        <v>431</v>
      </c>
      <c r="B147" t="s">
        <v>40</v>
      </c>
      <c r="C147" t="s">
        <v>392</v>
      </c>
      <c r="D147" t="s">
        <v>392</v>
      </c>
      <c r="E147">
        <v>117</v>
      </c>
      <c r="F147" t="s">
        <v>357</v>
      </c>
      <c r="G147" t="s">
        <v>358</v>
      </c>
      <c r="H147" s="27">
        <v>46148</v>
      </c>
      <c r="I147" t="s">
        <v>432</v>
      </c>
      <c r="J147" t="s">
        <v>411</v>
      </c>
    </row>
    <row r="148" spans="1:10" ht="15" customHeight="1" x14ac:dyDescent="0.25">
      <c r="A148" t="s">
        <v>433</v>
      </c>
      <c r="B148" t="s">
        <v>40</v>
      </c>
      <c r="C148" t="s">
        <v>392</v>
      </c>
      <c r="D148" t="s">
        <v>392</v>
      </c>
      <c r="E148">
        <v>117</v>
      </c>
      <c r="F148" t="s">
        <v>357</v>
      </c>
      <c r="G148" t="s">
        <v>358</v>
      </c>
      <c r="H148" s="27">
        <v>46148</v>
      </c>
      <c r="I148" t="s">
        <v>432</v>
      </c>
      <c r="J148" t="s">
        <v>411</v>
      </c>
    </row>
    <row r="149" spans="1:10" ht="15" customHeight="1" x14ac:dyDescent="0.25">
      <c r="A149" t="s">
        <v>434</v>
      </c>
      <c r="B149" t="s">
        <v>40</v>
      </c>
      <c r="C149" t="s">
        <v>392</v>
      </c>
      <c r="D149" t="s">
        <v>392</v>
      </c>
      <c r="E149">
        <v>117</v>
      </c>
      <c r="F149" t="s">
        <v>357</v>
      </c>
      <c r="G149" t="s">
        <v>358</v>
      </c>
      <c r="H149" s="27">
        <v>46148</v>
      </c>
      <c r="I149" t="s">
        <v>435</v>
      </c>
      <c r="J149" t="s">
        <v>411</v>
      </c>
    </row>
    <row r="150" spans="1:10" ht="15" customHeight="1" x14ac:dyDescent="0.25">
      <c r="A150" t="s">
        <v>436</v>
      </c>
      <c r="B150" t="s">
        <v>40</v>
      </c>
      <c r="C150" t="s">
        <v>392</v>
      </c>
      <c r="D150" t="s">
        <v>392</v>
      </c>
      <c r="E150">
        <v>117</v>
      </c>
      <c r="F150" t="s">
        <v>357</v>
      </c>
      <c r="G150" t="s">
        <v>358</v>
      </c>
      <c r="H150" s="27">
        <v>46148</v>
      </c>
      <c r="I150" t="s">
        <v>435</v>
      </c>
      <c r="J150" t="s">
        <v>411</v>
      </c>
    </row>
    <row r="151" spans="1:10" ht="15" customHeight="1" x14ac:dyDescent="0.25">
      <c r="A151" t="s">
        <v>437</v>
      </c>
      <c r="B151" t="s">
        <v>40</v>
      </c>
      <c r="C151" t="s">
        <v>378</v>
      </c>
      <c r="D151" t="s">
        <v>377</v>
      </c>
      <c r="E151">
        <v>47.5</v>
      </c>
      <c r="F151" t="s">
        <v>438</v>
      </c>
      <c r="G151" t="s">
        <v>358</v>
      </c>
      <c r="H151" s="27">
        <v>46153</v>
      </c>
      <c r="I151" t="s">
        <v>439</v>
      </c>
      <c r="J151" t="s">
        <v>440</v>
      </c>
    </row>
    <row r="152" spans="1:10" ht="15" customHeight="1" x14ac:dyDescent="0.25">
      <c r="A152" t="s">
        <v>441</v>
      </c>
      <c r="B152" t="s">
        <v>40</v>
      </c>
      <c r="C152" t="s">
        <v>378</v>
      </c>
      <c r="D152" t="s">
        <v>377</v>
      </c>
      <c r="E152">
        <v>47.5</v>
      </c>
      <c r="F152" t="s">
        <v>438</v>
      </c>
      <c r="G152" t="s">
        <v>358</v>
      </c>
      <c r="H152" s="27">
        <v>46153</v>
      </c>
      <c r="I152" t="s">
        <v>439</v>
      </c>
      <c r="J152" t="s">
        <v>440</v>
      </c>
    </row>
    <row r="153" spans="1:10" ht="15" customHeight="1" x14ac:dyDescent="0.25">
      <c r="A153" t="s">
        <v>442</v>
      </c>
      <c r="B153" t="s">
        <v>40</v>
      </c>
      <c r="C153" t="s">
        <v>378</v>
      </c>
      <c r="D153" t="s">
        <v>377</v>
      </c>
      <c r="E153">
        <v>47.5</v>
      </c>
      <c r="F153" t="s">
        <v>438</v>
      </c>
      <c r="G153" t="s">
        <v>358</v>
      </c>
      <c r="H153" s="27">
        <v>46153</v>
      </c>
      <c r="I153" t="s">
        <v>439</v>
      </c>
      <c r="J153" t="s">
        <v>440</v>
      </c>
    </row>
    <row r="154" spans="1:10" ht="15" customHeight="1" x14ac:dyDescent="0.25">
      <c r="A154" t="s">
        <v>443</v>
      </c>
      <c r="B154" t="s">
        <v>40</v>
      </c>
      <c r="C154" t="s">
        <v>378</v>
      </c>
      <c r="D154" t="s">
        <v>377</v>
      </c>
      <c r="E154">
        <v>47.5</v>
      </c>
      <c r="F154" t="s">
        <v>438</v>
      </c>
      <c r="G154" t="s">
        <v>358</v>
      </c>
      <c r="H154" s="27">
        <v>46153</v>
      </c>
      <c r="I154" t="s">
        <v>439</v>
      </c>
      <c r="J154" t="s">
        <v>440</v>
      </c>
    </row>
  </sheetData>
  <hyperlinks>
    <hyperlink ref="K6" r:id="rId1" xr:uid="{F5984308-D0EA-4107-8AEA-745402F094B0}"/>
    <hyperlink ref="K7" r:id="rId2" xr:uid="{6810902B-475C-4FFD-9E35-58EE9FC1CFE9}"/>
    <hyperlink ref="K8" r:id="rId3" xr:uid="{9205C141-226F-4E72-AE77-226AEF251F8A}"/>
    <hyperlink ref="K9" r:id="rId4" xr:uid="{2A6A05AF-D6C7-4E4E-980C-A5ED8230AEA4}"/>
    <hyperlink ref="K10" r:id="rId5" xr:uid="{C8FD25A9-35CF-40CF-8610-C9B9BB7E23BA}"/>
    <hyperlink ref="K11" r:id="rId6" xr:uid="{6381DFB8-6E4A-4E50-9B09-2924A16DC411}"/>
    <hyperlink ref="K12" r:id="rId7" xr:uid="{E48B9E4F-AD7A-43FB-9E04-95AB2F62B3AF}"/>
    <hyperlink ref="K13" r:id="rId8" xr:uid="{21100198-45FF-43E3-9EE2-29F59B7F9392}"/>
    <hyperlink ref="K14" r:id="rId9" xr:uid="{B2DD019F-8B0D-42D5-9330-AD83441C4F19}"/>
    <hyperlink ref="K15" r:id="rId10" xr:uid="{0A0D8B7C-F494-4575-A0B3-8EC398D31B8C}"/>
    <hyperlink ref="K16" r:id="rId11" xr:uid="{1DCA46B5-97DC-4D65-BDED-4B2BDC273BB5}"/>
    <hyperlink ref="K17" r:id="rId12" xr:uid="{84374848-EEF6-462A-B51B-BE9701836343}"/>
    <hyperlink ref="K18" r:id="rId13" xr:uid="{4124A5E9-489B-4A06-A346-B3A2C62E9736}"/>
    <hyperlink ref="K19" r:id="rId14" xr:uid="{4054679F-776E-4A22-8233-9A3FAE75DCAC}"/>
    <hyperlink ref="K20" r:id="rId15" xr:uid="{5B22BD18-A75F-487C-8C4A-FDD303D0519F}"/>
    <hyperlink ref="K21" r:id="rId16" xr:uid="{EC79262B-0672-4D88-85A5-B1B4741CDFD7}"/>
    <hyperlink ref="K22" r:id="rId17" xr:uid="{721899BC-55B5-4937-A6AF-7FF39D29D790}"/>
    <hyperlink ref="K2" r:id="rId18" xr:uid="{682FB224-4DEB-4B51-A637-CC218B7D016F}"/>
    <hyperlink ref="K3" r:id="rId19" xr:uid="{A6F26A90-284F-4215-863C-1ABAF6390C4A}"/>
    <hyperlink ref="K4" r:id="rId20" xr:uid="{FB8BA8FC-CA53-4E2B-AEEF-B8257D0ACD56}"/>
    <hyperlink ref="K5" r:id="rId21" xr:uid="{F13D2DBF-CDE7-4AAE-8BFA-35D79A36206E}"/>
    <hyperlink ref="K23" r:id="rId22" xr:uid="{0B64EBD0-361A-4B62-89A3-88070FE2B061}"/>
    <hyperlink ref="K24" r:id="rId23" xr:uid="{561FA53D-A19F-496C-B227-9FD660DE8CC4}"/>
    <hyperlink ref="K25" r:id="rId24" xr:uid="{0E49BF87-960E-495A-8BD0-6640EEC0EC8D}"/>
    <hyperlink ref="K26" r:id="rId25" xr:uid="{D5E1579E-BEDA-4E6B-93FB-2521A41700A7}"/>
    <hyperlink ref="K27" r:id="rId26" xr:uid="{43DD69C6-E222-406A-9802-EFBDA565D2CB}"/>
    <hyperlink ref="K30" r:id="rId27" xr:uid="{625CBF6F-CFCB-42EA-B159-19512610B991}"/>
    <hyperlink ref="K31" r:id="rId28" xr:uid="{198BAE9F-A9F9-43B3-AA9F-72EA07C25899}"/>
    <hyperlink ref="K37" r:id="rId29" xr:uid="{4ACC1D1F-D958-4A7E-8D55-E9061D491B7B}"/>
    <hyperlink ref="K38" r:id="rId30" xr:uid="{BEB8FDE1-E040-4932-938D-75B77C7D23A7}"/>
    <hyperlink ref="K32" r:id="rId31" xr:uid="{44F861C7-E4A7-4D97-880C-A85A06133E17}"/>
    <hyperlink ref="K33" r:id="rId32" xr:uid="{FCB6408A-A899-4638-9E6D-6F89BF5B9A0C}"/>
    <hyperlink ref="K34" r:id="rId33" xr:uid="{2D9E83D2-1DAA-4CB4-93C0-8E944A05C86E}"/>
    <hyperlink ref="K35" r:id="rId34" xr:uid="{85046A7E-33C3-45E2-863F-58A1DB9459E6}"/>
    <hyperlink ref="K36" r:id="rId35" xr:uid="{DEB85C64-EAFE-4E6D-AB39-FCBC3D68C741}"/>
    <hyperlink ref="K39" r:id="rId36" xr:uid="{932A904A-9311-4297-97BE-4EA84ADE7F8D}"/>
    <hyperlink ref="K40" r:id="rId37" xr:uid="{51A3B1BB-FB31-4854-B695-CA7775EECECE}"/>
    <hyperlink ref="K41" r:id="rId38" xr:uid="{60FFAC8A-D4B0-4C58-9CF8-A9D9F1E45734}"/>
    <hyperlink ref="K42" r:id="rId39" xr:uid="{133498FD-926D-40EC-8F34-26CEDF279664}"/>
    <hyperlink ref="K43" r:id="rId40" xr:uid="{1A422542-6523-446F-878E-BA4B534C672D}"/>
    <hyperlink ref="K44" r:id="rId41" xr:uid="{84DD60C7-3DBE-46CD-A480-2D273D3C9520}"/>
    <hyperlink ref="K46" r:id="rId42" xr:uid="{590A388A-B367-4FA3-A4E1-80C98C4B6E44}"/>
    <hyperlink ref="K45" r:id="rId43" xr:uid="{9A012086-DC7B-4D1E-B456-AE0D92994528}"/>
    <hyperlink ref="K47" r:id="rId44" xr:uid="{523B2D4D-0A24-49D3-9994-09709DE46AD4}"/>
    <hyperlink ref="K48" r:id="rId45" xr:uid="{DB983D68-BC37-4979-B9D1-72001E2D5103}"/>
    <hyperlink ref="K49" r:id="rId46" xr:uid="{760176DD-1DD6-4C7A-9E3D-F34FB5D7FD64}"/>
    <hyperlink ref="K50" r:id="rId47" xr:uid="{00F7B33B-ECF1-4FFC-BBF8-CD347BB675A8}"/>
    <hyperlink ref="K51" r:id="rId48" xr:uid="{E467AD18-0411-4707-976D-8563E51B9A58}"/>
    <hyperlink ref="K52" r:id="rId49" xr:uid="{FE7123C8-66E7-4459-800C-6B04A8A946C8}"/>
    <hyperlink ref="K53" r:id="rId50" xr:uid="{228E192B-FC0B-4447-A49B-9BD1A53F5AA4}"/>
    <hyperlink ref="K54" r:id="rId51" xr:uid="{02DB8F36-B854-43BE-9F9A-C44BD5005C66}"/>
    <hyperlink ref="K55" r:id="rId52" xr:uid="{591BEC65-EAEF-462F-8D4D-5682F9A2D502}"/>
    <hyperlink ref="K56" r:id="rId53" xr:uid="{A7238C65-76A9-4F85-813B-18E4BB42CCAF}"/>
    <hyperlink ref="K57" r:id="rId54" xr:uid="{AC7C4CEC-50D9-45B7-BB89-D888869F5CC7}"/>
    <hyperlink ref="K58" r:id="rId55" xr:uid="{E9A443D4-27A4-4C9B-BF88-2456C792EB21}"/>
    <hyperlink ref="K59" r:id="rId56" xr:uid="{7101A045-67E9-4781-B9A6-AC68C2C80034}"/>
    <hyperlink ref="K60" r:id="rId57" xr:uid="{879A49FC-10D3-4EEE-BDED-51CF32A1FF9A}"/>
    <hyperlink ref="K61" r:id="rId58" xr:uid="{3782B943-91F6-41A3-A18B-2F3A1C998914}"/>
    <hyperlink ref="K62" r:id="rId59" xr:uid="{2A125A62-F4E2-4CD1-9954-862526D116FC}"/>
    <hyperlink ref="K63" r:id="rId60" xr:uid="{31E0536F-799A-4E24-B388-AD791F95294E}"/>
    <hyperlink ref="K64" r:id="rId61" xr:uid="{4AE72C4E-44F0-40DB-84F0-4C81118CE200}"/>
    <hyperlink ref="K65" r:id="rId62" xr:uid="{ADA246DE-8588-4649-A681-A73E49ADA653}"/>
    <hyperlink ref="K66" r:id="rId63" xr:uid="{3A7A431C-8F13-44E8-B748-B742DB617B68}"/>
    <hyperlink ref="K67" r:id="rId64" xr:uid="{CF40102B-2BD4-4E51-A316-715239A84439}"/>
    <hyperlink ref="K68" r:id="rId65" xr:uid="{D5F7F3B2-9CAD-4A45-9A7B-29E010DFF28D}"/>
    <hyperlink ref="K69" r:id="rId66" xr:uid="{84B27CA1-6922-41D9-AA4D-3B5759D22CEF}"/>
    <hyperlink ref="K70" r:id="rId67" xr:uid="{7D08F311-02C3-4433-AC7F-29255B3F36D4}"/>
    <hyperlink ref="K71" r:id="rId68" xr:uid="{F7984889-1092-4856-A367-5ED3C8BF5FF0}"/>
    <hyperlink ref="K72" r:id="rId69" xr:uid="{C9E1E83C-2B46-47C2-837C-B413941C1B1F}"/>
    <hyperlink ref="K73" r:id="rId70" xr:uid="{55158C1F-50F2-433E-BC20-702A714A84FA}"/>
    <hyperlink ref="K74" r:id="rId71" xr:uid="{F6F1F054-10B5-4FA1-A75F-DF66E8D9BA63}"/>
    <hyperlink ref="K75" r:id="rId72" xr:uid="{FB8E2B18-1C49-4853-A945-1793C1079B21}"/>
    <hyperlink ref="K76" r:id="rId73" xr:uid="{841EB7DA-AEFB-4FFB-932D-C215CB28A17D}"/>
    <hyperlink ref="K81" r:id="rId74" xr:uid="{47EC805B-BC08-480F-B341-4A15591BCEE8}"/>
    <hyperlink ref="K80" r:id="rId75" xr:uid="{7462AE1F-AF5D-4E4B-86E4-7D7A038CE701}"/>
    <hyperlink ref="K77" r:id="rId76" xr:uid="{3E6C6186-BE70-4629-9E25-24BC0782A21B}"/>
    <hyperlink ref="K79" r:id="rId77" xr:uid="{AB923B4E-086E-4586-96B4-773172FF9B78}"/>
    <hyperlink ref="K78" r:id="rId78" xr:uid="{A3574A8C-2B25-42ED-B979-51C850695804}"/>
    <hyperlink ref="K82" r:id="rId79" xr:uid="{A8E0B1A4-CBB4-432B-8932-66D7AEAAC89C}"/>
    <hyperlink ref="K83" r:id="rId80" xr:uid="{8CE49397-D9BD-4A41-B3DF-76A54BB1CE45}"/>
    <hyperlink ref="K86" r:id="rId81" display="../../../../../:i:/s/AdvancedSurfacePlatingApS/ESm7LxLjXlBEpkgc7hVgEO8BnsUgOemfn53x3CBRpUA8tw?e=pzQdis" xr:uid="{32B93981-4F07-43A9-A4FA-08868BB8E73D}"/>
    <hyperlink ref="K85" r:id="rId82" display="../../../../../:i:/s/AdvancedSurfacePlatingApS/EVuoeB5aGuxDkSuVOLyo74gB7HODThZTHcYlTqiiafM9rA?e=vD0ouy" xr:uid="{5133E035-C7E0-4ADF-9140-9C8D82972116}"/>
    <hyperlink ref="K84" r:id="rId83" display="../../../../../:i:/s/AdvancedSurfacePlatingApS/ESU8v-VPM6JCmJ2HaN9iFhsBpWzkNrnqlCfOR3HTQheUAw?e=Q1x4fg" xr:uid="{B030A834-E5DF-4E53-A7C3-00A09C3C3FFA}"/>
    <hyperlink ref="K87" r:id="rId84" xr:uid="{0A9D4E83-D731-4F9E-981B-86516B123C95}"/>
    <hyperlink ref="K88" r:id="rId85" xr:uid="{78325F21-339D-4750-AD05-43FCFB634053}"/>
    <hyperlink ref="K90" r:id="rId86" xr:uid="{651E326B-9205-4F89-BCCD-13C02CD0AA32}"/>
    <hyperlink ref="K91" r:id="rId87" xr:uid="{1CC20F69-2F2C-4E4A-B121-BF0F14A0C821}"/>
    <hyperlink ref="K92" r:id="rId88" xr:uid="{3D81753C-E171-4FB6-965A-789A98EA5260}"/>
    <hyperlink ref="K93" r:id="rId89" xr:uid="{5A301DC4-EA24-4AD1-A307-62B07D63D2E1}"/>
    <hyperlink ref="K94" r:id="rId90" xr:uid="{92511D8F-EB0D-4C7F-AD5A-A208D31CB3A1}"/>
    <hyperlink ref="K95" r:id="rId91" xr:uid="{89E32BC3-6911-4467-8BE6-D312FCCC7451}"/>
    <hyperlink ref="K96" r:id="rId92" xr:uid="{3C565997-B90E-43CF-A7CC-790B5E16C1B8}"/>
    <hyperlink ref="K97" r:id="rId93" xr:uid="{5091AF7D-9DA4-4872-8A90-B4B2B0565CEB}"/>
    <hyperlink ref="K98" r:id="rId94" xr:uid="{279DD538-9996-4EB9-81B9-D6655048579E}"/>
    <hyperlink ref="K99" r:id="rId95" xr:uid="{4F25265F-FBA8-4224-BEA2-2BA524551543}"/>
    <hyperlink ref="K100" r:id="rId96" xr:uid="{3AE6EF1F-5863-4F46-8231-CCD40E8DFEFC}"/>
    <hyperlink ref="K101" r:id="rId97" xr:uid="{01DCCF25-8D72-41A0-A402-4F6D176CDAC8}"/>
    <hyperlink ref="K102" r:id="rId98" xr:uid="{AA010C54-B4CB-4DBB-9F40-79F205FB30F8}"/>
    <hyperlink ref="K103" r:id="rId99" xr:uid="{ACF5074A-DB8B-4AD2-80C0-E9C5532A719B}"/>
    <hyperlink ref="K104" r:id="rId100" xr:uid="{D0288D00-77E8-4BBD-8A9B-3F6AAFB3B20D}"/>
    <hyperlink ref="K105" r:id="rId101" xr:uid="{8E8BC8A9-964E-409A-8065-41E83419E2E0}"/>
    <hyperlink ref="K106" r:id="rId102" xr:uid="{18FE478C-4A85-4992-8BFF-DCE78FBB316F}"/>
    <hyperlink ref="K107" r:id="rId103" xr:uid="{F1E773A2-D379-47D6-99F2-9CA21244842E}"/>
    <hyperlink ref="K108" r:id="rId104" xr:uid="{9E02545B-A8FE-42D4-AD9B-1654F3060160}"/>
    <hyperlink ref="K109" r:id="rId105" xr:uid="{D6B5E57E-79A2-4CAF-8353-37C8248D52F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
  <sheetViews>
    <sheetView workbookViewId="0">
      <pane ySplit="1" topLeftCell="A54" activePane="bottomLeft" state="frozen"/>
      <selection pane="bottomLeft" activeCell="A88" sqref="A88"/>
    </sheetView>
  </sheetViews>
  <sheetFormatPr defaultRowHeight="15" customHeight="1" x14ac:dyDescent="0.25"/>
  <cols>
    <col min="1" max="1" width="83.28515625" customWidth="1"/>
    <col min="3" max="3" width="15.5703125" bestFit="1" customWidth="1"/>
    <col min="4" max="4" width="18" bestFit="1" customWidth="1"/>
    <col min="5" max="5" width="15.28515625" bestFit="1" customWidth="1"/>
    <col min="6" max="6" width="37.42578125" bestFit="1" customWidth="1"/>
    <col min="7" max="7" width="13" customWidth="1"/>
    <col min="8" max="8" width="22.28515625" style="27" bestFit="1" customWidth="1"/>
    <col min="9" max="9" width="61.42578125" customWidth="1"/>
    <col min="10" max="10" width="36.5703125" customWidth="1"/>
    <col min="11" max="11" width="71.7109375" bestFit="1" customWidth="1"/>
  </cols>
  <sheetData>
    <row r="1" spans="1:11" s="3" customFormat="1" x14ac:dyDescent="0.25">
      <c r="A1" s="4" t="s">
        <v>28</v>
      </c>
      <c r="B1" s="4" t="s">
        <v>29</v>
      </c>
      <c r="C1" s="7" t="s">
        <v>30</v>
      </c>
      <c r="D1" s="7" t="s">
        <v>31</v>
      </c>
      <c r="E1" s="4" t="s">
        <v>32</v>
      </c>
      <c r="F1" s="4" t="s">
        <v>33</v>
      </c>
      <c r="G1" s="4" t="s">
        <v>34</v>
      </c>
      <c r="H1" s="4" t="s">
        <v>35</v>
      </c>
      <c r="I1" s="5" t="s">
        <v>36</v>
      </c>
      <c r="J1" s="5" t="s">
        <v>444</v>
      </c>
      <c r="K1" s="5" t="s">
        <v>38</v>
      </c>
    </row>
    <row r="2" spans="1:11" x14ac:dyDescent="0.25">
      <c r="A2" t="s">
        <v>445</v>
      </c>
      <c r="B2" t="s">
        <v>40</v>
      </c>
      <c r="E2">
        <v>2605</v>
      </c>
      <c r="F2" t="s">
        <v>56</v>
      </c>
      <c r="G2" t="s">
        <v>52</v>
      </c>
      <c r="H2" s="27" t="s">
        <v>446</v>
      </c>
      <c r="J2" t="s">
        <v>58</v>
      </c>
      <c r="K2" s="42" t="s">
        <v>447</v>
      </c>
    </row>
    <row r="3" spans="1:11" x14ac:dyDescent="0.25">
      <c r="A3" t="s">
        <v>448</v>
      </c>
      <c r="B3" t="s">
        <v>40</v>
      </c>
      <c r="E3">
        <v>180</v>
      </c>
      <c r="F3" t="s">
        <v>56</v>
      </c>
      <c r="G3" t="s">
        <v>52</v>
      </c>
      <c r="H3" s="27" t="s">
        <v>449</v>
      </c>
      <c r="K3" s="42" t="s">
        <v>450</v>
      </c>
    </row>
    <row r="4" spans="1:11" x14ac:dyDescent="0.25">
      <c r="A4" s="18" t="s">
        <v>22</v>
      </c>
      <c r="B4" s="18" t="s">
        <v>40</v>
      </c>
      <c r="C4" s="18"/>
      <c r="D4" s="18"/>
      <c r="E4">
        <v>2605</v>
      </c>
      <c r="F4" t="s">
        <v>56</v>
      </c>
      <c r="G4" t="s">
        <v>52</v>
      </c>
      <c r="H4" s="27" t="s">
        <v>446</v>
      </c>
      <c r="J4" t="s">
        <v>58</v>
      </c>
      <c r="K4" s="42" t="s">
        <v>451</v>
      </c>
    </row>
    <row r="5" spans="1:11" x14ac:dyDescent="0.25">
      <c r="A5" s="18" t="s">
        <v>452</v>
      </c>
      <c r="B5" s="18" t="s">
        <v>40</v>
      </c>
      <c r="C5" s="18"/>
      <c r="D5" s="18"/>
      <c r="E5">
        <v>189</v>
      </c>
      <c r="F5" t="s">
        <v>56</v>
      </c>
      <c r="G5" t="s">
        <v>52</v>
      </c>
      <c r="H5" s="27" t="s">
        <v>449</v>
      </c>
      <c r="K5" s="42" t="s">
        <v>453</v>
      </c>
    </row>
    <row r="6" spans="1:11" x14ac:dyDescent="0.25">
      <c r="A6" t="s">
        <v>454</v>
      </c>
      <c r="B6" t="s">
        <v>40</v>
      </c>
      <c r="E6">
        <v>2605</v>
      </c>
      <c r="F6" t="s">
        <v>56</v>
      </c>
      <c r="G6" t="s">
        <v>52</v>
      </c>
      <c r="H6" s="27" t="s">
        <v>446</v>
      </c>
      <c r="J6" t="s">
        <v>58</v>
      </c>
      <c r="K6" s="42" t="s">
        <v>455</v>
      </c>
    </row>
    <row r="7" spans="1:11" x14ac:dyDescent="0.25">
      <c r="A7" t="s">
        <v>456</v>
      </c>
      <c r="B7" t="s">
        <v>40</v>
      </c>
      <c r="E7">
        <v>189</v>
      </c>
      <c r="F7" t="s">
        <v>56</v>
      </c>
      <c r="G7" t="s">
        <v>52</v>
      </c>
      <c r="H7" s="27">
        <v>45635</v>
      </c>
      <c r="K7" s="42" t="s">
        <v>457</v>
      </c>
    </row>
    <row r="8" spans="1:11" x14ac:dyDescent="0.25">
      <c r="A8" t="s">
        <v>458</v>
      </c>
      <c r="B8" t="s">
        <v>40</v>
      </c>
      <c r="E8">
        <v>1002</v>
      </c>
      <c r="F8" t="s">
        <v>64</v>
      </c>
      <c r="G8" t="s">
        <v>52</v>
      </c>
      <c r="H8" s="27" t="s">
        <v>459</v>
      </c>
      <c r="J8" t="s">
        <v>58</v>
      </c>
      <c r="K8" s="42" t="s">
        <v>460</v>
      </c>
    </row>
    <row r="9" spans="1:11" x14ac:dyDescent="0.25">
      <c r="A9" t="s">
        <v>461</v>
      </c>
      <c r="B9" t="s">
        <v>40</v>
      </c>
      <c r="E9">
        <v>524</v>
      </c>
      <c r="F9" t="s">
        <v>64</v>
      </c>
      <c r="G9" t="s">
        <v>52</v>
      </c>
      <c r="H9" s="27" t="s">
        <v>462</v>
      </c>
      <c r="I9" s="18"/>
      <c r="J9" t="s">
        <v>58</v>
      </c>
      <c r="K9" s="42" t="s">
        <v>463</v>
      </c>
    </row>
    <row r="10" spans="1:11" x14ac:dyDescent="0.25">
      <c r="A10" t="s">
        <v>464</v>
      </c>
      <c r="B10" t="s">
        <v>40</v>
      </c>
      <c r="E10">
        <v>403</v>
      </c>
      <c r="F10" t="s">
        <v>56</v>
      </c>
      <c r="G10" t="s">
        <v>75</v>
      </c>
      <c r="H10" s="27">
        <v>45479</v>
      </c>
      <c r="J10" t="s">
        <v>58</v>
      </c>
      <c r="K10" s="42" t="s">
        <v>465</v>
      </c>
    </row>
    <row r="11" spans="1:11" x14ac:dyDescent="0.25">
      <c r="A11" t="s">
        <v>466</v>
      </c>
      <c r="B11" t="s">
        <v>40</v>
      </c>
      <c r="E11">
        <v>403</v>
      </c>
      <c r="F11" t="s">
        <v>56</v>
      </c>
      <c r="G11" t="s">
        <v>75</v>
      </c>
      <c r="H11" s="27">
        <v>45479</v>
      </c>
      <c r="J11" t="s">
        <v>58</v>
      </c>
      <c r="K11" s="42" t="s">
        <v>467</v>
      </c>
    </row>
    <row r="12" spans="1:11" x14ac:dyDescent="0.25">
      <c r="A12" t="s">
        <v>468</v>
      </c>
      <c r="B12" t="s">
        <v>40</v>
      </c>
      <c r="E12">
        <v>646</v>
      </c>
      <c r="F12" t="s">
        <v>64</v>
      </c>
      <c r="G12" t="s">
        <v>75</v>
      </c>
      <c r="H12" s="27">
        <v>45481</v>
      </c>
      <c r="J12" t="s">
        <v>58</v>
      </c>
      <c r="K12" s="42" t="s">
        <v>469</v>
      </c>
    </row>
    <row r="13" spans="1:11" x14ac:dyDescent="0.25">
      <c r="A13" t="s">
        <v>470</v>
      </c>
      <c r="B13" t="s">
        <v>40</v>
      </c>
      <c r="E13">
        <v>381</v>
      </c>
      <c r="F13" t="s">
        <v>471</v>
      </c>
      <c r="G13" t="s">
        <v>75</v>
      </c>
      <c r="H13" s="27">
        <v>45479</v>
      </c>
      <c r="I13" t="s">
        <v>472</v>
      </c>
      <c r="J13" t="s">
        <v>58</v>
      </c>
      <c r="K13" s="14"/>
    </row>
    <row r="14" spans="1:11" x14ac:dyDescent="0.25">
      <c r="A14" t="s">
        <v>473</v>
      </c>
      <c r="B14" t="s">
        <v>40</v>
      </c>
      <c r="E14">
        <v>382</v>
      </c>
      <c r="F14" t="s">
        <v>56</v>
      </c>
      <c r="G14" t="s">
        <v>75</v>
      </c>
      <c r="H14" s="27" t="s">
        <v>474</v>
      </c>
      <c r="I14" t="s">
        <v>475</v>
      </c>
      <c r="J14" t="s">
        <v>58</v>
      </c>
      <c r="K14" s="42" t="s">
        <v>476</v>
      </c>
    </row>
    <row r="15" spans="1:11" x14ac:dyDescent="0.25">
      <c r="A15" t="s">
        <v>477</v>
      </c>
      <c r="B15" t="s">
        <v>40</v>
      </c>
      <c r="E15">
        <v>218</v>
      </c>
      <c r="F15" t="s">
        <v>64</v>
      </c>
      <c r="G15" t="s">
        <v>75</v>
      </c>
      <c r="H15" s="27">
        <v>45481</v>
      </c>
      <c r="J15" t="s">
        <v>58</v>
      </c>
      <c r="K15" s="42" t="s">
        <v>478</v>
      </c>
    </row>
    <row r="16" spans="1:11" x14ac:dyDescent="0.25">
      <c r="A16" t="s">
        <v>479</v>
      </c>
      <c r="B16" t="s">
        <v>105</v>
      </c>
      <c r="E16">
        <v>1002</v>
      </c>
      <c r="F16" t="s">
        <v>64</v>
      </c>
      <c r="G16" t="s">
        <v>52</v>
      </c>
      <c r="H16" s="27" t="s">
        <v>480</v>
      </c>
      <c r="J16" t="s">
        <v>58</v>
      </c>
      <c r="K16" s="42" t="s">
        <v>481</v>
      </c>
    </row>
    <row r="17" spans="1:11" x14ac:dyDescent="0.25">
      <c r="A17" t="s">
        <v>482</v>
      </c>
      <c r="B17" t="s">
        <v>40</v>
      </c>
      <c r="E17">
        <v>884</v>
      </c>
      <c r="F17" t="s">
        <v>64</v>
      </c>
      <c r="G17" t="s">
        <v>52</v>
      </c>
      <c r="H17" s="27" t="s">
        <v>480</v>
      </c>
      <c r="I17" t="s">
        <v>483</v>
      </c>
      <c r="J17" t="s">
        <v>58</v>
      </c>
      <c r="K17" s="42" t="s">
        <v>484</v>
      </c>
    </row>
    <row r="18" spans="1:11" x14ac:dyDescent="0.25">
      <c r="A18" t="s">
        <v>485</v>
      </c>
      <c r="B18" t="s">
        <v>486</v>
      </c>
      <c r="E18">
        <v>131</v>
      </c>
      <c r="F18" t="s">
        <v>64</v>
      </c>
      <c r="G18" t="s">
        <v>52</v>
      </c>
      <c r="H18" s="27" t="s">
        <v>487</v>
      </c>
      <c r="J18" t="s">
        <v>58</v>
      </c>
      <c r="K18" s="42" t="s">
        <v>488</v>
      </c>
    </row>
    <row r="19" spans="1:11" x14ac:dyDescent="0.25">
      <c r="A19" s="1" t="s">
        <v>489</v>
      </c>
      <c r="B19" t="s">
        <v>40</v>
      </c>
      <c r="E19">
        <v>168</v>
      </c>
      <c r="F19" t="s">
        <v>41</v>
      </c>
      <c r="G19" t="s">
        <v>52</v>
      </c>
      <c r="H19" s="27" t="s">
        <v>490</v>
      </c>
      <c r="J19" t="s">
        <v>58</v>
      </c>
      <c r="K19" s="42" t="s">
        <v>491</v>
      </c>
    </row>
    <row r="20" spans="1:11" x14ac:dyDescent="0.25">
      <c r="A20" s="1" t="s">
        <v>492</v>
      </c>
      <c r="B20" t="s">
        <v>40</v>
      </c>
      <c r="E20">
        <v>168</v>
      </c>
      <c r="F20" t="s">
        <v>41</v>
      </c>
      <c r="G20" t="s">
        <v>52</v>
      </c>
      <c r="H20" s="27" t="s">
        <v>490</v>
      </c>
      <c r="J20" t="s">
        <v>58</v>
      </c>
      <c r="K20" s="42" t="s">
        <v>493</v>
      </c>
    </row>
    <row r="21" spans="1:11" x14ac:dyDescent="0.25">
      <c r="A21" s="1" t="s">
        <v>494</v>
      </c>
      <c r="B21" t="s">
        <v>40</v>
      </c>
      <c r="E21">
        <v>168</v>
      </c>
      <c r="F21" t="s">
        <v>41</v>
      </c>
      <c r="G21" t="s">
        <v>52</v>
      </c>
      <c r="H21" s="27" t="s">
        <v>490</v>
      </c>
      <c r="I21" t="s">
        <v>495</v>
      </c>
      <c r="J21" t="s">
        <v>58</v>
      </c>
      <c r="K21" s="42" t="s">
        <v>496</v>
      </c>
    </row>
    <row r="22" spans="1:11" x14ac:dyDescent="0.25">
      <c r="A22" s="1" t="s">
        <v>497</v>
      </c>
      <c r="B22" t="s">
        <v>40</v>
      </c>
      <c r="E22">
        <v>168</v>
      </c>
      <c r="F22" t="s">
        <v>41</v>
      </c>
      <c r="G22" t="s">
        <v>52</v>
      </c>
      <c r="H22" s="27" t="s">
        <v>498</v>
      </c>
      <c r="I22" t="s">
        <v>499</v>
      </c>
      <c r="J22" t="s">
        <v>58</v>
      </c>
      <c r="K22" s="42" t="s">
        <v>500</v>
      </c>
    </row>
    <row r="23" spans="1:11" x14ac:dyDescent="0.25">
      <c r="A23" s="1" t="s">
        <v>501</v>
      </c>
      <c r="B23" t="s">
        <v>40</v>
      </c>
      <c r="E23">
        <v>168</v>
      </c>
      <c r="F23" t="s">
        <v>41</v>
      </c>
      <c r="G23" t="s">
        <v>52</v>
      </c>
      <c r="H23" s="27" t="s">
        <v>502</v>
      </c>
      <c r="J23" t="s">
        <v>58</v>
      </c>
      <c r="K23" s="42" t="s">
        <v>503</v>
      </c>
    </row>
    <row r="24" spans="1:11" x14ac:dyDescent="0.25">
      <c r="A24" t="s">
        <v>504</v>
      </c>
      <c r="B24" t="s">
        <v>105</v>
      </c>
      <c r="E24">
        <v>168</v>
      </c>
      <c r="F24" t="s">
        <v>41</v>
      </c>
      <c r="G24" t="s">
        <v>52</v>
      </c>
      <c r="H24" s="27" t="s">
        <v>505</v>
      </c>
      <c r="J24" t="s">
        <v>58</v>
      </c>
      <c r="K24" s="42" t="s">
        <v>506</v>
      </c>
    </row>
    <row r="25" spans="1:11" x14ac:dyDescent="0.25">
      <c r="A25" t="s">
        <v>507</v>
      </c>
      <c r="B25" t="s">
        <v>105</v>
      </c>
      <c r="E25">
        <v>168</v>
      </c>
      <c r="F25" t="s">
        <v>41</v>
      </c>
      <c r="G25" t="s">
        <v>52</v>
      </c>
      <c r="H25" s="27" t="s">
        <v>505</v>
      </c>
      <c r="I25" t="s">
        <v>508</v>
      </c>
      <c r="J25" t="s">
        <v>58</v>
      </c>
      <c r="K25" s="42" t="s">
        <v>509</v>
      </c>
    </row>
    <row r="26" spans="1:11" x14ac:dyDescent="0.25">
      <c r="A26" t="s">
        <v>510</v>
      </c>
      <c r="B26" t="s">
        <v>105</v>
      </c>
      <c r="E26">
        <v>168</v>
      </c>
      <c r="F26" t="s">
        <v>41</v>
      </c>
      <c r="G26" t="s">
        <v>52</v>
      </c>
      <c r="H26" s="27" t="s">
        <v>88</v>
      </c>
      <c r="I26" t="s">
        <v>508</v>
      </c>
      <c r="J26" t="s">
        <v>43</v>
      </c>
      <c r="K26" s="42" t="s">
        <v>511</v>
      </c>
    </row>
    <row r="27" spans="1:11" ht="45" x14ac:dyDescent="0.25">
      <c r="A27" s="13" t="s">
        <v>512</v>
      </c>
      <c r="B27" t="s">
        <v>40</v>
      </c>
      <c r="C27" t="s">
        <v>155</v>
      </c>
      <c r="D27" t="s">
        <v>155</v>
      </c>
      <c r="E27">
        <v>72</v>
      </c>
      <c r="F27" t="s">
        <v>513</v>
      </c>
      <c r="G27" t="s">
        <v>52</v>
      </c>
      <c r="H27" s="27">
        <v>45705</v>
      </c>
      <c r="I27" s="13" t="s">
        <v>514</v>
      </c>
      <c r="J27" s="13"/>
      <c r="K27" s="25" t="s">
        <v>515</v>
      </c>
    </row>
    <row r="28" spans="1:11" ht="45" x14ac:dyDescent="0.25">
      <c r="A28" s="13" t="s">
        <v>516</v>
      </c>
      <c r="B28" t="s">
        <v>40</v>
      </c>
      <c r="C28" t="s">
        <v>155</v>
      </c>
      <c r="D28" t="s">
        <v>155</v>
      </c>
      <c r="E28">
        <v>72</v>
      </c>
      <c r="F28" t="s">
        <v>513</v>
      </c>
      <c r="G28" t="s">
        <v>52</v>
      </c>
      <c r="H28" s="27">
        <v>45705</v>
      </c>
      <c r="I28" s="13" t="s">
        <v>514</v>
      </c>
      <c r="J28" s="13"/>
      <c r="K28" s="25" t="s">
        <v>517</v>
      </c>
    </row>
    <row r="29" spans="1:11" ht="45" x14ac:dyDescent="0.25">
      <c r="A29" s="13" t="s">
        <v>518</v>
      </c>
      <c r="B29" t="s">
        <v>40</v>
      </c>
      <c r="C29" t="s">
        <v>155</v>
      </c>
      <c r="D29" t="s">
        <v>155</v>
      </c>
      <c r="E29">
        <v>72</v>
      </c>
      <c r="F29" t="s">
        <v>513</v>
      </c>
      <c r="G29" t="s">
        <v>52</v>
      </c>
      <c r="H29" s="27">
        <v>45705</v>
      </c>
      <c r="I29" s="13" t="s">
        <v>514</v>
      </c>
      <c r="J29" s="13"/>
      <c r="K29" s="25" t="s">
        <v>519</v>
      </c>
    </row>
    <row r="30" spans="1:11" ht="30" x14ac:dyDescent="0.25">
      <c r="A30" s="13" t="s">
        <v>520</v>
      </c>
      <c r="B30" t="s">
        <v>40</v>
      </c>
      <c r="C30" t="s">
        <v>155</v>
      </c>
      <c r="D30" t="s">
        <v>521</v>
      </c>
      <c r="E30">
        <v>13.5</v>
      </c>
      <c r="F30" t="s">
        <v>522</v>
      </c>
      <c r="G30" t="s">
        <v>52</v>
      </c>
      <c r="H30" s="27">
        <v>45706</v>
      </c>
      <c r="I30" s="13" t="s">
        <v>523</v>
      </c>
      <c r="J30" s="13"/>
      <c r="K30" s="25" t="s">
        <v>524</v>
      </c>
    </row>
    <row r="31" spans="1:11" ht="15" customHeight="1" x14ac:dyDescent="0.25">
      <c r="A31" t="s">
        <v>525</v>
      </c>
      <c r="B31" t="s">
        <v>40</v>
      </c>
      <c r="C31" t="s">
        <v>155</v>
      </c>
      <c r="D31" t="s">
        <v>521</v>
      </c>
      <c r="E31">
        <v>79.5</v>
      </c>
      <c r="F31" t="s">
        <v>526</v>
      </c>
      <c r="G31" t="s">
        <v>52</v>
      </c>
      <c r="H31" s="27">
        <v>45706</v>
      </c>
      <c r="I31" s="13" t="s">
        <v>527</v>
      </c>
      <c r="J31" s="13"/>
      <c r="K31" s="42" t="s">
        <v>528</v>
      </c>
    </row>
    <row r="32" spans="1:11" ht="15" customHeight="1" x14ac:dyDescent="0.25">
      <c r="A32" t="s">
        <v>529</v>
      </c>
      <c r="B32" t="s">
        <v>40</v>
      </c>
      <c r="C32" t="s">
        <v>155</v>
      </c>
      <c r="D32" t="s">
        <v>521</v>
      </c>
      <c r="E32">
        <v>13.5</v>
      </c>
      <c r="F32" t="s">
        <v>522</v>
      </c>
      <c r="G32" t="s">
        <v>52</v>
      </c>
      <c r="H32" s="27">
        <v>45706</v>
      </c>
      <c r="I32" s="13" t="s">
        <v>523</v>
      </c>
      <c r="J32" s="13"/>
      <c r="K32" s="25" t="s">
        <v>530</v>
      </c>
    </row>
    <row r="33" spans="1:11" ht="15" customHeight="1" x14ac:dyDescent="0.25">
      <c r="A33" t="s">
        <v>531</v>
      </c>
      <c r="B33" t="s">
        <v>40</v>
      </c>
      <c r="C33" t="s">
        <v>155</v>
      </c>
      <c r="D33" t="s">
        <v>521</v>
      </c>
      <c r="E33">
        <v>79.5</v>
      </c>
      <c r="F33" t="s">
        <v>526</v>
      </c>
      <c r="G33" t="s">
        <v>52</v>
      </c>
      <c r="H33" s="27">
        <v>45706</v>
      </c>
      <c r="I33" s="13" t="s">
        <v>527</v>
      </c>
      <c r="J33" s="13"/>
      <c r="K33" s="42" t="s">
        <v>532</v>
      </c>
    </row>
    <row r="34" spans="1:11" ht="32.25" customHeight="1" x14ac:dyDescent="0.25">
      <c r="A34" t="s">
        <v>533</v>
      </c>
      <c r="B34" t="s">
        <v>40</v>
      </c>
      <c r="C34" t="s">
        <v>155</v>
      </c>
      <c r="D34" t="s">
        <v>521</v>
      </c>
      <c r="E34">
        <v>13.5</v>
      </c>
      <c r="F34" t="s">
        <v>522</v>
      </c>
      <c r="G34" s="1" t="s">
        <v>52</v>
      </c>
      <c r="H34" s="27">
        <v>45706</v>
      </c>
      <c r="I34" s="13" t="s">
        <v>523</v>
      </c>
      <c r="J34" s="13"/>
      <c r="K34" s="25" t="s">
        <v>534</v>
      </c>
    </row>
    <row r="35" spans="1:11" ht="15" customHeight="1" x14ac:dyDescent="0.25">
      <c r="A35" t="s">
        <v>535</v>
      </c>
      <c r="B35" t="s">
        <v>40</v>
      </c>
      <c r="C35" t="s">
        <v>155</v>
      </c>
      <c r="D35" t="s">
        <v>521</v>
      </c>
      <c r="E35">
        <v>79.5</v>
      </c>
      <c r="F35" t="s">
        <v>526</v>
      </c>
      <c r="G35" t="s">
        <v>52</v>
      </c>
      <c r="H35" s="27">
        <v>45706</v>
      </c>
      <c r="I35" s="13" t="s">
        <v>527</v>
      </c>
      <c r="J35" s="13"/>
      <c r="K35" s="42" t="s">
        <v>536</v>
      </c>
    </row>
    <row r="36" spans="1:11" ht="30" x14ac:dyDescent="0.25">
      <c r="A36" s="13" t="s">
        <v>537</v>
      </c>
      <c r="B36" t="s">
        <v>40</v>
      </c>
      <c r="C36" t="s">
        <v>155</v>
      </c>
      <c r="D36" t="s">
        <v>155</v>
      </c>
      <c r="E36">
        <v>72</v>
      </c>
      <c r="F36" t="s">
        <v>538</v>
      </c>
      <c r="G36" t="s">
        <v>52</v>
      </c>
      <c r="H36" s="27">
        <v>45712</v>
      </c>
      <c r="I36" s="13" t="s">
        <v>539</v>
      </c>
      <c r="J36" s="13"/>
      <c r="K36" s="25" t="s">
        <v>540</v>
      </c>
    </row>
    <row r="37" spans="1:11" ht="30" x14ac:dyDescent="0.25">
      <c r="A37" s="13" t="s">
        <v>541</v>
      </c>
      <c r="B37" t="s">
        <v>40</v>
      </c>
      <c r="C37" t="s">
        <v>155</v>
      </c>
      <c r="D37" t="s">
        <v>155</v>
      </c>
      <c r="E37">
        <v>72</v>
      </c>
      <c r="F37" t="s">
        <v>538</v>
      </c>
      <c r="G37" t="s">
        <v>52</v>
      </c>
      <c r="H37" s="27">
        <v>45712</v>
      </c>
      <c r="I37" s="13" t="s">
        <v>539</v>
      </c>
      <c r="J37" s="13"/>
      <c r="K37" s="25" t="s">
        <v>542</v>
      </c>
    </row>
    <row r="38" spans="1:11" ht="30" x14ac:dyDescent="0.25">
      <c r="A38" s="13" t="s">
        <v>543</v>
      </c>
      <c r="B38" t="s">
        <v>40</v>
      </c>
      <c r="C38" t="s">
        <v>155</v>
      </c>
      <c r="D38" t="s">
        <v>155</v>
      </c>
      <c r="E38">
        <v>72</v>
      </c>
      <c r="F38" t="s">
        <v>538</v>
      </c>
      <c r="G38" t="s">
        <v>52</v>
      </c>
      <c r="H38" s="27">
        <v>45712</v>
      </c>
      <c r="I38" s="13" t="s">
        <v>539</v>
      </c>
      <c r="J38" s="13"/>
      <c r="K38" s="25" t="s">
        <v>544</v>
      </c>
    </row>
    <row r="39" spans="1:11" ht="30" x14ac:dyDescent="0.25">
      <c r="A39" s="34" t="s">
        <v>545</v>
      </c>
      <c r="B39" t="s">
        <v>40</v>
      </c>
      <c r="C39" t="s">
        <v>155</v>
      </c>
      <c r="D39" t="s">
        <v>155</v>
      </c>
      <c r="E39">
        <v>79.5</v>
      </c>
      <c r="F39" t="s">
        <v>546</v>
      </c>
      <c r="G39" t="s">
        <v>52</v>
      </c>
      <c r="H39" s="27">
        <v>45716</v>
      </c>
      <c r="I39" s="13" t="s">
        <v>547</v>
      </c>
      <c r="J39" t="s">
        <v>43</v>
      </c>
      <c r="K39" s="25" t="s">
        <v>548</v>
      </c>
    </row>
    <row r="40" spans="1:11" ht="30" x14ac:dyDescent="0.25">
      <c r="A40" s="13" t="s">
        <v>549</v>
      </c>
      <c r="B40" t="s">
        <v>40</v>
      </c>
      <c r="C40" t="s">
        <v>155</v>
      </c>
      <c r="D40" t="s">
        <v>155</v>
      </c>
      <c r="E40">
        <v>79.5</v>
      </c>
      <c r="F40" t="s">
        <v>546</v>
      </c>
      <c r="G40" t="s">
        <v>52</v>
      </c>
      <c r="H40" s="27">
        <v>45716</v>
      </c>
      <c r="I40" s="13" t="s">
        <v>547</v>
      </c>
      <c r="J40" t="s">
        <v>43</v>
      </c>
      <c r="K40" s="25" t="s">
        <v>550</v>
      </c>
    </row>
    <row r="41" spans="1:11" ht="30" x14ac:dyDescent="0.25">
      <c r="A41" s="13" t="s">
        <v>551</v>
      </c>
      <c r="B41" t="s">
        <v>40</v>
      </c>
      <c r="C41" t="s">
        <v>155</v>
      </c>
      <c r="D41" t="s">
        <v>155</v>
      </c>
      <c r="E41">
        <v>79.5</v>
      </c>
      <c r="F41" t="s">
        <v>546</v>
      </c>
      <c r="G41" t="s">
        <v>52</v>
      </c>
      <c r="H41" s="27">
        <v>45716</v>
      </c>
      <c r="I41" s="13" t="s">
        <v>547</v>
      </c>
      <c r="J41" t="s">
        <v>43</v>
      </c>
      <c r="K41" s="25" t="s">
        <v>552</v>
      </c>
    </row>
    <row r="42" spans="1:11" ht="15" customHeight="1" x14ac:dyDescent="0.25">
      <c r="A42" t="s">
        <v>553</v>
      </c>
      <c r="B42" t="s">
        <v>40</v>
      </c>
      <c r="C42" t="s">
        <v>257</v>
      </c>
      <c r="E42">
        <v>168</v>
      </c>
      <c r="F42" t="s">
        <v>554</v>
      </c>
      <c r="G42" t="s">
        <v>358</v>
      </c>
      <c r="H42" s="27">
        <v>45936</v>
      </c>
      <c r="I42" s="13" t="s">
        <v>555</v>
      </c>
      <c r="J42" s="13"/>
    </row>
    <row r="43" spans="1:11" ht="15" customHeight="1" x14ac:dyDescent="0.25">
      <c r="A43" t="s">
        <v>556</v>
      </c>
      <c r="B43" t="s">
        <v>40</v>
      </c>
      <c r="C43" t="s">
        <v>378</v>
      </c>
      <c r="E43">
        <v>168</v>
      </c>
      <c r="F43" t="s">
        <v>554</v>
      </c>
      <c r="G43" t="s">
        <v>358</v>
      </c>
      <c r="H43" s="27">
        <v>45936</v>
      </c>
      <c r="I43" s="13" t="s">
        <v>557</v>
      </c>
      <c r="J43" s="13"/>
    </row>
    <row r="44" spans="1:11" x14ac:dyDescent="0.25">
      <c r="A44" t="s">
        <v>558</v>
      </c>
      <c r="B44" t="s">
        <v>40</v>
      </c>
      <c r="C44" t="s">
        <v>257</v>
      </c>
      <c r="E44">
        <v>168</v>
      </c>
      <c r="F44" t="s">
        <v>554</v>
      </c>
      <c r="G44" t="s">
        <v>358</v>
      </c>
      <c r="H44" s="27">
        <v>45936</v>
      </c>
      <c r="I44" s="95" t="s">
        <v>559</v>
      </c>
      <c r="J44" s="95" t="s">
        <v>560</v>
      </c>
    </row>
    <row r="45" spans="1:11" ht="15" customHeight="1" x14ac:dyDescent="0.25">
      <c r="A45" t="s">
        <v>561</v>
      </c>
      <c r="B45" t="s">
        <v>40</v>
      </c>
      <c r="C45" t="s">
        <v>562</v>
      </c>
      <c r="D45" t="s">
        <v>521</v>
      </c>
      <c r="E45" s="66">
        <v>329.5</v>
      </c>
      <c r="F45" t="s">
        <v>563</v>
      </c>
      <c r="G45" t="s">
        <v>358</v>
      </c>
      <c r="H45" s="27">
        <v>45945</v>
      </c>
      <c r="I45" t="s">
        <v>564</v>
      </c>
      <c r="J45" s="95" t="s">
        <v>560</v>
      </c>
    </row>
    <row r="46" spans="1:11" ht="15" customHeight="1" x14ac:dyDescent="0.25">
      <c r="A46" t="s">
        <v>565</v>
      </c>
      <c r="B46" t="s">
        <v>40</v>
      </c>
      <c r="C46" t="s">
        <v>566</v>
      </c>
      <c r="D46" t="s">
        <v>521</v>
      </c>
      <c r="E46" s="66">
        <v>329.5</v>
      </c>
      <c r="F46" t="s">
        <v>563</v>
      </c>
      <c r="G46" t="s">
        <v>358</v>
      </c>
      <c r="H46" s="27">
        <v>45945</v>
      </c>
      <c r="I46" t="s">
        <v>567</v>
      </c>
      <c r="J46" s="95" t="s">
        <v>560</v>
      </c>
    </row>
    <row r="47" spans="1:11" ht="15" customHeight="1" x14ac:dyDescent="0.25">
      <c r="A47" t="s">
        <v>568</v>
      </c>
      <c r="B47" t="s">
        <v>40</v>
      </c>
      <c r="C47" t="s">
        <v>378</v>
      </c>
      <c r="D47" t="s">
        <v>363</v>
      </c>
      <c r="E47">
        <v>398</v>
      </c>
      <c r="F47" t="s">
        <v>563</v>
      </c>
      <c r="G47" t="s">
        <v>358</v>
      </c>
      <c r="H47" s="27">
        <v>45946</v>
      </c>
      <c r="I47" s="13" t="s">
        <v>569</v>
      </c>
      <c r="J47" s="95" t="s">
        <v>560</v>
      </c>
    </row>
    <row r="48" spans="1:11" ht="15" customHeight="1" x14ac:dyDescent="0.25">
      <c r="A48" t="s">
        <v>570</v>
      </c>
      <c r="B48" t="s">
        <v>40</v>
      </c>
      <c r="C48" t="s">
        <v>257</v>
      </c>
      <c r="D48" t="s">
        <v>363</v>
      </c>
      <c r="E48">
        <v>568</v>
      </c>
      <c r="F48" t="s">
        <v>563</v>
      </c>
      <c r="G48" t="s">
        <v>358</v>
      </c>
      <c r="H48" s="27">
        <v>45960</v>
      </c>
      <c r="I48" t="s">
        <v>571</v>
      </c>
      <c r="J48" s="95" t="s">
        <v>560</v>
      </c>
    </row>
    <row r="49" spans="1:10" ht="15" customHeight="1" x14ac:dyDescent="0.25">
      <c r="A49" s="13" t="s">
        <v>572</v>
      </c>
      <c r="B49" t="s">
        <v>40</v>
      </c>
      <c r="C49" t="s">
        <v>378</v>
      </c>
      <c r="D49" t="s">
        <v>363</v>
      </c>
      <c r="E49">
        <v>568</v>
      </c>
      <c r="F49" t="s">
        <v>563</v>
      </c>
      <c r="G49" t="s">
        <v>358</v>
      </c>
      <c r="H49" s="27">
        <v>45960</v>
      </c>
      <c r="I49" t="s">
        <v>573</v>
      </c>
      <c r="J49" s="95" t="s">
        <v>560</v>
      </c>
    </row>
    <row r="50" spans="1:10" ht="15" customHeight="1" x14ac:dyDescent="0.25">
      <c r="A50" s="13" t="s">
        <v>574</v>
      </c>
      <c r="B50" t="s">
        <v>40</v>
      </c>
      <c r="C50" t="s">
        <v>257</v>
      </c>
      <c r="D50" t="s">
        <v>363</v>
      </c>
      <c r="E50">
        <v>567</v>
      </c>
      <c r="F50" t="s">
        <v>563</v>
      </c>
      <c r="G50" t="s">
        <v>358</v>
      </c>
      <c r="H50" s="27">
        <v>45960</v>
      </c>
      <c r="I50" t="s">
        <v>575</v>
      </c>
      <c r="J50" s="95" t="s">
        <v>560</v>
      </c>
    </row>
    <row r="51" spans="1:10" ht="15" customHeight="1" x14ac:dyDescent="0.25">
      <c r="A51" t="s">
        <v>576</v>
      </c>
      <c r="B51" t="s">
        <v>40</v>
      </c>
      <c r="C51" t="s">
        <v>378</v>
      </c>
      <c r="D51" t="s">
        <v>245</v>
      </c>
      <c r="E51">
        <v>599</v>
      </c>
      <c r="F51" t="s">
        <v>563</v>
      </c>
      <c r="G51" t="s">
        <v>358</v>
      </c>
      <c r="H51" s="27">
        <v>45992</v>
      </c>
      <c r="I51" t="s">
        <v>577</v>
      </c>
      <c r="J51" t="s">
        <v>380</v>
      </c>
    </row>
    <row r="52" spans="1:10" ht="15" customHeight="1" x14ac:dyDescent="0.25">
      <c r="A52" t="s">
        <v>578</v>
      </c>
      <c r="B52" t="s">
        <v>40</v>
      </c>
      <c r="C52" t="s">
        <v>378</v>
      </c>
      <c r="D52" t="s">
        <v>245</v>
      </c>
      <c r="E52">
        <v>599</v>
      </c>
      <c r="F52" t="s">
        <v>563</v>
      </c>
      <c r="G52" t="s">
        <v>358</v>
      </c>
      <c r="H52" s="27">
        <v>45992</v>
      </c>
      <c r="I52" t="s">
        <v>579</v>
      </c>
      <c r="J52" t="s">
        <v>380</v>
      </c>
    </row>
    <row r="53" spans="1:10" ht="15" customHeight="1" x14ac:dyDescent="0.25">
      <c r="A53" t="s">
        <v>580</v>
      </c>
      <c r="B53" t="s">
        <v>40</v>
      </c>
      <c r="C53" t="s">
        <v>363</v>
      </c>
      <c r="D53" t="s">
        <v>378</v>
      </c>
      <c r="E53">
        <v>473</v>
      </c>
      <c r="F53" t="s">
        <v>563</v>
      </c>
      <c r="G53" t="s">
        <v>358</v>
      </c>
      <c r="H53" s="27">
        <v>45995</v>
      </c>
      <c r="I53" t="s">
        <v>581</v>
      </c>
      <c r="J53" t="s">
        <v>582</v>
      </c>
    </row>
    <row r="54" spans="1:10" ht="15" customHeight="1" x14ac:dyDescent="0.25">
      <c r="A54" t="s">
        <v>583</v>
      </c>
      <c r="B54" t="s">
        <v>40</v>
      </c>
      <c r="C54" t="s">
        <v>584</v>
      </c>
      <c r="D54" t="s">
        <v>378</v>
      </c>
      <c r="E54">
        <v>474</v>
      </c>
      <c r="F54" t="s">
        <v>563</v>
      </c>
      <c r="G54" t="s">
        <v>358</v>
      </c>
      <c r="H54" s="27">
        <v>45995</v>
      </c>
      <c r="I54" t="s">
        <v>585</v>
      </c>
      <c r="J54" t="s">
        <v>586</v>
      </c>
    </row>
    <row r="55" spans="1:10" ht="15" customHeight="1" x14ac:dyDescent="0.25">
      <c r="A55" t="s">
        <v>587</v>
      </c>
      <c r="B55" t="s">
        <v>40</v>
      </c>
      <c r="C55" t="s">
        <v>584</v>
      </c>
      <c r="D55" t="s">
        <v>378</v>
      </c>
      <c r="E55">
        <v>474</v>
      </c>
      <c r="F55" t="s">
        <v>563</v>
      </c>
      <c r="G55" t="s">
        <v>358</v>
      </c>
      <c r="H55" s="27">
        <v>45995</v>
      </c>
      <c r="I55" t="s">
        <v>588</v>
      </c>
      <c r="J55" t="s">
        <v>586</v>
      </c>
    </row>
    <row r="56" spans="1:10" ht="15" customHeight="1" x14ac:dyDescent="0.25">
      <c r="A56" t="s">
        <v>589</v>
      </c>
      <c r="B56" t="s">
        <v>40</v>
      </c>
      <c r="C56" t="s">
        <v>363</v>
      </c>
      <c r="D56" t="s">
        <v>378</v>
      </c>
      <c r="E56">
        <v>474</v>
      </c>
      <c r="F56" t="s">
        <v>563</v>
      </c>
      <c r="G56" t="s">
        <v>358</v>
      </c>
      <c r="H56" s="27">
        <v>45995</v>
      </c>
      <c r="I56" t="s">
        <v>590</v>
      </c>
      <c r="J56" t="s">
        <v>586</v>
      </c>
    </row>
    <row r="57" spans="1:10" ht="15" customHeight="1" x14ac:dyDescent="0.25">
      <c r="A57" t="s">
        <v>591</v>
      </c>
      <c r="B57" t="s">
        <v>40</v>
      </c>
      <c r="C57" t="s">
        <v>363</v>
      </c>
      <c r="D57" t="s">
        <v>378</v>
      </c>
      <c r="E57">
        <v>475</v>
      </c>
      <c r="F57" t="s">
        <v>563</v>
      </c>
      <c r="G57" t="s">
        <v>358</v>
      </c>
      <c r="H57" s="27">
        <v>45995</v>
      </c>
      <c r="I57" t="s">
        <v>592</v>
      </c>
      <c r="J57" t="s">
        <v>586</v>
      </c>
    </row>
    <row r="58" spans="1:10" ht="15" customHeight="1" x14ac:dyDescent="0.25">
      <c r="A58" t="s">
        <v>593</v>
      </c>
      <c r="B58" t="s">
        <v>40</v>
      </c>
      <c r="C58" t="s">
        <v>363</v>
      </c>
      <c r="D58" t="s">
        <v>378</v>
      </c>
      <c r="E58">
        <v>474</v>
      </c>
      <c r="F58" t="s">
        <v>563</v>
      </c>
      <c r="G58" t="s">
        <v>358</v>
      </c>
      <c r="H58" s="27">
        <v>45995</v>
      </c>
      <c r="I58" t="s">
        <v>594</v>
      </c>
      <c r="J58" t="s">
        <v>383</v>
      </c>
    </row>
    <row r="59" spans="1:10" ht="15" customHeight="1" x14ac:dyDescent="0.25">
      <c r="A59" t="s">
        <v>595</v>
      </c>
      <c r="B59" t="s">
        <v>40</v>
      </c>
      <c r="C59" t="s">
        <v>378</v>
      </c>
      <c r="D59" t="s">
        <v>363</v>
      </c>
      <c r="E59">
        <v>1510</v>
      </c>
      <c r="F59" t="s">
        <v>596</v>
      </c>
      <c r="G59" t="s">
        <v>358</v>
      </c>
      <c r="H59" s="27">
        <v>46030</v>
      </c>
      <c r="I59" t="s">
        <v>597</v>
      </c>
      <c r="J59" t="s">
        <v>598</v>
      </c>
    </row>
    <row r="60" spans="1:10" ht="15" customHeight="1" x14ac:dyDescent="0.25">
      <c r="A60" t="s">
        <v>599</v>
      </c>
      <c r="B60" t="s">
        <v>40</v>
      </c>
      <c r="C60" t="s">
        <v>378</v>
      </c>
      <c r="D60" t="s">
        <v>363</v>
      </c>
      <c r="E60">
        <v>1510</v>
      </c>
      <c r="F60" t="s">
        <v>596</v>
      </c>
      <c r="G60" t="s">
        <v>358</v>
      </c>
      <c r="H60" s="27">
        <v>46030</v>
      </c>
      <c r="I60" t="s">
        <v>600</v>
      </c>
      <c r="J60" t="s">
        <v>383</v>
      </c>
    </row>
    <row r="61" spans="1:10" ht="15" customHeight="1" x14ac:dyDescent="0.25">
      <c r="A61" t="s">
        <v>601</v>
      </c>
      <c r="B61" t="s">
        <v>602</v>
      </c>
      <c r="C61" t="s">
        <v>584</v>
      </c>
      <c r="D61" t="s">
        <v>363</v>
      </c>
      <c r="E61">
        <v>137</v>
      </c>
      <c r="F61" t="s">
        <v>603</v>
      </c>
      <c r="G61" t="s">
        <v>358</v>
      </c>
      <c r="H61" s="27">
        <v>46049</v>
      </c>
      <c r="I61" t="s">
        <v>604</v>
      </c>
    </row>
    <row r="62" spans="1:10" ht="15" customHeight="1" x14ac:dyDescent="0.25">
      <c r="A62" t="s">
        <v>605</v>
      </c>
      <c r="B62" t="s">
        <v>602</v>
      </c>
      <c r="C62" t="s">
        <v>584</v>
      </c>
      <c r="D62" t="s">
        <v>257</v>
      </c>
      <c r="E62">
        <v>2308</v>
      </c>
      <c r="F62" t="s">
        <v>563</v>
      </c>
      <c r="G62" t="s">
        <v>358</v>
      </c>
      <c r="H62" s="27">
        <v>46057</v>
      </c>
      <c r="I62" t="s">
        <v>606</v>
      </c>
      <c r="J62" t="s">
        <v>607</v>
      </c>
    </row>
    <row r="63" spans="1:10" ht="15" customHeight="1" x14ac:dyDescent="0.25">
      <c r="A63" t="s">
        <v>608</v>
      </c>
      <c r="B63" t="s">
        <v>602</v>
      </c>
      <c r="C63" t="s">
        <v>584</v>
      </c>
      <c r="D63" t="s">
        <v>257</v>
      </c>
      <c r="E63">
        <v>2308</v>
      </c>
      <c r="F63" t="s">
        <v>563</v>
      </c>
      <c r="G63" t="s">
        <v>358</v>
      </c>
      <c r="H63" s="27">
        <v>46057</v>
      </c>
      <c r="I63" t="s">
        <v>609</v>
      </c>
      <c r="J63" t="s">
        <v>607</v>
      </c>
    </row>
    <row r="64" spans="1:10" ht="15" customHeight="1" x14ac:dyDescent="0.25">
      <c r="A64" t="s">
        <v>610</v>
      </c>
      <c r="B64" t="s">
        <v>602</v>
      </c>
      <c r="C64" t="s">
        <v>584</v>
      </c>
      <c r="D64" t="s">
        <v>257</v>
      </c>
      <c r="E64">
        <v>1322</v>
      </c>
      <c r="F64" t="s">
        <v>563</v>
      </c>
      <c r="G64" t="s">
        <v>358</v>
      </c>
      <c r="H64" s="27">
        <v>46057</v>
      </c>
      <c r="I64" t="s">
        <v>611</v>
      </c>
      <c r="J64" t="s">
        <v>607</v>
      </c>
    </row>
    <row r="65" spans="1:10" ht="15" customHeight="1" x14ac:dyDescent="0.25">
      <c r="A65" t="s">
        <v>612</v>
      </c>
      <c r="B65" t="s">
        <v>602</v>
      </c>
      <c r="C65" t="s">
        <v>584</v>
      </c>
      <c r="D65" t="s">
        <v>257</v>
      </c>
      <c r="E65">
        <v>908</v>
      </c>
      <c r="F65" t="s">
        <v>563</v>
      </c>
      <c r="G65" t="s">
        <v>358</v>
      </c>
      <c r="H65" s="27">
        <v>45999</v>
      </c>
      <c r="I65" s="13" t="s">
        <v>613</v>
      </c>
      <c r="J65" s="13"/>
    </row>
    <row r="66" spans="1:10" ht="15" customHeight="1" x14ac:dyDescent="0.25">
      <c r="A66" s="13" t="s">
        <v>614</v>
      </c>
      <c r="B66" t="s">
        <v>602</v>
      </c>
      <c r="C66" t="s">
        <v>392</v>
      </c>
      <c r="D66" t="s">
        <v>392</v>
      </c>
      <c r="E66">
        <v>45.42</v>
      </c>
      <c r="F66" t="s">
        <v>271</v>
      </c>
      <c r="G66" t="s">
        <v>358</v>
      </c>
      <c r="H66" s="27">
        <v>46115</v>
      </c>
      <c r="I66" t="s">
        <v>615</v>
      </c>
      <c r="J66" t="s">
        <v>388</v>
      </c>
    </row>
    <row r="67" spans="1:10" ht="15" customHeight="1" x14ac:dyDescent="0.25">
      <c r="A67" t="s">
        <v>616</v>
      </c>
      <c r="B67" t="s">
        <v>602</v>
      </c>
      <c r="C67" t="s">
        <v>392</v>
      </c>
      <c r="D67" t="s">
        <v>392</v>
      </c>
      <c r="E67">
        <v>42.33</v>
      </c>
      <c r="F67" t="s">
        <v>271</v>
      </c>
      <c r="G67" t="s">
        <v>358</v>
      </c>
      <c r="H67" s="27">
        <v>46115</v>
      </c>
      <c r="I67" t="s">
        <v>617</v>
      </c>
      <c r="J67" t="s">
        <v>618</v>
      </c>
    </row>
  </sheetData>
  <autoFilter ref="A1:K25" xr:uid="{00000000-0001-0000-0000-000000000000}">
    <sortState xmlns:xlrd2="http://schemas.microsoft.com/office/spreadsheetml/2017/richdata2" ref="A2:K25">
      <sortCondition ref="A1:A25"/>
    </sortState>
  </autoFilter>
  <sortState xmlns:xlrd2="http://schemas.microsoft.com/office/spreadsheetml/2017/richdata2" ref="A2:G10">
    <sortCondition ref="A2:A10"/>
  </sortState>
  <hyperlinks>
    <hyperlink ref="K3" r:id="rId1" xr:uid="{1B213D1E-EA51-4206-9735-F236609C402F}"/>
    <hyperlink ref="K2" r:id="rId2" xr:uid="{3393E355-41D1-474C-99DA-3ECF2244861A}"/>
    <hyperlink ref="K6" r:id="rId3" xr:uid="{6C5D5A87-E31F-479F-B7CC-C85547630607}"/>
    <hyperlink ref="K7" r:id="rId4" xr:uid="{13DB5A0F-07EE-43FA-BDDB-73757AF0826C}"/>
    <hyperlink ref="K8" r:id="rId5" xr:uid="{4E6DED6A-ECBD-427B-867D-9118EDE75488}"/>
    <hyperlink ref="K9" r:id="rId6" xr:uid="{A25E46B1-DE6E-4454-A62C-1F4C2B2D78EA}"/>
    <hyperlink ref="K10" r:id="rId7" xr:uid="{913D4E48-7BA9-4D9E-AE02-C37054BDDBFC}"/>
    <hyperlink ref="K11" r:id="rId8" xr:uid="{D8354170-C408-4325-B84A-F6F4B7033116}"/>
    <hyperlink ref="K12" r:id="rId9" xr:uid="{A5A0DFF2-E048-4320-90BF-1BD283CBAADD}"/>
    <hyperlink ref="K14" r:id="rId10" xr:uid="{A69205B9-8021-4624-9AED-09CC003385C1}"/>
    <hyperlink ref="K15" r:id="rId11" xr:uid="{DBE4E09F-10CE-4BE2-86F6-03872FA1B171}"/>
    <hyperlink ref="K16" r:id="rId12" xr:uid="{0225C072-3570-4716-B5FE-479FD3F92F30}"/>
    <hyperlink ref="K17" r:id="rId13" xr:uid="{84B3BCD6-AA10-4011-A9A0-281D96BB86D9}"/>
    <hyperlink ref="K18" r:id="rId14" xr:uid="{0DBB0F10-7018-44FB-89B5-3910E481C349}"/>
    <hyperlink ref="K20" r:id="rId15" xr:uid="{C2BB5C7F-3F8E-4677-AE49-737F2A0E6DB9}"/>
    <hyperlink ref="K19" r:id="rId16" xr:uid="{C1EEA6E6-9C77-450C-AAF9-4CAF21C6D98D}"/>
    <hyperlink ref="K21" r:id="rId17" xr:uid="{03083F7C-F518-4013-B198-F6F6D379E0FE}"/>
    <hyperlink ref="K22" r:id="rId18" xr:uid="{49D858B9-74AC-4EA1-8892-8DA6E543DB04}"/>
    <hyperlink ref="K23" r:id="rId19" xr:uid="{6BB31E5B-0431-450C-B083-4904AD5155FB}"/>
    <hyperlink ref="K24" r:id="rId20" xr:uid="{0331574B-66A1-4C1F-9348-E082F154F5F6}"/>
    <hyperlink ref="K25" r:id="rId21" xr:uid="{C78A3554-059C-4CDB-A530-E335A9D83552}"/>
    <hyperlink ref="K26" r:id="rId22" xr:uid="{91EB0550-5A81-439C-81FE-4A58181508B6}"/>
    <hyperlink ref="K4" r:id="rId23" xr:uid="{E8B745BD-8DAA-4A84-A4A7-2069B348C9B6}"/>
    <hyperlink ref="K5" r:id="rId24" xr:uid="{8A792254-C32B-49AE-BA38-B2C0B67EFB9D}"/>
    <hyperlink ref="K27" r:id="rId25" xr:uid="{096C2E11-3622-4ED9-9279-881D4747C100}"/>
    <hyperlink ref="K28" r:id="rId26" xr:uid="{73A4938B-0359-4EC8-A9F3-858E21FDFEA0}"/>
    <hyperlink ref="K29" r:id="rId27" xr:uid="{037C9C0B-4DAE-41F6-8C17-2B7C2CED5942}"/>
    <hyperlink ref="K30" r:id="rId28" xr:uid="{1D55D254-A65D-4361-8A6A-744DA84D99A7}"/>
    <hyperlink ref="K31" r:id="rId29" xr:uid="{22925DEE-CE3D-4E32-B9F3-DC554F75E821}"/>
    <hyperlink ref="K32" r:id="rId30" xr:uid="{EFD59080-8716-4715-A625-0BB6EFD2E6A2}"/>
    <hyperlink ref="K33" r:id="rId31" xr:uid="{FC983710-302A-4D86-868E-043C281E7F1F}"/>
    <hyperlink ref="K34" r:id="rId32" xr:uid="{DF2C67AC-070B-4E59-A6AC-6531318B6720}"/>
    <hyperlink ref="K35" r:id="rId33" xr:uid="{DBEA09BA-6A7C-4A1A-9E51-6DCB30683E65}"/>
    <hyperlink ref="K36" r:id="rId34" xr:uid="{BE97A927-2A92-45F2-A2B1-242EC5543CD5}"/>
    <hyperlink ref="K37" r:id="rId35" xr:uid="{A8ACEFB1-37AE-400A-A621-0256CD8C47B9}"/>
    <hyperlink ref="K38" r:id="rId36" xr:uid="{5D187FC0-A42D-4EB6-B73E-2D84C0BB0EA3}"/>
    <hyperlink ref="K39" r:id="rId37" xr:uid="{BBB0F55C-6AFA-40E1-BFBA-AECE67F3C6E6}"/>
    <hyperlink ref="K40" r:id="rId38" xr:uid="{488ADAE5-6545-48D0-9209-2214FE8697DF}"/>
    <hyperlink ref="K41" r:id="rId39" xr:uid="{7F20D98F-EA36-455B-B723-5B43183D194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0E9D7-1B95-4D4B-B630-3FC9A63F831A}">
  <dimension ref="A1:K1048576"/>
  <sheetViews>
    <sheetView zoomScale="85" zoomScaleNormal="85" workbookViewId="0">
      <pane ySplit="1" topLeftCell="A400" activePane="bottomLeft" state="frozen"/>
      <selection pane="bottomLeft" activeCell="E434" sqref="E434"/>
    </sheetView>
  </sheetViews>
  <sheetFormatPr defaultRowHeight="15" customHeight="1" x14ac:dyDescent="0.25"/>
  <cols>
    <col min="1" max="1" width="63.7109375" bestFit="1" customWidth="1"/>
    <col min="3" max="3" width="15.28515625" bestFit="1" customWidth="1"/>
    <col min="4" max="4" width="27.5703125" bestFit="1" customWidth="1"/>
    <col min="5" max="5" width="9.42578125" customWidth="1"/>
    <col min="6" max="6" width="21.28515625" style="23" customWidth="1"/>
    <col min="7" max="7" width="11.85546875" customWidth="1"/>
    <col min="8" max="8" width="16.28515625" style="27" customWidth="1"/>
    <col min="9" max="9" width="64.7109375" customWidth="1"/>
    <col min="10" max="10" width="23.28515625" customWidth="1"/>
  </cols>
  <sheetData>
    <row r="1" spans="1:11" x14ac:dyDescent="0.25">
      <c r="A1" s="4" t="s">
        <v>28</v>
      </c>
      <c r="B1" s="4" t="s">
        <v>29</v>
      </c>
      <c r="C1" s="4" t="s">
        <v>30</v>
      </c>
      <c r="D1" s="4" t="s">
        <v>31</v>
      </c>
      <c r="E1" s="4" t="s">
        <v>32</v>
      </c>
      <c r="F1" s="4" t="s">
        <v>33</v>
      </c>
      <c r="G1" s="4" t="s">
        <v>34</v>
      </c>
      <c r="H1" s="22" t="s">
        <v>35</v>
      </c>
      <c r="I1" s="5" t="s">
        <v>36</v>
      </c>
      <c r="J1" s="5" t="s">
        <v>37</v>
      </c>
      <c r="K1" s="5" t="s">
        <v>38</v>
      </c>
    </row>
    <row r="2" spans="1:11" x14ac:dyDescent="0.25">
      <c r="A2" s="1" t="s">
        <v>619</v>
      </c>
      <c r="B2" t="s">
        <v>40</v>
      </c>
      <c r="E2">
        <v>168</v>
      </c>
      <c r="F2" t="s">
        <v>41</v>
      </c>
      <c r="G2" t="s">
        <v>52</v>
      </c>
      <c r="H2" s="27" t="s">
        <v>620</v>
      </c>
      <c r="I2" t="s">
        <v>621</v>
      </c>
      <c r="J2" t="s">
        <v>58</v>
      </c>
      <c r="K2" s="42" t="s">
        <v>622</v>
      </c>
    </row>
    <row r="3" spans="1:11" ht="30.75" customHeight="1" x14ac:dyDescent="0.25">
      <c r="A3" t="s">
        <v>623</v>
      </c>
      <c r="B3" t="s">
        <v>40</v>
      </c>
      <c r="E3">
        <v>168</v>
      </c>
      <c r="F3" t="s">
        <v>41</v>
      </c>
      <c r="G3" t="s">
        <v>52</v>
      </c>
      <c r="I3" s="13" t="s">
        <v>624</v>
      </c>
      <c r="J3" t="s">
        <v>58</v>
      </c>
      <c r="K3" s="42" t="s">
        <v>625</v>
      </c>
    </row>
    <row r="4" spans="1:11" x14ac:dyDescent="0.25">
      <c r="A4" t="s">
        <v>626</v>
      </c>
      <c r="B4" t="s">
        <v>40</v>
      </c>
      <c r="E4">
        <v>168</v>
      </c>
      <c r="F4" t="s">
        <v>41</v>
      </c>
      <c r="G4" t="s">
        <v>52</v>
      </c>
      <c r="I4" t="s">
        <v>627</v>
      </c>
      <c r="J4" t="s">
        <v>58</v>
      </c>
      <c r="K4" s="42" t="s">
        <v>628</v>
      </c>
    </row>
    <row r="5" spans="1:11" x14ac:dyDescent="0.25">
      <c r="A5" t="s">
        <v>629</v>
      </c>
      <c r="B5" t="s">
        <v>40</v>
      </c>
      <c r="E5">
        <v>168</v>
      </c>
      <c r="F5" t="s">
        <v>41</v>
      </c>
      <c r="G5" t="s">
        <v>52</v>
      </c>
      <c r="I5" t="s">
        <v>627</v>
      </c>
      <c r="J5" t="s">
        <v>58</v>
      </c>
      <c r="K5" s="42" t="s">
        <v>630</v>
      </c>
    </row>
    <row r="6" spans="1:11" x14ac:dyDescent="0.25">
      <c r="A6" t="s">
        <v>631</v>
      </c>
      <c r="B6" t="s">
        <v>40</v>
      </c>
      <c r="E6">
        <v>168</v>
      </c>
      <c r="F6" t="s">
        <v>41</v>
      </c>
      <c r="G6" t="s">
        <v>52</v>
      </c>
      <c r="I6" t="s">
        <v>632</v>
      </c>
      <c r="J6" t="s">
        <v>43</v>
      </c>
      <c r="K6" s="42" t="s">
        <v>633</v>
      </c>
    </row>
    <row r="7" spans="1:11" x14ac:dyDescent="0.25">
      <c r="A7" t="s">
        <v>634</v>
      </c>
      <c r="B7" t="s">
        <v>40</v>
      </c>
      <c r="E7">
        <v>168</v>
      </c>
      <c r="F7" t="s">
        <v>41</v>
      </c>
      <c r="G7" t="s">
        <v>52</v>
      </c>
      <c r="I7" t="s">
        <v>635</v>
      </c>
      <c r="J7" t="s">
        <v>43</v>
      </c>
      <c r="K7" s="42" t="s">
        <v>636</v>
      </c>
    </row>
    <row r="8" spans="1:11" x14ac:dyDescent="0.25">
      <c r="A8" t="s">
        <v>637</v>
      </c>
      <c r="B8" t="s">
        <v>40</v>
      </c>
      <c r="E8">
        <v>168</v>
      </c>
      <c r="F8" t="s">
        <v>41</v>
      </c>
      <c r="G8" t="s">
        <v>52</v>
      </c>
      <c r="I8" t="s">
        <v>635</v>
      </c>
      <c r="J8" t="s">
        <v>43</v>
      </c>
      <c r="K8" s="42" t="s">
        <v>638</v>
      </c>
    </row>
    <row r="9" spans="1:11" x14ac:dyDescent="0.25">
      <c r="A9" t="s">
        <v>639</v>
      </c>
      <c r="B9" t="s">
        <v>40</v>
      </c>
      <c r="E9">
        <v>168</v>
      </c>
      <c r="F9" t="s">
        <v>41</v>
      </c>
      <c r="G9" t="s">
        <v>52</v>
      </c>
      <c r="H9" s="27">
        <v>45617</v>
      </c>
      <c r="J9" t="s">
        <v>43</v>
      </c>
      <c r="K9" s="42" t="s">
        <v>640</v>
      </c>
    </row>
    <row r="10" spans="1:11" x14ac:dyDescent="0.25">
      <c r="A10" s="1" t="s">
        <v>641</v>
      </c>
      <c r="B10" t="s">
        <v>105</v>
      </c>
      <c r="E10">
        <v>168</v>
      </c>
      <c r="F10" t="s">
        <v>41</v>
      </c>
      <c r="G10" t="s">
        <v>52</v>
      </c>
      <c r="H10" s="27">
        <v>45625</v>
      </c>
      <c r="J10" t="s">
        <v>43</v>
      </c>
      <c r="K10" s="42" t="s">
        <v>642</v>
      </c>
    </row>
    <row r="11" spans="1:11" x14ac:dyDescent="0.25">
      <c r="A11" t="s">
        <v>643</v>
      </c>
      <c r="B11" t="s">
        <v>105</v>
      </c>
      <c r="E11">
        <v>168</v>
      </c>
      <c r="F11" t="s">
        <v>41</v>
      </c>
      <c r="G11" t="s">
        <v>52</v>
      </c>
      <c r="H11" s="27">
        <v>45625</v>
      </c>
      <c r="J11" t="s">
        <v>43</v>
      </c>
      <c r="K11" s="42" t="s">
        <v>644</v>
      </c>
    </row>
    <row r="12" spans="1:11" x14ac:dyDescent="0.25">
      <c r="A12" t="s">
        <v>645</v>
      </c>
      <c r="B12" t="s">
        <v>105</v>
      </c>
      <c r="E12">
        <v>168</v>
      </c>
      <c r="F12" t="s">
        <v>41</v>
      </c>
      <c r="G12" t="s">
        <v>52</v>
      </c>
      <c r="H12" s="27">
        <v>45455</v>
      </c>
      <c r="J12" t="s">
        <v>43</v>
      </c>
      <c r="K12" s="42" t="s">
        <v>646</v>
      </c>
    </row>
    <row r="13" spans="1:11" x14ac:dyDescent="0.25">
      <c r="A13" t="s">
        <v>647</v>
      </c>
      <c r="B13" t="s">
        <v>105</v>
      </c>
      <c r="E13">
        <v>168</v>
      </c>
      <c r="F13" t="s">
        <v>41</v>
      </c>
      <c r="G13" t="s">
        <v>52</v>
      </c>
      <c r="H13" s="27">
        <v>45455</v>
      </c>
      <c r="J13" t="s">
        <v>43</v>
      </c>
      <c r="K13" s="42" t="s">
        <v>648</v>
      </c>
    </row>
    <row r="14" spans="1:11" x14ac:dyDescent="0.25">
      <c r="A14" t="s">
        <v>649</v>
      </c>
      <c r="B14" t="s">
        <v>105</v>
      </c>
      <c r="E14">
        <v>168</v>
      </c>
      <c r="F14" t="s">
        <v>41</v>
      </c>
      <c r="G14" t="s">
        <v>52</v>
      </c>
      <c r="H14" s="27">
        <v>45547</v>
      </c>
      <c r="I14" t="s">
        <v>650</v>
      </c>
      <c r="J14" t="s">
        <v>43</v>
      </c>
      <c r="K14" s="42" t="s">
        <v>651</v>
      </c>
    </row>
    <row r="15" spans="1:11" x14ac:dyDescent="0.25">
      <c r="A15" t="s">
        <v>652</v>
      </c>
      <c r="B15" t="s">
        <v>105</v>
      </c>
      <c r="E15">
        <v>168</v>
      </c>
      <c r="F15" t="s">
        <v>41</v>
      </c>
      <c r="G15" t="s">
        <v>52</v>
      </c>
      <c r="H15" s="27">
        <v>45670</v>
      </c>
      <c r="J15" t="s">
        <v>43</v>
      </c>
      <c r="K15" s="42" t="s">
        <v>653</v>
      </c>
    </row>
    <row r="16" spans="1:11" x14ac:dyDescent="0.25">
      <c r="A16" t="s">
        <v>654</v>
      </c>
      <c r="B16" t="s">
        <v>105</v>
      </c>
      <c r="E16">
        <v>168</v>
      </c>
      <c r="F16" t="s">
        <v>41</v>
      </c>
      <c r="G16" t="s">
        <v>52</v>
      </c>
      <c r="H16" s="27">
        <v>45670</v>
      </c>
      <c r="J16" t="s">
        <v>43</v>
      </c>
      <c r="K16" s="42" t="s">
        <v>655</v>
      </c>
    </row>
    <row r="17" spans="1:11" x14ac:dyDescent="0.25">
      <c r="A17" t="s">
        <v>656</v>
      </c>
      <c r="B17" t="s">
        <v>40</v>
      </c>
      <c r="C17" t="s">
        <v>178</v>
      </c>
      <c r="D17" t="s">
        <v>657</v>
      </c>
      <c r="E17">
        <v>1000</v>
      </c>
      <c r="F17" t="s">
        <v>658</v>
      </c>
      <c r="G17" t="s">
        <v>358</v>
      </c>
      <c r="H17" s="27">
        <v>45792</v>
      </c>
      <c r="I17" t="s">
        <v>659</v>
      </c>
      <c r="J17" t="s">
        <v>196</v>
      </c>
      <c r="K17" s="42" t="s">
        <v>660</v>
      </c>
    </row>
    <row r="18" spans="1:11" x14ac:dyDescent="0.25">
      <c r="A18" t="s">
        <v>661</v>
      </c>
      <c r="B18" t="s">
        <v>40</v>
      </c>
      <c r="C18" t="s">
        <v>194</v>
      </c>
      <c r="D18" t="s">
        <v>657</v>
      </c>
      <c r="E18">
        <v>1000</v>
      </c>
      <c r="F18" t="s">
        <v>658</v>
      </c>
      <c r="G18" t="s">
        <v>358</v>
      </c>
      <c r="H18" s="27">
        <v>45792</v>
      </c>
      <c r="I18" t="s">
        <v>662</v>
      </c>
      <c r="J18" t="s">
        <v>196</v>
      </c>
      <c r="K18" s="42" t="s">
        <v>663</v>
      </c>
    </row>
    <row r="19" spans="1:11" x14ac:dyDescent="0.25">
      <c r="A19" s="45" t="s">
        <v>664</v>
      </c>
      <c r="B19" t="s">
        <v>40</v>
      </c>
      <c r="C19" t="s">
        <v>194</v>
      </c>
      <c r="D19" t="s">
        <v>657</v>
      </c>
      <c r="E19">
        <v>1000</v>
      </c>
      <c r="F19" t="s">
        <v>658</v>
      </c>
      <c r="G19" t="s">
        <v>358</v>
      </c>
      <c r="H19" s="27">
        <v>45792</v>
      </c>
      <c r="I19" t="s">
        <v>665</v>
      </c>
      <c r="J19" t="s">
        <v>196</v>
      </c>
      <c r="K19" s="42" t="s">
        <v>666</v>
      </c>
    </row>
    <row r="20" spans="1:11" x14ac:dyDescent="0.25">
      <c r="A20" t="s">
        <v>667</v>
      </c>
      <c r="B20" t="s">
        <v>40</v>
      </c>
      <c r="C20" t="s">
        <v>245</v>
      </c>
      <c r="D20" t="s">
        <v>258</v>
      </c>
      <c r="E20">
        <v>168</v>
      </c>
      <c r="F20" t="s">
        <v>41</v>
      </c>
      <c r="G20" t="s">
        <v>246</v>
      </c>
      <c r="H20" s="27">
        <v>45825</v>
      </c>
      <c r="I20" t="s">
        <v>668</v>
      </c>
      <c r="J20" t="s">
        <v>196</v>
      </c>
      <c r="K20" s="42" t="s">
        <v>669</v>
      </c>
    </row>
    <row r="21" spans="1:11" x14ac:dyDescent="0.25">
      <c r="A21" t="s">
        <v>670</v>
      </c>
      <c r="B21" t="s">
        <v>40</v>
      </c>
      <c r="C21" t="s">
        <v>245</v>
      </c>
      <c r="D21" t="s">
        <v>258</v>
      </c>
      <c r="E21">
        <v>168</v>
      </c>
      <c r="F21" t="s">
        <v>41</v>
      </c>
      <c r="G21" t="s">
        <v>246</v>
      </c>
      <c r="H21" s="27">
        <v>45825</v>
      </c>
      <c r="I21" t="s">
        <v>671</v>
      </c>
      <c r="J21" t="s">
        <v>196</v>
      </c>
      <c r="K21" s="42" t="s">
        <v>672</v>
      </c>
    </row>
    <row r="22" spans="1:11" x14ac:dyDescent="0.25">
      <c r="A22" t="s">
        <v>673</v>
      </c>
      <c r="B22" t="s">
        <v>40</v>
      </c>
      <c r="C22" t="s">
        <v>245</v>
      </c>
      <c r="D22" t="s">
        <v>258</v>
      </c>
      <c r="E22">
        <v>168</v>
      </c>
      <c r="F22" t="s">
        <v>41</v>
      </c>
      <c r="G22" t="s">
        <v>246</v>
      </c>
      <c r="H22" s="27">
        <v>45825</v>
      </c>
      <c r="I22" t="s">
        <v>674</v>
      </c>
      <c r="J22" t="s">
        <v>196</v>
      </c>
      <c r="K22" s="42" t="s">
        <v>675</v>
      </c>
    </row>
    <row r="23" spans="1:11" x14ac:dyDescent="0.25">
      <c r="A23" t="s">
        <v>676</v>
      </c>
      <c r="B23" t="s">
        <v>40</v>
      </c>
      <c r="C23" t="s">
        <v>155</v>
      </c>
      <c r="D23" t="s">
        <v>677</v>
      </c>
      <c r="E23">
        <v>168</v>
      </c>
      <c r="F23" t="s">
        <v>41</v>
      </c>
      <c r="G23" t="s">
        <v>246</v>
      </c>
      <c r="H23" s="27">
        <v>45841</v>
      </c>
      <c r="J23" t="s">
        <v>196</v>
      </c>
    </row>
    <row r="24" spans="1:11" x14ac:dyDescent="0.25">
      <c r="A24" t="s">
        <v>678</v>
      </c>
      <c r="B24" t="s">
        <v>40</v>
      </c>
      <c r="C24" t="s">
        <v>155</v>
      </c>
      <c r="D24" t="s">
        <v>677</v>
      </c>
      <c r="E24">
        <v>168</v>
      </c>
      <c r="F24" t="s">
        <v>41</v>
      </c>
      <c r="G24" t="s">
        <v>246</v>
      </c>
      <c r="H24" s="27">
        <v>45841</v>
      </c>
      <c r="J24" t="s">
        <v>196</v>
      </c>
    </row>
    <row r="25" spans="1:11" x14ac:dyDescent="0.25">
      <c r="A25" t="s">
        <v>679</v>
      </c>
      <c r="B25" t="s">
        <v>40</v>
      </c>
      <c r="C25" t="s">
        <v>155</v>
      </c>
      <c r="D25" t="s">
        <v>677</v>
      </c>
      <c r="E25">
        <v>168</v>
      </c>
      <c r="F25" t="s">
        <v>41</v>
      </c>
      <c r="G25" t="s">
        <v>246</v>
      </c>
      <c r="H25" s="27">
        <v>45841</v>
      </c>
      <c r="J25" t="s">
        <v>196</v>
      </c>
    </row>
    <row r="26" spans="1:11" x14ac:dyDescent="0.25">
      <c r="A26" t="s">
        <v>680</v>
      </c>
      <c r="B26" t="s">
        <v>40</v>
      </c>
      <c r="C26" t="s">
        <v>155</v>
      </c>
      <c r="D26" t="s">
        <v>677</v>
      </c>
      <c r="E26">
        <v>168</v>
      </c>
      <c r="F26" t="s">
        <v>41</v>
      </c>
      <c r="G26" t="s">
        <v>246</v>
      </c>
      <c r="H26" s="27">
        <v>45841</v>
      </c>
      <c r="J26" t="s">
        <v>196</v>
      </c>
    </row>
    <row r="27" spans="1:11" x14ac:dyDescent="0.25">
      <c r="A27" t="s">
        <v>681</v>
      </c>
      <c r="B27" t="s">
        <v>40</v>
      </c>
      <c r="C27" t="s">
        <v>155</v>
      </c>
      <c r="D27" t="s">
        <v>677</v>
      </c>
      <c r="E27">
        <v>168</v>
      </c>
      <c r="F27" t="s">
        <v>41</v>
      </c>
      <c r="G27" t="s">
        <v>246</v>
      </c>
      <c r="H27" s="27">
        <v>45841</v>
      </c>
      <c r="J27" t="s">
        <v>196</v>
      </c>
    </row>
    <row r="28" spans="1:11" x14ac:dyDescent="0.25">
      <c r="A28" t="s">
        <v>682</v>
      </c>
      <c r="B28" t="s">
        <v>40</v>
      </c>
      <c r="C28" t="s">
        <v>562</v>
      </c>
      <c r="D28" t="s">
        <v>683</v>
      </c>
      <c r="E28">
        <v>168</v>
      </c>
      <c r="F28" s="23" t="s">
        <v>41</v>
      </c>
      <c r="G28" t="s">
        <v>246</v>
      </c>
      <c r="H28" s="27">
        <v>45845</v>
      </c>
      <c r="I28" t="s">
        <v>684</v>
      </c>
      <c r="J28" t="s">
        <v>196</v>
      </c>
    </row>
    <row r="29" spans="1:11" x14ac:dyDescent="0.25">
      <c r="A29" t="s">
        <v>685</v>
      </c>
      <c r="B29" t="s">
        <v>40</v>
      </c>
      <c r="C29" t="s">
        <v>566</v>
      </c>
      <c r="D29" t="s">
        <v>683</v>
      </c>
      <c r="E29">
        <v>168</v>
      </c>
      <c r="F29" s="23" t="s">
        <v>41</v>
      </c>
      <c r="G29" t="s">
        <v>246</v>
      </c>
      <c r="H29" s="27">
        <v>45845</v>
      </c>
      <c r="I29" t="s">
        <v>686</v>
      </c>
      <c r="J29" t="s">
        <v>196</v>
      </c>
    </row>
    <row r="30" spans="1:11" x14ac:dyDescent="0.25">
      <c r="A30" t="s">
        <v>687</v>
      </c>
      <c r="B30" t="s">
        <v>40</v>
      </c>
      <c r="C30" t="s">
        <v>257</v>
      </c>
      <c r="D30" t="s">
        <v>688</v>
      </c>
      <c r="E30">
        <v>168</v>
      </c>
      <c r="F30" s="23" t="s">
        <v>41</v>
      </c>
      <c r="G30" t="s">
        <v>358</v>
      </c>
      <c r="H30" s="27">
        <v>45845</v>
      </c>
      <c r="I30" t="s">
        <v>689</v>
      </c>
      <c r="J30" t="s">
        <v>196</v>
      </c>
    </row>
    <row r="31" spans="1:11" x14ac:dyDescent="0.25">
      <c r="A31" t="s">
        <v>690</v>
      </c>
      <c r="B31" t="s">
        <v>40</v>
      </c>
      <c r="C31" t="s">
        <v>566</v>
      </c>
      <c r="D31" t="s">
        <v>688</v>
      </c>
      <c r="E31">
        <v>168</v>
      </c>
      <c r="F31" s="23" t="s">
        <v>41</v>
      </c>
      <c r="G31" t="s">
        <v>358</v>
      </c>
      <c r="H31" s="27">
        <v>45845</v>
      </c>
      <c r="I31" t="s">
        <v>691</v>
      </c>
      <c r="J31" t="s">
        <v>196</v>
      </c>
    </row>
    <row r="32" spans="1:11" x14ac:dyDescent="0.25">
      <c r="A32" t="s">
        <v>692</v>
      </c>
      <c r="B32" t="s">
        <v>40</v>
      </c>
      <c r="C32" t="s">
        <v>257</v>
      </c>
      <c r="D32" t="s">
        <v>688</v>
      </c>
      <c r="E32">
        <v>168</v>
      </c>
      <c r="F32" s="23" t="s">
        <v>41</v>
      </c>
      <c r="G32" t="s">
        <v>246</v>
      </c>
      <c r="H32" s="27">
        <v>45845</v>
      </c>
      <c r="I32" t="s">
        <v>693</v>
      </c>
      <c r="J32" t="s">
        <v>196</v>
      </c>
    </row>
    <row r="33" spans="1:10" x14ac:dyDescent="0.25">
      <c r="A33" t="s">
        <v>694</v>
      </c>
      <c r="B33" t="s">
        <v>40</v>
      </c>
      <c r="C33" t="s">
        <v>257</v>
      </c>
      <c r="D33" t="s">
        <v>688</v>
      </c>
      <c r="E33">
        <v>168</v>
      </c>
      <c r="F33" s="23" t="s">
        <v>41</v>
      </c>
      <c r="G33" t="s">
        <v>358</v>
      </c>
      <c r="H33" s="27">
        <v>45845</v>
      </c>
      <c r="I33" s="3" t="s">
        <v>695</v>
      </c>
      <c r="J33" t="s">
        <v>196</v>
      </c>
    </row>
    <row r="34" spans="1:10" x14ac:dyDescent="0.25">
      <c r="A34" t="s">
        <v>696</v>
      </c>
      <c r="B34" t="s">
        <v>40</v>
      </c>
      <c r="C34" t="s">
        <v>194</v>
      </c>
      <c r="D34" t="s">
        <v>697</v>
      </c>
      <c r="E34">
        <v>168</v>
      </c>
      <c r="F34" s="23" t="s">
        <v>41</v>
      </c>
      <c r="G34" t="s">
        <v>358</v>
      </c>
      <c r="H34" s="27">
        <v>45848</v>
      </c>
      <c r="I34" t="s">
        <v>698</v>
      </c>
      <c r="J34" t="s">
        <v>196</v>
      </c>
    </row>
    <row r="35" spans="1:10" x14ac:dyDescent="0.25">
      <c r="A35" t="s">
        <v>699</v>
      </c>
      <c r="B35" t="s">
        <v>40</v>
      </c>
      <c r="C35" t="s">
        <v>378</v>
      </c>
      <c r="D35" t="s">
        <v>697</v>
      </c>
      <c r="E35">
        <v>168</v>
      </c>
      <c r="F35" s="23" t="s">
        <v>41</v>
      </c>
      <c r="G35" t="s">
        <v>358</v>
      </c>
      <c r="H35" s="27">
        <v>45848</v>
      </c>
      <c r="I35" t="s">
        <v>700</v>
      </c>
      <c r="J35" t="s">
        <v>196</v>
      </c>
    </row>
    <row r="36" spans="1:10" x14ac:dyDescent="0.25">
      <c r="A36" t="s">
        <v>701</v>
      </c>
      <c r="B36" t="s">
        <v>40</v>
      </c>
      <c r="C36" t="s">
        <v>194</v>
      </c>
      <c r="D36" t="s">
        <v>697</v>
      </c>
      <c r="E36">
        <v>168</v>
      </c>
      <c r="F36" s="23" t="s">
        <v>41</v>
      </c>
      <c r="G36" t="s">
        <v>358</v>
      </c>
      <c r="H36" s="27">
        <v>45848</v>
      </c>
      <c r="I36" t="s">
        <v>702</v>
      </c>
      <c r="J36" t="s">
        <v>360</v>
      </c>
    </row>
    <row r="37" spans="1:10" x14ac:dyDescent="0.25">
      <c r="A37" t="s">
        <v>703</v>
      </c>
      <c r="B37" t="s">
        <v>40</v>
      </c>
      <c r="C37" t="s">
        <v>378</v>
      </c>
      <c r="D37" t="s">
        <v>697</v>
      </c>
      <c r="E37">
        <v>168</v>
      </c>
      <c r="F37" s="23" t="s">
        <v>41</v>
      </c>
      <c r="G37" t="s">
        <v>358</v>
      </c>
      <c r="H37" s="27">
        <v>45848</v>
      </c>
      <c r="I37" s="24" t="s">
        <v>700</v>
      </c>
      <c r="J37" t="s">
        <v>196</v>
      </c>
    </row>
    <row r="38" spans="1:10" x14ac:dyDescent="0.25">
      <c r="A38" t="s">
        <v>704</v>
      </c>
      <c r="B38" t="s">
        <v>40</v>
      </c>
      <c r="C38" t="s">
        <v>378</v>
      </c>
      <c r="D38" t="s">
        <v>697</v>
      </c>
      <c r="E38">
        <v>168</v>
      </c>
      <c r="F38" s="23" t="s">
        <v>41</v>
      </c>
      <c r="G38" t="s">
        <v>358</v>
      </c>
      <c r="H38" s="27">
        <v>45848</v>
      </c>
      <c r="I38" t="s">
        <v>698</v>
      </c>
      <c r="J38" t="s">
        <v>196</v>
      </c>
    </row>
    <row r="39" spans="1:10" x14ac:dyDescent="0.25">
      <c r="A39" t="s">
        <v>705</v>
      </c>
      <c r="B39" t="s">
        <v>40</v>
      </c>
      <c r="C39" t="s">
        <v>194</v>
      </c>
      <c r="D39" t="s">
        <v>697</v>
      </c>
      <c r="E39">
        <v>168</v>
      </c>
      <c r="F39" s="23" t="s">
        <v>41</v>
      </c>
      <c r="G39" t="s">
        <v>358</v>
      </c>
      <c r="H39" s="27">
        <v>45848</v>
      </c>
      <c r="I39" t="s">
        <v>706</v>
      </c>
      <c r="J39" t="s">
        <v>360</v>
      </c>
    </row>
    <row r="40" spans="1:10" x14ac:dyDescent="0.25">
      <c r="A40" t="s">
        <v>707</v>
      </c>
      <c r="B40" t="s">
        <v>40</v>
      </c>
      <c r="C40" t="s">
        <v>257</v>
      </c>
      <c r="D40" t="s">
        <v>378</v>
      </c>
      <c r="E40">
        <v>64</v>
      </c>
      <c r="F40" s="23" t="s">
        <v>708</v>
      </c>
      <c r="G40" t="s">
        <v>358</v>
      </c>
      <c r="H40" s="27">
        <v>45852</v>
      </c>
      <c r="J40" t="s">
        <v>196</v>
      </c>
    </row>
    <row r="41" spans="1:10" x14ac:dyDescent="0.25">
      <c r="A41" t="s">
        <v>709</v>
      </c>
      <c r="B41" t="s">
        <v>40</v>
      </c>
      <c r="C41" t="s">
        <v>257</v>
      </c>
      <c r="D41" t="s">
        <v>378</v>
      </c>
      <c r="E41">
        <v>64</v>
      </c>
      <c r="F41" s="23" t="s">
        <v>708</v>
      </c>
      <c r="G41" t="s">
        <v>358</v>
      </c>
      <c r="H41" s="27">
        <v>45852</v>
      </c>
      <c r="J41" t="s">
        <v>360</v>
      </c>
    </row>
    <row r="42" spans="1:10" x14ac:dyDescent="0.25">
      <c r="A42" t="s">
        <v>710</v>
      </c>
      <c r="B42" t="s">
        <v>40</v>
      </c>
      <c r="C42" t="s">
        <v>257</v>
      </c>
      <c r="D42" t="s">
        <v>378</v>
      </c>
      <c r="E42">
        <v>64</v>
      </c>
      <c r="F42" s="23" t="s">
        <v>708</v>
      </c>
      <c r="G42" t="s">
        <v>358</v>
      </c>
      <c r="H42" s="27">
        <v>45852</v>
      </c>
      <c r="J42" t="s">
        <v>196</v>
      </c>
    </row>
    <row r="43" spans="1:10" x14ac:dyDescent="0.25">
      <c r="A43" t="s">
        <v>711</v>
      </c>
      <c r="B43" t="s">
        <v>40</v>
      </c>
      <c r="C43" t="s">
        <v>257</v>
      </c>
      <c r="D43" t="s">
        <v>378</v>
      </c>
      <c r="E43">
        <v>64</v>
      </c>
      <c r="F43" s="23" t="s">
        <v>708</v>
      </c>
      <c r="G43" t="s">
        <v>358</v>
      </c>
      <c r="H43" s="27">
        <v>45852</v>
      </c>
      <c r="J43" t="s">
        <v>360</v>
      </c>
    </row>
    <row r="44" spans="1:10" x14ac:dyDescent="0.25">
      <c r="A44" t="s">
        <v>712</v>
      </c>
      <c r="B44" t="s">
        <v>40</v>
      </c>
      <c r="C44" t="s">
        <v>257</v>
      </c>
      <c r="D44" t="s">
        <v>378</v>
      </c>
      <c r="E44">
        <v>64</v>
      </c>
      <c r="F44" s="23" t="s">
        <v>708</v>
      </c>
      <c r="G44" t="s">
        <v>358</v>
      </c>
      <c r="H44" s="27">
        <v>45852</v>
      </c>
      <c r="J44" t="s">
        <v>360</v>
      </c>
    </row>
    <row r="45" spans="1:10" x14ac:dyDescent="0.25">
      <c r="A45" t="s">
        <v>713</v>
      </c>
      <c r="B45" t="s">
        <v>40</v>
      </c>
      <c r="C45" t="s">
        <v>363</v>
      </c>
      <c r="D45" t="s">
        <v>714</v>
      </c>
      <c r="E45">
        <v>168</v>
      </c>
      <c r="F45" s="31" t="s">
        <v>271</v>
      </c>
      <c r="G45" t="s">
        <v>715</v>
      </c>
      <c r="H45" s="27">
        <v>45854</v>
      </c>
      <c r="I45" t="s">
        <v>716</v>
      </c>
      <c r="J45" t="s">
        <v>360</v>
      </c>
    </row>
    <row r="46" spans="1:10" x14ac:dyDescent="0.25">
      <c r="A46" t="s">
        <v>717</v>
      </c>
      <c r="B46" t="s">
        <v>40</v>
      </c>
      <c r="C46" t="s">
        <v>584</v>
      </c>
      <c r="D46" t="s">
        <v>714</v>
      </c>
      <c r="E46">
        <v>168</v>
      </c>
      <c r="F46" s="31" t="s">
        <v>271</v>
      </c>
      <c r="G46" t="s">
        <v>715</v>
      </c>
      <c r="H46" s="27">
        <v>45854</v>
      </c>
      <c r="I46" t="s">
        <v>718</v>
      </c>
      <c r="J46" t="s">
        <v>360</v>
      </c>
    </row>
    <row r="47" spans="1:10" ht="14.25" customHeight="1" x14ac:dyDescent="0.25">
      <c r="A47" t="s">
        <v>719</v>
      </c>
      <c r="B47" t="s">
        <v>40</v>
      </c>
      <c r="C47" t="s">
        <v>584</v>
      </c>
      <c r="D47" t="s">
        <v>714</v>
      </c>
      <c r="E47">
        <v>168</v>
      </c>
      <c r="F47" s="31" t="s">
        <v>271</v>
      </c>
      <c r="G47" t="s">
        <v>715</v>
      </c>
      <c r="H47" s="27">
        <v>45854</v>
      </c>
      <c r="I47" s="13" t="s">
        <v>720</v>
      </c>
      <c r="J47" t="s">
        <v>360</v>
      </c>
    </row>
    <row r="48" spans="1:10" x14ac:dyDescent="0.25">
      <c r="A48" t="s">
        <v>721</v>
      </c>
      <c r="B48" t="s">
        <v>40</v>
      </c>
      <c r="C48" t="s">
        <v>377</v>
      </c>
      <c r="D48" t="s">
        <v>363</v>
      </c>
      <c r="E48">
        <v>48</v>
      </c>
      <c r="F48" s="23" t="s">
        <v>722</v>
      </c>
      <c r="G48" t="s">
        <v>358</v>
      </c>
      <c r="H48" s="27">
        <v>45856</v>
      </c>
      <c r="I48" t="s">
        <v>723</v>
      </c>
      <c r="J48" t="s">
        <v>360</v>
      </c>
    </row>
    <row r="49" spans="1:10" x14ac:dyDescent="0.25">
      <c r="A49" t="s">
        <v>724</v>
      </c>
      <c r="B49" t="s">
        <v>40</v>
      </c>
      <c r="C49" t="s">
        <v>245</v>
      </c>
      <c r="D49" t="s">
        <v>363</v>
      </c>
      <c r="E49">
        <v>48</v>
      </c>
      <c r="F49" s="23" t="s">
        <v>722</v>
      </c>
      <c r="G49" t="s">
        <v>246</v>
      </c>
      <c r="H49" s="27">
        <v>45856</v>
      </c>
      <c r="I49" t="s">
        <v>725</v>
      </c>
      <c r="J49" t="s">
        <v>360</v>
      </c>
    </row>
    <row r="50" spans="1:10" x14ac:dyDescent="0.25">
      <c r="A50" t="s">
        <v>726</v>
      </c>
      <c r="B50" s="57" t="s">
        <v>40</v>
      </c>
      <c r="C50" t="s">
        <v>245</v>
      </c>
      <c r="D50" t="s">
        <v>363</v>
      </c>
      <c r="E50">
        <v>48</v>
      </c>
      <c r="F50" s="23" t="s">
        <v>722</v>
      </c>
      <c r="G50" t="s">
        <v>246</v>
      </c>
      <c r="H50" s="27">
        <v>45856</v>
      </c>
      <c r="I50" t="s">
        <v>727</v>
      </c>
      <c r="J50" t="s">
        <v>360</v>
      </c>
    </row>
    <row r="51" spans="1:10" x14ac:dyDescent="0.25">
      <c r="A51" t="s">
        <v>728</v>
      </c>
      <c r="B51" t="s">
        <v>40</v>
      </c>
      <c r="C51" t="s">
        <v>377</v>
      </c>
      <c r="D51" t="s">
        <v>363</v>
      </c>
      <c r="E51">
        <v>48</v>
      </c>
      <c r="F51" s="23" t="s">
        <v>722</v>
      </c>
      <c r="G51" t="s">
        <v>358</v>
      </c>
      <c r="H51" s="27">
        <v>45856</v>
      </c>
      <c r="I51" t="s">
        <v>727</v>
      </c>
      <c r="J51" t="s">
        <v>360</v>
      </c>
    </row>
    <row r="52" spans="1:10" x14ac:dyDescent="0.25">
      <c r="A52" t="s">
        <v>729</v>
      </c>
      <c r="B52" t="s">
        <v>40</v>
      </c>
      <c r="C52" t="s">
        <v>584</v>
      </c>
      <c r="D52" t="s">
        <v>363</v>
      </c>
      <c r="E52">
        <v>48</v>
      </c>
      <c r="F52" s="23" t="s">
        <v>730</v>
      </c>
      <c r="G52" t="s">
        <v>358</v>
      </c>
      <c r="H52" s="27">
        <v>45870</v>
      </c>
      <c r="J52" t="s">
        <v>360</v>
      </c>
    </row>
    <row r="53" spans="1:10" x14ac:dyDescent="0.25">
      <c r="A53" t="s">
        <v>731</v>
      </c>
      <c r="B53" t="s">
        <v>40</v>
      </c>
      <c r="C53" t="s">
        <v>584</v>
      </c>
      <c r="D53" t="s">
        <v>363</v>
      </c>
      <c r="E53">
        <v>48</v>
      </c>
      <c r="F53" s="23" t="s">
        <v>730</v>
      </c>
      <c r="G53" t="s">
        <v>358</v>
      </c>
      <c r="H53" s="27">
        <v>45870</v>
      </c>
      <c r="J53" t="s">
        <v>360</v>
      </c>
    </row>
    <row r="54" spans="1:10" x14ac:dyDescent="0.25">
      <c r="A54" s="13" t="s">
        <v>732</v>
      </c>
      <c r="B54" t="s">
        <v>40</v>
      </c>
      <c r="C54" t="s">
        <v>584</v>
      </c>
      <c r="D54" t="s">
        <v>363</v>
      </c>
      <c r="E54">
        <v>48</v>
      </c>
      <c r="F54" s="23" t="s">
        <v>730</v>
      </c>
      <c r="G54" t="s">
        <v>358</v>
      </c>
      <c r="H54" s="27">
        <v>45870</v>
      </c>
      <c r="J54" t="s">
        <v>360</v>
      </c>
    </row>
    <row r="55" spans="1:10" x14ac:dyDescent="0.25">
      <c r="A55" t="s">
        <v>733</v>
      </c>
      <c r="B55" t="s">
        <v>40</v>
      </c>
      <c r="C55" t="s">
        <v>378</v>
      </c>
      <c r="D55" t="s">
        <v>734</v>
      </c>
      <c r="E55">
        <v>48</v>
      </c>
      <c r="F55" s="31" t="s">
        <v>730</v>
      </c>
      <c r="G55" t="s">
        <v>358</v>
      </c>
      <c r="H55" s="27">
        <v>45876</v>
      </c>
      <c r="I55" t="s">
        <v>735</v>
      </c>
      <c r="J55" t="s">
        <v>360</v>
      </c>
    </row>
    <row r="56" spans="1:10" x14ac:dyDescent="0.25">
      <c r="A56" t="s">
        <v>736</v>
      </c>
      <c r="B56" t="s">
        <v>40</v>
      </c>
      <c r="C56" t="s">
        <v>378</v>
      </c>
      <c r="D56" t="s">
        <v>734</v>
      </c>
      <c r="E56">
        <v>48</v>
      </c>
      <c r="F56" s="31" t="s">
        <v>730</v>
      </c>
      <c r="G56" t="s">
        <v>358</v>
      </c>
      <c r="H56" s="27">
        <v>45876</v>
      </c>
      <c r="I56" t="s">
        <v>735</v>
      </c>
      <c r="J56" t="s">
        <v>360</v>
      </c>
    </row>
    <row r="57" spans="1:10" x14ac:dyDescent="0.25">
      <c r="A57" t="s">
        <v>737</v>
      </c>
      <c r="B57" t="s">
        <v>40</v>
      </c>
      <c r="C57" t="s">
        <v>378</v>
      </c>
      <c r="D57" t="s">
        <v>734</v>
      </c>
      <c r="E57">
        <v>48</v>
      </c>
      <c r="F57" s="31" t="s">
        <v>730</v>
      </c>
      <c r="G57" t="s">
        <v>358</v>
      </c>
      <c r="H57" s="27">
        <v>45876</v>
      </c>
      <c r="I57" t="s">
        <v>735</v>
      </c>
      <c r="J57" t="s">
        <v>360</v>
      </c>
    </row>
    <row r="58" spans="1:10" x14ac:dyDescent="0.25">
      <c r="A58" t="s">
        <v>738</v>
      </c>
      <c r="B58" t="s">
        <v>40</v>
      </c>
      <c r="C58" t="s">
        <v>363</v>
      </c>
      <c r="D58" t="s">
        <v>377</v>
      </c>
      <c r="E58">
        <v>48</v>
      </c>
      <c r="F58" s="31" t="s">
        <v>730</v>
      </c>
      <c r="G58" t="s">
        <v>358</v>
      </c>
      <c r="H58" s="27">
        <v>45876</v>
      </c>
      <c r="I58" t="s">
        <v>735</v>
      </c>
      <c r="J58" t="s">
        <v>360</v>
      </c>
    </row>
    <row r="59" spans="1:10" x14ac:dyDescent="0.25">
      <c r="A59" t="s">
        <v>739</v>
      </c>
      <c r="B59" t="s">
        <v>40</v>
      </c>
      <c r="C59" t="s">
        <v>363</v>
      </c>
      <c r="D59" t="s">
        <v>740</v>
      </c>
      <c r="E59">
        <v>48</v>
      </c>
      <c r="F59" s="31" t="s">
        <v>730</v>
      </c>
      <c r="G59" t="s">
        <v>358</v>
      </c>
      <c r="H59" s="27">
        <v>45877</v>
      </c>
      <c r="I59" s="13" t="s">
        <v>741</v>
      </c>
      <c r="J59" t="s">
        <v>360</v>
      </c>
    </row>
    <row r="60" spans="1:10" x14ac:dyDescent="0.25">
      <c r="A60" t="s">
        <v>742</v>
      </c>
      <c r="B60" t="s">
        <v>40</v>
      </c>
      <c r="C60" t="s">
        <v>584</v>
      </c>
      <c r="D60" t="s">
        <v>378</v>
      </c>
      <c r="E60">
        <v>48</v>
      </c>
      <c r="F60" s="31" t="s">
        <v>730</v>
      </c>
      <c r="G60" t="s">
        <v>358</v>
      </c>
      <c r="H60" s="27">
        <v>45877</v>
      </c>
      <c r="I60" t="s">
        <v>743</v>
      </c>
      <c r="J60" t="s">
        <v>360</v>
      </c>
    </row>
    <row r="61" spans="1:10" x14ac:dyDescent="0.25">
      <c r="A61" t="s">
        <v>744</v>
      </c>
      <c r="B61" t="s">
        <v>40</v>
      </c>
      <c r="C61" t="s">
        <v>584</v>
      </c>
      <c r="D61" t="s">
        <v>378</v>
      </c>
      <c r="E61">
        <v>48</v>
      </c>
      <c r="F61" s="31" t="s">
        <v>730</v>
      </c>
      <c r="G61" t="s">
        <v>358</v>
      </c>
      <c r="H61" s="27">
        <v>45877</v>
      </c>
      <c r="I61" t="s">
        <v>743</v>
      </c>
      <c r="J61" t="s">
        <v>360</v>
      </c>
    </row>
    <row r="62" spans="1:10" x14ac:dyDescent="0.25">
      <c r="A62" t="s">
        <v>745</v>
      </c>
      <c r="B62" t="s">
        <v>40</v>
      </c>
      <c r="C62" t="s">
        <v>363</v>
      </c>
      <c r="D62" t="s">
        <v>378</v>
      </c>
      <c r="E62">
        <v>48</v>
      </c>
      <c r="F62" s="31" t="s">
        <v>730</v>
      </c>
      <c r="G62" t="s">
        <v>358</v>
      </c>
      <c r="H62" s="27">
        <v>45877</v>
      </c>
      <c r="I62" t="s">
        <v>746</v>
      </c>
      <c r="J62" t="s">
        <v>360</v>
      </c>
    </row>
    <row r="63" spans="1:10" x14ac:dyDescent="0.25">
      <c r="A63" t="s">
        <v>747</v>
      </c>
      <c r="B63" t="s">
        <v>40</v>
      </c>
      <c r="C63" t="s">
        <v>363</v>
      </c>
      <c r="D63" t="s">
        <v>378</v>
      </c>
      <c r="E63">
        <v>48</v>
      </c>
      <c r="F63" s="31" t="s">
        <v>730</v>
      </c>
      <c r="G63" t="s">
        <v>358</v>
      </c>
      <c r="H63" s="27">
        <v>45877</v>
      </c>
      <c r="I63" t="s">
        <v>746</v>
      </c>
      <c r="J63" t="s">
        <v>360</v>
      </c>
    </row>
    <row r="64" spans="1:10" x14ac:dyDescent="0.25">
      <c r="A64" t="s">
        <v>748</v>
      </c>
      <c r="B64" t="s">
        <v>40</v>
      </c>
      <c r="C64" t="s">
        <v>584</v>
      </c>
      <c r="D64" t="s">
        <v>378</v>
      </c>
      <c r="E64">
        <v>48</v>
      </c>
      <c r="F64" s="31" t="s">
        <v>730</v>
      </c>
      <c r="G64" t="s">
        <v>358</v>
      </c>
      <c r="H64" s="27">
        <v>45877</v>
      </c>
      <c r="I64" t="s">
        <v>749</v>
      </c>
    </row>
    <row r="65" spans="1:10" x14ac:dyDescent="0.25">
      <c r="A65" t="s">
        <v>750</v>
      </c>
      <c r="B65" t="s">
        <v>40</v>
      </c>
      <c r="C65" t="s">
        <v>377</v>
      </c>
      <c r="D65" t="s">
        <v>377</v>
      </c>
      <c r="E65">
        <v>48</v>
      </c>
      <c r="F65" s="31" t="s">
        <v>730</v>
      </c>
      <c r="G65" t="s">
        <v>358</v>
      </c>
      <c r="H65" s="27">
        <v>45882</v>
      </c>
      <c r="I65" t="s">
        <v>751</v>
      </c>
      <c r="J65" t="s">
        <v>360</v>
      </c>
    </row>
    <row r="66" spans="1:10" x14ac:dyDescent="0.25">
      <c r="A66" t="s">
        <v>752</v>
      </c>
      <c r="B66" t="s">
        <v>40</v>
      </c>
      <c r="C66" t="s">
        <v>566</v>
      </c>
      <c r="D66" t="s">
        <v>377</v>
      </c>
      <c r="E66">
        <v>48</v>
      </c>
      <c r="F66" s="31" t="s">
        <v>730</v>
      </c>
      <c r="G66" t="s">
        <v>358</v>
      </c>
      <c r="H66" s="27">
        <v>45882</v>
      </c>
      <c r="I66" t="s">
        <v>751</v>
      </c>
      <c r="J66" t="s">
        <v>360</v>
      </c>
    </row>
    <row r="67" spans="1:10" x14ac:dyDescent="0.25">
      <c r="A67" t="s">
        <v>753</v>
      </c>
      <c r="B67" t="s">
        <v>602</v>
      </c>
      <c r="C67" t="s">
        <v>754</v>
      </c>
      <c r="D67" t="s">
        <v>377</v>
      </c>
      <c r="E67">
        <v>48</v>
      </c>
      <c r="F67" s="31" t="s">
        <v>730</v>
      </c>
      <c r="G67" t="s">
        <v>358</v>
      </c>
      <c r="H67" s="27">
        <v>45882</v>
      </c>
      <c r="I67" t="s">
        <v>751</v>
      </c>
      <c r="J67" t="s">
        <v>360</v>
      </c>
    </row>
    <row r="68" spans="1:10" x14ac:dyDescent="0.25">
      <c r="A68" t="s">
        <v>755</v>
      </c>
      <c r="B68" t="s">
        <v>40</v>
      </c>
      <c r="C68" t="s">
        <v>245</v>
      </c>
      <c r="D68" t="s">
        <v>257</v>
      </c>
      <c r="E68">
        <v>48</v>
      </c>
      <c r="F68" s="31" t="s">
        <v>730</v>
      </c>
      <c r="G68" t="s">
        <v>358</v>
      </c>
      <c r="H68" s="27">
        <v>45887</v>
      </c>
      <c r="I68" t="s">
        <v>751</v>
      </c>
      <c r="J68" t="s">
        <v>360</v>
      </c>
    </row>
    <row r="69" spans="1:10" x14ac:dyDescent="0.25">
      <c r="A69" t="s">
        <v>756</v>
      </c>
      <c r="B69" t="s">
        <v>40</v>
      </c>
      <c r="C69" t="s">
        <v>245</v>
      </c>
      <c r="D69" t="s">
        <v>257</v>
      </c>
      <c r="E69">
        <v>48</v>
      </c>
      <c r="F69" s="31" t="s">
        <v>730</v>
      </c>
      <c r="G69" t="s">
        <v>358</v>
      </c>
      <c r="H69" s="27">
        <v>45888</v>
      </c>
      <c r="I69" t="s">
        <v>751</v>
      </c>
      <c r="J69" t="s">
        <v>360</v>
      </c>
    </row>
    <row r="70" spans="1:10" x14ac:dyDescent="0.25">
      <c r="A70" t="s">
        <v>757</v>
      </c>
      <c r="B70" t="s">
        <v>40</v>
      </c>
      <c r="C70" t="s">
        <v>245</v>
      </c>
      <c r="D70" t="s">
        <v>257</v>
      </c>
      <c r="E70">
        <v>48</v>
      </c>
      <c r="F70" s="31" t="s">
        <v>730</v>
      </c>
      <c r="G70" t="s">
        <v>358</v>
      </c>
      <c r="H70" s="27">
        <v>45889</v>
      </c>
      <c r="I70" t="s">
        <v>751</v>
      </c>
      <c r="J70" t="s">
        <v>360</v>
      </c>
    </row>
    <row r="71" spans="1:10" x14ac:dyDescent="0.25">
      <c r="A71" t="s">
        <v>758</v>
      </c>
      <c r="B71" t="s">
        <v>40</v>
      </c>
      <c r="C71" t="s">
        <v>245</v>
      </c>
      <c r="D71" t="s">
        <v>257</v>
      </c>
      <c r="E71">
        <v>48</v>
      </c>
      <c r="F71" s="31" t="s">
        <v>730</v>
      </c>
      <c r="G71" t="s">
        <v>358</v>
      </c>
      <c r="H71" s="27">
        <v>45890</v>
      </c>
      <c r="I71" t="s">
        <v>751</v>
      </c>
      <c r="J71" t="s">
        <v>360</v>
      </c>
    </row>
    <row r="72" spans="1:10" x14ac:dyDescent="0.25">
      <c r="A72" t="s">
        <v>759</v>
      </c>
      <c r="B72" t="s">
        <v>40</v>
      </c>
      <c r="C72" t="s">
        <v>378</v>
      </c>
      <c r="D72" t="s">
        <v>257</v>
      </c>
      <c r="E72">
        <v>48</v>
      </c>
      <c r="F72" s="31" t="s">
        <v>730</v>
      </c>
      <c r="G72" t="s">
        <v>358</v>
      </c>
      <c r="H72" s="27">
        <v>45891</v>
      </c>
      <c r="I72" s="24" t="s">
        <v>760</v>
      </c>
      <c r="J72" t="s">
        <v>360</v>
      </c>
    </row>
    <row r="73" spans="1:10" x14ac:dyDescent="0.25">
      <c r="A73" t="s">
        <v>761</v>
      </c>
      <c r="B73" t="s">
        <v>40</v>
      </c>
      <c r="C73" t="s">
        <v>245</v>
      </c>
      <c r="D73" t="s">
        <v>363</v>
      </c>
      <c r="E73">
        <v>48</v>
      </c>
      <c r="F73" s="31" t="s">
        <v>730</v>
      </c>
      <c r="G73" t="s">
        <v>246</v>
      </c>
      <c r="H73" s="27">
        <v>45889</v>
      </c>
      <c r="I73" t="s">
        <v>751</v>
      </c>
      <c r="J73" t="s">
        <v>360</v>
      </c>
    </row>
    <row r="74" spans="1:10" x14ac:dyDescent="0.25">
      <c r="A74" t="s">
        <v>762</v>
      </c>
      <c r="B74" t="s">
        <v>40</v>
      </c>
      <c r="C74" t="s">
        <v>257</v>
      </c>
      <c r="D74" t="s">
        <v>378</v>
      </c>
      <c r="E74">
        <v>48</v>
      </c>
      <c r="F74" s="31" t="s">
        <v>730</v>
      </c>
      <c r="G74" t="s">
        <v>246</v>
      </c>
      <c r="H74" s="27">
        <v>45890</v>
      </c>
      <c r="I74" t="s">
        <v>763</v>
      </c>
      <c r="J74" t="s">
        <v>360</v>
      </c>
    </row>
    <row r="75" spans="1:10" x14ac:dyDescent="0.25">
      <c r="A75" t="s">
        <v>764</v>
      </c>
      <c r="B75" t="s">
        <v>40</v>
      </c>
      <c r="C75" t="s">
        <v>363</v>
      </c>
      <c r="D75" t="s">
        <v>378</v>
      </c>
      <c r="E75">
        <v>48</v>
      </c>
      <c r="F75" s="31" t="s">
        <v>730</v>
      </c>
      <c r="G75" t="s">
        <v>246</v>
      </c>
      <c r="H75" s="27">
        <v>45890</v>
      </c>
      <c r="I75" t="s">
        <v>763</v>
      </c>
      <c r="J75" t="s">
        <v>360</v>
      </c>
    </row>
    <row r="76" spans="1:10" x14ac:dyDescent="0.25">
      <c r="A76" t="s">
        <v>765</v>
      </c>
      <c r="B76" t="s">
        <v>40</v>
      </c>
      <c r="C76" t="s">
        <v>257</v>
      </c>
      <c r="D76" t="s">
        <v>378</v>
      </c>
      <c r="E76">
        <v>48</v>
      </c>
      <c r="F76" s="31" t="s">
        <v>730</v>
      </c>
      <c r="G76" t="s">
        <v>246</v>
      </c>
      <c r="H76" s="27">
        <v>45890</v>
      </c>
      <c r="J76" t="s">
        <v>360</v>
      </c>
    </row>
    <row r="77" spans="1:10" x14ac:dyDescent="0.25">
      <c r="A77" t="s">
        <v>766</v>
      </c>
      <c r="B77" t="s">
        <v>40</v>
      </c>
      <c r="C77" t="s">
        <v>257</v>
      </c>
      <c r="D77" t="s">
        <v>378</v>
      </c>
      <c r="E77">
        <v>48</v>
      </c>
      <c r="F77" s="31" t="s">
        <v>730</v>
      </c>
      <c r="G77" t="s">
        <v>246</v>
      </c>
      <c r="H77" s="27">
        <v>45890</v>
      </c>
      <c r="J77" t="s">
        <v>360</v>
      </c>
    </row>
    <row r="78" spans="1:10" x14ac:dyDescent="0.25">
      <c r="A78" t="s">
        <v>767</v>
      </c>
      <c r="B78" t="s">
        <v>40</v>
      </c>
      <c r="C78" t="s">
        <v>378</v>
      </c>
      <c r="D78" t="s">
        <v>378</v>
      </c>
      <c r="E78">
        <v>48</v>
      </c>
      <c r="F78" s="31" t="s">
        <v>730</v>
      </c>
      <c r="G78" t="s">
        <v>246</v>
      </c>
      <c r="H78" s="27">
        <v>45894</v>
      </c>
      <c r="I78" t="s">
        <v>768</v>
      </c>
      <c r="J78" t="s">
        <v>360</v>
      </c>
    </row>
    <row r="79" spans="1:10" x14ac:dyDescent="0.25">
      <c r="A79" t="s">
        <v>769</v>
      </c>
      <c r="B79" t="s">
        <v>40</v>
      </c>
      <c r="C79" t="s">
        <v>378</v>
      </c>
      <c r="D79" t="s">
        <v>378</v>
      </c>
      <c r="E79">
        <v>48</v>
      </c>
      <c r="F79" s="31" t="s">
        <v>730</v>
      </c>
      <c r="G79" t="s">
        <v>246</v>
      </c>
      <c r="H79" s="27">
        <v>45894</v>
      </c>
      <c r="I79" t="s">
        <v>768</v>
      </c>
      <c r="J79" t="s">
        <v>360</v>
      </c>
    </row>
    <row r="80" spans="1:10" x14ac:dyDescent="0.25">
      <c r="A80" t="s">
        <v>770</v>
      </c>
      <c r="B80" t="s">
        <v>40</v>
      </c>
      <c r="C80" t="s">
        <v>378</v>
      </c>
      <c r="D80" t="s">
        <v>378</v>
      </c>
      <c r="E80">
        <v>48</v>
      </c>
      <c r="F80" s="31" t="s">
        <v>730</v>
      </c>
      <c r="G80" t="s">
        <v>246</v>
      </c>
      <c r="H80" s="27">
        <v>45894</v>
      </c>
    </row>
    <row r="81" spans="1:10" x14ac:dyDescent="0.25">
      <c r="A81" t="s">
        <v>771</v>
      </c>
      <c r="B81" t="s">
        <v>40</v>
      </c>
      <c r="C81" t="s">
        <v>377</v>
      </c>
      <c r="D81" t="s">
        <v>378</v>
      </c>
      <c r="E81">
        <v>48</v>
      </c>
      <c r="F81" s="31" t="s">
        <v>730</v>
      </c>
      <c r="G81" t="s">
        <v>246</v>
      </c>
      <c r="H81" s="27">
        <v>45894</v>
      </c>
      <c r="J81" t="s">
        <v>360</v>
      </c>
    </row>
    <row r="82" spans="1:10" x14ac:dyDescent="0.25">
      <c r="A82" t="s">
        <v>772</v>
      </c>
      <c r="B82" t="s">
        <v>40</v>
      </c>
      <c r="C82" t="s">
        <v>378</v>
      </c>
      <c r="D82" t="s">
        <v>363</v>
      </c>
      <c r="E82">
        <v>48</v>
      </c>
      <c r="F82" s="31" t="s">
        <v>730</v>
      </c>
      <c r="G82" t="s">
        <v>246</v>
      </c>
      <c r="H82" s="27">
        <v>45896</v>
      </c>
      <c r="I82" t="s">
        <v>773</v>
      </c>
      <c r="J82" t="s">
        <v>360</v>
      </c>
    </row>
    <row r="83" spans="1:10" x14ac:dyDescent="0.25">
      <c r="A83" t="s">
        <v>774</v>
      </c>
      <c r="B83" t="s">
        <v>40</v>
      </c>
      <c r="C83" t="s">
        <v>378</v>
      </c>
      <c r="D83" t="s">
        <v>363</v>
      </c>
      <c r="E83">
        <v>48</v>
      </c>
      <c r="F83" s="31" t="s">
        <v>730</v>
      </c>
      <c r="G83" t="s">
        <v>246</v>
      </c>
      <c r="H83" s="27">
        <v>45896</v>
      </c>
      <c r="I83" t="s">
        <v>773</v>
      </c>
      <c r="J83" t="s">
        <v>360</v>
      </c>
    </row>
    <row r="84" spans="1:10" x14ac:dyDescent="0.25">
      <c r="A84" t="s">
        <v>775</v>
      </c>
      <c r="B84" t="s">
        <v>40</v>
      </c>
      <c r="C84" t="s">
        <v>378</v>
      </c>
      <c r="D84" t="s">
        <v>363</v>
      </c>
      <c r="E84">
        <v>48</v>
      </c>
      <c r="F84" s="31" t="s">
        <v>730</v>
      </c>
      <c r="G84" t="s">
        <v>246</v>
      </c>
      <c r="H84" s="27">
        <v>45896</v>
      </c>
      <c r="I84" t="s">
        <v>773</v>
      </c>
      <c r="J84" t="s">
        <v>360</v>
      </c>
    </row>
    <row r="85" spans="1:10" x14ac:dyDescent="0.25">
      <c r="A85" s="13" t="s">
        <v>776</v>
      </c>
      <c r="B85" t="s">
        <v>40</v>
      </c>
      <c r="C85" t="s">
        <v>378</v>
      </c>
      <c r="D85" t="s">
        <v>363</v>
      </c>
      <c r="E85">
        <v>48</v>
      </c>
      <c r="F85" s="31" t="s">
        <v>730</v>
      </c>
      <c r="G85" t="s">
        <v>246</v>
      </c>
      <c r="H85" s="27">
        <v>45896</v>
      </c>
      <c r="I85" t="s">
        <v>773</v>
      </c>
      <c r="J85" t="s">
        <v>360</v>
      </c>
    </row>
    <row r="86" spans="1:10" x14ac:dyDescent="0.25">
      <c r="A86" t="s">
        <v>777</v>
      </c>
      <c r="B86" t="s">
        <v>40</v>
      </c>
      <c r="C86" t="s">
        <v>377</v>
      </c>
      <c r="E86">
        <v>48</v>
      </c>
      <c r="F86" s="31" t="s">
        <v>730</v>
      </c>
      <c r="G86" t="s">
        <v>246</v>
      </c>
      <c r="H86" s="27">
        <v>45898</v>
      </c>
      <c r="I86" t="s">
        <v>751</v>
      </c>
      <c r="J86" t="s">
        <v>360</v>
      </c>
    </row>
    <row r="87" spans="1:10" x14ac:dyDescent="0.25">
      <c r="A87" t="s">
        <v>778</v>
      </c>
      <c r="B87" t="s">
        <v>40</v>
      </c>
      <c r="C87" t="s">
        <v>363</v>
      </c>
      <c r="D87" t="s">
        <v>257</v>
      </c>
      <c r="E87">
        <v>48</v>
      </c>
      <c r="F87" s="31" t="s">
        <v>730</v>
      </c>
      <c r="G87" t="s">
        <v>246</v>
      </c>
      <c r="H87" s="27">
        <v>45901</v>
      </c>
      <c r="I87" t="s">
        <v>779</v>
      </c>
      <c r="J87" t="s">
        <v>360</v>
      </c>
    </row>
    <row r="88" spans="1:10" x14ac:dyDescent="0.25">
      <c r="A88" t="s">
        <v>780</v>
      </c>
      <c r="B88" t="s">
        <v>40</v>
      </c>
      <c r="C88" t="s">
        <v>363</v>
      </c>
      <c r="D88" t="s">
        <v>257</v>
      </c>
      <c r="E88">
        <v>48</v>
      </c>
      <c r="F88" s="31" t="s">
        <v>730</v>
      </c>
      <c r="G88" t="s">
        <v>246</v>
      </c>
      <c r="H88" s="27">
        <v>45901</v>
      </c>
      <c r="I88" t="s">
        <v>779</v>
      </c>
      <c r="J88" t="s">
        <v>360</v>
      </c>
    </row>
    <row r="89" spans="1:10" x14ac:dyDescent="0.25">
      <c r="A89" t="s">
        <v>781</v>
      </c>
      <c r="B89" t="s">
        <v>40</v>
      </c>
      <c r="C89" t="s">
        <v>363</v>
      </c>
      <c r="D89" t="s">
        <v>257</v>
      </c>
      <c r="E89">
        <v>48</v>
      </c>
      <c r="F89" s="31" t="s">
        <v>730</v>
      </c>
      <c r="G89" t="s">
        <v>246</v>
      </c>
      <c r="H89" s="27">
        <v>45901</v>
      </c>
      <c r="I89" t="s">
        <v>779</v>
      </c>
      <c r="J89" t="s">
        <v>360</v>
      </c>
    </row>
    <row r="90" spans="1:10" x14ac:dyDescent="0.25">
      <c r="A90" t="s">
        <v>782</v>
      </c>
      <c r="B90" t="s">
        <v>40</v>
      </c>
      <c r="C90" t="s">
        <v>363</v>
      </c>
      <c r="D90" t="s">
        <v>257</v>
      </c>
      <c r="E90">
        <v>48</v>
      </c>
      <c r="F90" s="31" t="s">
        <v>730</v>
      </c>
      <c r="G90" t="s">
        <v>246</v>
      </c>
      <c r="H90" s="27">
        <v>45901</v>
      </c>
      <c r="I90" t="s">
        <v>779</v>
      </c>
      <c r="J90" t="s">
        <v>360</v>
      </c>
    </row>
    <row r="91" spans="1:10" x14ac:dyDescent="0.25">
      <c r="A91" t="s">
        <v>783</v>
      </c>
      <c r="B91" t="s">
        <v>40</v>
      </c>
      <c r="C91" t="s">
        <v>363</v>
      </c>
      <c r="D91" t="s">
        <v>257</v>
      </c>
      <c r="E91">
        <v>48</v>
      </c>
      <c r="F91" s="31" t="s">
        <v>730</v>
      </c>
      <c r="G91" t="s">
        <v>246</v>
      </c>
      <c r="H91" s="27">
        <v>45901</v>
      </c>
      <c r="I91" t="s">
        <v>779</v>
      </c>
      <c r="J91" t="s">
        <v>360</v>
      </c>
    </row>
    <row r="92" spans="1:10" x14ac:dyDescent="0.25">
      <c r="A92" t="s">
        <v>784</v>
      </c>
      <c r="B92" t="s">
        <v>40</v>
      </c>
      <c r="C92" t="s">
        <v>257</v>
      </c>
      <c r="D92" t="s">
        <v>245</v>
      </c>
      <c r="E92">
        <v>48</v>
      </c>
      <c r="F92" s="31" t="s">
        <v>730</v>
      </c>
      <c r="G92" t="s">
        <v>246</v>
      </c>
      <c r="H92" s="27">
        <v>45903</v>
      </c>
      <c r="I92" t="s">
        <v>735</v>
      </c>
      <c r="J92" t="s">
        <v>360</v>
      </c>
    </row>
    <row r="93" spans="1:10" x14ac:dyDescent="0.25">
      <c r="A93" t="s">
        <v>785</v>
      </c>
      <c r="B93" t="s">
        <v>40</v>
      </c>
      <c r="C93" t="s">
        <v>257</v>
      </c>
      <c r="D93" t="s">
        <v>245</v>
      </c>
      <c r="E93">
        <v>48</v>
      </c>
      <c r="F93" s="31" t="s">
        <v>730</v>
      </c>
      <c r="G93" t="s">
        <v>246</v>
      </c>
      <c r="H93" s="27">
        <v>45903</v>
      </c>
      <c r="I93" t="s">
        <v>735</v>
      </c>
      <c r="J93" t="s">
        <v>360</v>
      </c>
    </row>
    <row r="94" spans="1:10" x14ac:dyDescent="0.25">
      <c r="A94" t="s">
        <v>786</v>
      </c>
      <c r="B94" t="s">
        <v>40</v>
      </c>
      <c r="C94" t="s">
        <v>257</v>
      </c>
      <c r="D94" t="s">
        <v>245</v>
      </c>
      <c r="E94">
        <v>48</v>
      </c>
      <c r="F94" s="31" t="s">
        <v>730</v>
      </c>
      <c r="G94" t="s">
        <v>246</v>
      </c>
      <c r="H94" s="27">
        <v>45903</v>
      </c>
      <c r="I94" t="s">
        <v>735</v>
      </c>
      <c r="J94" t="s">
        <v>360</v>
      </c>
    </row>
    <row r="95" spans="1:10" x14ac:dyDescent="0.25">
      <c r="A95" t="s">
        <v>787</v>
      </c>
      <c r="B95" t="s">
        <v>40</v>
      </c>
      <c r="C95" t="s">
        <v>257</v>
      </c>
      <c r="D95" t="s">
        <v>245</v>
      </c>
      <c r="E95">
        <v>48</v>
      </c>
      <c r="F95" s="31" t="s">
        <v>730</v>
      </c>
      <c r="G95" t="s">
        <v>246</v>
      </c>
      <c r="H95" s="27">
        <v>45903</v>
      </c>
      <c r="I95" t="s">
        <v>735</v>
      </c>
      <c r="J95" t="s">
        <v>360</v>
      </c>
    </row>
    <row r="96" spans="1:10" x14ac:dyDescent="0.25">
      <c r="A96" t="s">
        <v>788</v>
      </c>
      <c r="B96" t="s">
        <v>40</v>
      </c>
      <c r="C96" t="s">
        <v>257</v>
      </c>
      <c r="D96" t="s">
        <v>245</v>
      </c>
      <c r="E96">
        <v>48</v>
      </c>
      <c r="F96" s="31" t="s">
        <v>730</v>
      </c>
      <c r="G96" t="s">
        <v>246</v>
      </c>
      <c r="H96" s="27">
        <v>45903</v>
      </c>
      <c r="I96" t="s">
        <v>735</v>
      </c>
      <c r="J96" t="s">
        <v>360</v>
      </c>
    </row>
    <row r="97" spans="1:10" x14ac:dyDescent="0.25">
      <c r="A97" t="s">
        <v>789</v>
      </c>
      <c r="B97" t="s">
        <v>40</v>
      </c>
      <c r="C97" t="s">
        <v>257</v>
      </c>
      <c r="D97" t="s">
        <v>245</v>
      </c>
      <c r="E97">
        <v>48</v>
      </c>
      <c r="F97" s="31" t="s">
        <v>730</v>
      </c>
      <c r="G97" t="s">
        <v>246</v>
      </c>
      <c r="H97" s="27">
        <v>45903</v>
      </c>
      <c r="I97" t="s">
        <v>735</v>
      </c>
      <c r="J97" t="s">
        <v>360</v>
      </c>
    </row>
    <row r="98" spans="1:10" x14ac:dyDescent="0.25">
      <c r="A98" t="s">
        <v>790</v>
      </c>
      <c r="B98" t="s">
        <v>40</v>
      </c>
      <c r="C98" t="s">
        <v>257</v>
      </c>
      <c r="D98" t="s">
        <v>245</v>
      </c>
      <c r="E98">
        <v>48</v>
      </c>
      <c r="F98" s="31" t="s">
        <v>730</v>
      </c>
      <c r="G98" t="s">
        <v>246</v>
      </c>
      <c r="H98" s="27">
        <v>45903</v>
      </c>
      <c r="I98" t="s">
        <v>735</v>
      </c>
      <c r="J98" t="s">
        <v>360</v>
      </c>
    </row>
    <row r="99" spans="1:10" ht="60" x14ac:dyDescent="0.25">
      <c r="A99" t="s">
        <v>791</v>
      </c>
      <c r="B99" t="s">
        <v>40</v>
      </c>
      <c r="C99" t="s">
        <v>378</v>
      </c>
      <c r="D99" t="s">
        <v>245</v>
      </c>
      <c r="E99">
        <v>48</v>
      </c>
      <c r="F99" s="31" t="s">
        <v>730</v>
      </c>
      <c r="G99" t="s">
        <v>246</v>
      </c>
      <c r="H99" s="27">
        <v>45910</v>
      </c>
      <c r="I99" s="13" t="s">
        <v>792</v>
      </c>
      <c r="J99" t="s">
        <v>360</v>
      </c>
    </row>
    <row r="100" spans="1:10" x14ac:dyDescent="0.25">
      <c r="A100" t="s">
        <v>793</v>
      </c>
      <c r="B100" t="s">
        <v>40</v>
      </c>
      <c r="C100" t="s">
        <v>378</v>
      </c>
      <c r="D100" t="s">
        <v>245</v>
      </c>
      <c r="E100">
        <v>48</v>
      </c>
      <c r="F100" s="31" t="s">
        <v>730</v>
      </c>
      <c r="G100" t="s">
        <v>246</v>
      </c>
      <c r="H100" s="27">
        <v>45910</v>
      </c>
      <c r="I100" t="s">
        <v>794</v>
      </c>
      <c r="J100" t="s">
        <v>360</v>
      </c>
    </row>
    <row r="101" spans="1:10" x14ac:dyDescent="0.25">
      <c r="A101" t="s">
        <v>795</v>
      </c>
      <c r="B101" t="s">
        <v>40</v>
      </c>
      <c r="C101" t="s">
        <v>377</v>
      </c>
      <c r="D101" t="s">
        <v>363</v>
      </c>
      <c r="E101">
        <v>48</v>
      </c>
      <c r="F101" s="31" t="s">
        <v>730</v>
      </c>
      <c r="G101" t="s">
        <v>246</v>
      </c>
      <c r="H101" s="27">
        <v>45911</v>
      </c>
      <c r="I101" t="s">
        <v>735</v>
      </c>
      <c r="J101" t="s">
        <v>360</v>
      </c>
    </row>
    <row r="102" spans="1:10" x14ac:dyDescent="0.25">
      <c r="A102" s="13" t="s">
        <v>796</v>
      </c>
      <c r="B102" t="s">
        <v>40</v>
      </c>
      <c r="C102" t="s">
        <v>377</v>
      </c>
      <c r="D102" t="s">
        <v>363</v>
      </c>
      <c r="E102">
        <v>48</v>
      </c>
      <c r="F102" s="31" t="s">
        <v>730</v>
      </c>
      <c r="G102" t="s">
        <v>246</v>
      </c>
      <c r="H102" s="27">
        <v>45911</v>
      </c>
      <c r="I102" t="s">
        <v>735</v>
      </c>
      <c r="J102" t="s">
        <v>360</v>
      </c>
    </row>
    <row r="103" spans="1:10" x14ac:dyDescent="0.25">
      <c r="A103" s="13" t="s">
        <v>797</v>
      </c>
      <c r="B103" t="s">
        <v>40</v>
      </c>
      <c r="C103" t="s">
        <v>377</v>
      </c>
      <c r="D103" t="s">
        <v>363</v>
      </c>
      <c r="E103">
        <v>48</v>
      </c>
      <c r="F103" s="31" t="s">
        <v>730</v>
      </c>
      <c r="G103" t="s">
        <v>246</v>
      </c>
      <c r="I103" t="s">
        <v>735</v>
      </c>
      <c r="J103" t="s">
        <v>360</v>
      </c>
    </row>
    <row r="104" spans="1:10" x14ac:dyDescent="0.25">
      <c r="A104" s="13" t="s">
        <v>798</v>
      </c>
      <c r="B104" t="s">
        <v>40</v>
      </c>
      <c r="C104" t="s">
        <v>245</v>
      </c>
      <c r="D104" t="s">
        <v>363</v>
      </c>
      <c r="E104">
        <v>48</v>
      </c>
      <c r="F104" s="31" t="s">
        <v>730</v>
      </c>
      <c r="G104" t="s">
        <v>246</v>
      </c>
      <c r="I104" t="s">
        <v>799</v>
      </c>
      <c r="J104" t="s">
        <v>360</v>
      </c>
    </row>
    <row r="105" spans="1:10" x14ac:dyDescent="0.25">
      <c r="A105" t="s">
        <v>800</v>
      </c>
      <c r="B105" t="s">
        <v>40</v>
      </c>
      <c r="C105" t="s">
        <v>584</v>
      </c>
      <c r="D105" t="s">
        <v>257</v>
      </c>
      <c r="E105">
        <v>48</v>
      </c>
      <c r="F105" s="31" t="s">
        <v>730</v>
      </c>
      <c r="G105" t="s">
        <v>246</v>
      </c>
      <c r="H105" s="27">
        <v>45922</v>
      </c>
      <c r="I105" t="s">
        <v>801</v>
      </c>
      <c r="J105" t="s">
        <v>375</v>
      </c>
    </row>
    <row r="106" spans="1:10" x14ac:dyDescent="0.25">
      <c r="A106" t="s">
        <v>802</v>
      </c>
      <c r="B106" t="s">
        <v>40</v>
      </c>
      <c r="C106" t="s">
        <v>584</v>
      </c>
      <c r="D106" t="s">
        <v>257</v>
      </c>
      <c r="E106">
        <v>48</v>
      </c>
      <c r="F106" s="31" t="s">
        <v>730</v>
      </c>
      <c r="G106" t="s">
        <v>246</v>
      </c>
      <c r="H106" s="27">
        <v>45922</v>
      </c>
      <c r="I106" t="s">
        <v>801</v>
      </c>
      <c r="J106" t="s">
        <v>375</v>
      </c>
    </row>
    <row r="107" spans="1:10" x14ac:dyDescent="0.25">
      <c r="A107" t="s">
        <v>803</v>
      </c>
      <c r="B107" t="s">
        <v>40</v>
      </c>
      <c r="C107" t="s">
        <v>584</v>
      </c>
      <c r="D107" t="s">
        <v>257</v>
      </c>
      <c r="E107">
        <v>48</v>
      </c>
      <c r="F107" s="31" t="s">
        <v>730</v>
      </c>
      <c r="G107" t="s">
        <v>246</v>
      </c>
      <c r="H107" s="27">
        <v>45922</v>
      </c>
      <c r="I107" t="s">
        <v>801</v>
      </c>
      <c r="J107" t="s">
        <v>375</v>
      </c>
    </row>
    <row r="108" spans="1:10" x14ac:dyDescent="0.25">
      <c r="A108" t="s">
        <v>804</v>
      </c>
      <c r="B108" t="s">
        <v>40</v>
      </c>
      <c r="C108" t="s">
        <v>363</v>
      </c>
      <c r="D108" t="s">
        <v>257</v>
      </c>
      <c r="E108">
        <v>48</v>
      </c>
      <c r="F108" s="31" t="s">
        <v>730</v>
      </c>
      <c r="G108" t="s">
        <v>246</v>
      </c>
      <c r="H108" s="27">
        <v>45922</v>
      </c>
      <c r="I108" t="s">
        <v>735</v>
      </c>
      <c r="J108" t="s">
        <v>375</v>
      </c>
    </row>
    <row r="109" spans="1:10" x14ac:dyDescent="0.25">
      <c r="A109" t="s">
        <v>805</v>
      </c>
      <c r="B109" t="s">
        <v>40</v>
      </c>
      <c r="C109" t="s">
        <v>257</v>
      </c>
      <c r="D109" t="s">
        <v>356</v>
      </c>
      <c r="E109">
        <v>48</v>
      </c>
      <c r="F109" s="31" t="s">
        <v>730</v>
      </c>
      <c r="G109" t="s">
        <v>246</v>
      </c>
      <c r="H109" s="27">
        <v>45924</v>
      </c>
      <c r="I109" t="s">
        <v>806</v>
      </c>
      <c r="J109" t="s">
        <v>375</v>
      </c>
    </row>
    <row r="110" spans="1:10" x14ac:dyDescent="0.25">
      <c r="A110" t="s">
        <v>807</v>
      </c>
      <c r="B110" t="s">
        <v>40</v>
      </c>
      <c r="C110" t="s">
        <v>257</v>
      </c>
      <c r="D110" t="s">
        <v>356</v>
      </c>
      <c r="E110">
        <v>48</v>
      </c>
      <c r="F110" s="31" t="s">
        <v>730</v>
      </c>
      <c r="G110" t="s">
        <v>246</v>
      </c>
      <c r="H110" s="27">
        <v>45924</v>
      </c>
      <c r="I110" t="s">
        <v>801</v>
      </c>
      <c r="J110" t="s">
        <v>375</v>
      </c>
    </row>
    <row r="111" spans="1:10" x14ac:dyDescent="0.25">
      <c r="A111" s="13" t="s">
        <v>808</v>
      </c>
      <c r="B111" t="s">
        <v>40</v>
      </c>
      <c r="C111" t="s">
        <v>257</v>
      </c>
      <c r="D111" t="s">
        <v>356</v>
      </c>
      <c r="E111">
        <v>48</v>
      </c>
      <c r="F111" s="31" t="s">
        <v>730</v>
      </c>
      <c r="G111" t="s">
        <v>246</v>
      </c>
      <c r="H111" s="27">
        <v>45924</v>
      </c>
      <c r="I111" t="s">
        <v>801</v>
      </c>
      <c r="J111" t="s">
        <v>375</v>
      </c>
    </row>
    <row r="112" spans="1:10" x14ac:dyDescent="0.25">
      <c r="A112" t="s">
        <v>809</v>
      </c>
      <c r="B112" t="s">
        <v>40</v>
      </c>
      <c r="C112" t="s">
        <v>377</v>
      </c>
      <c r="D112" t="s">
        <v>810</v>
      </c>
      <c r="E112">
        <v>48</v>
      </c>
      <c r="F112" s="31" t="s">
        <v>730</v>
      </c>
      <c r="G112" t="s">
        <v>246</v>
      </c>
      <c r="H112" s="27">
        <v>45925</v>
      </c>
      <c r="I112" t="s">
        <v>811</v>
      </c>
      <c r="J112" t="s">
        <v>375</v>
      </c>
    </row>
    <row r="113" spans="1:10" x14ac:dyDescent="0.25">
      <c r="A113" t="s">
        <v>812</v>
      </c>
      <c r="B113" t="s">
        <v>40</v>
      </c>
      <c r="C113" t="s">
        <v>363</v>
      </c>
      <c r="D113" t="s">
        <v>257</v>
      </c>
      <c r="E113">
        <v>48</v>
      </c>
      <c r="F113" s="31" t="s">
        <v>730</v>
      </c>
      <c r="G113" t="s">
        <v>246</v>
      </c>
      <c r="H113" s="27">
        <v>45929</v>
      </c>
      <c r="I113" t="s">
        <v>813</v>
      </c>
      <c r="J113" t="s">
        <v>375</v>
      </c>
    </row>
    <row r="114" spans="1:10" x14ac:dyDescent="0.25">
      <c r="A114" t="s">
        <v>814</v>
      </c>
      <c r="B114" t="s">
        <v>40</v>
      </c>
      <c r="C114" t="s">
        <v>363</v>
      </c>
      <c r="D114" t="s">
        <v>257</v>
      </c>
      <c r="E114">
        <v>48</v>
      </c>
      <c r="F114" s="31" t="s">
        <v>730</v>
      </c>
      <c r="G114" t="s">
        <v>246</v>
      </c>
      <c r="H114" s="27">
        <v>45929</v>
      </c>
      <c r="I114" t="s">
        <v>815</v>
      </c>
      <c r="J114" t="s">
        <v>375</v>
      </c>
    </row>
    <row r="115" spans="1:10" x14ac:dyDescent="0.25">
      <c r="A115" t="s">
        <v>816</v>
      </c>
      <c r="B115" t="s">
        <v>40</v>
      </c>
      <c r="C115" t="s">
        <v>378</v>
      </c>
      <c r="D115" t="s">
        <v>356</v>
      </c>
      <c r="E115">
        <v>48</v>
      </c>
      <c r="F115" s="31" t="s">
        <v>730</v>
      </c>
      <c r="G115" t="s">
        <v>246</v>
      </c>
      <c r="H115" s="27">
        <v>45938</v>
      </c>
      <c r="J115" t="s">
        <v>375</v>
      </c>
    </row>
    <row r="116" spans="1:10" x14ac:dyDescent="0.25">
      <c r="A116" s="13" t="s">
        <v>817</v>
      </c>
      <c r="B116" t="s">
        <v>40</v>
      </c>
      <c r="C116" t="s">
        <v>378</v>
      </c>
      <c r="D116" t="s">
        <v>356</v>
      </c>
      <c r="E116">
        <v>48</v>
      </c>
      <c r="F116" s="31" t="s">
        <v>730</v>
      </c>
      <c r="G116" t="s">
        <v>246</v>
      </c>
      <c r="H116" s="27">
        <v>45938</v>
      </c>
      <c r="J116" t="s">
        <v>375</v>
      </c>
    </row>
    <row r="117" spans="1:10" x14ac:dyDescent="0.25">
      <c r="A117" s="13" t="s">
        <v>818</v>
      </c>
      <c r="B117" t="s">
        <v>40</v>
      </c>
      <c r="C117" t="s">
        <v>378</v>
      </c>
      <c r="D117" t="s">
        <v>356</v>
      </c>
      <c r="E117">
        <v>48</v>
      </c>
      <c r="F117" s="31" t="s">
        <v>730</v>
      </c>
      <c r="G117" t="s">
        <v>246</v>
      </c>
      <c r="H117" s="27">
        <v>45938</v>
      </c>
      <c r="J117" t="s">
        <v>375</v>
      </c>
    </row>
    <row r="118" spans="1:10" x14ac:dyDescent="0.25">
      <c r="A118" s="13" t="s">
        <v>819</v>
      </c>
      <c r="B118" t="s">
        <v>40</v>
      </c>
      <c r="C118" t="s">
        <v>378</v>
      </c>
      <c r="D118" t="s">
        <v>356</v>
      </c>
      <c r="E118">
        <v>48</v>
      </c>
      <c r="F118" s="31" t="s">
        <v>730</v>
      </c>
      <c r="G118" t="s">
        <v>246</v>
      </c>
      <c r="H118" s="27">
        <v>45938</v>
      </c>
      <c r="J118" t="s">
        <v>375</v>
      </c>
    </row>
    <row r="119" spans="1:10" x14ac:dyDescent="0.25">
      <c r="A119" s="13" t="s">
        <v>820</v>
      </c>
      <c r="B119" t="s">
        <v>40</v>
      </c>
      <c r="C119" t="s">
        <v>378</v>
      </c>
      <c r="D119" t="s">
        <v>356</v>
      </c>
      <c r="E119">
        <v>48</v>
      </c>
      <c r="F119" s="31" t="s">
        <v>730</v>
      </c>
      <c r="G119" t="s">
        <v>246</v>
      </c>
      <c r="H119" s="27">
        <v>45938</v>
      </c>
      <c r="J119" t="s">
        <v>375</v>
      </c>
    </row>
    <row r="120" spans="1:10" x14ac:dyDescent="0.25">
      <c r="A120" t="s">
        <v>821</v>
      </c>
      <c r="B120" t="s">
        <v>40</v>
      </c>
      <c r="C120" t="s">
        <v>378</v>
      </c>
      <c r="D120" t="s">
        <v>257</v>
      </c>
      <c r="E120">
        <v>48</v>
      </c>
      <c r="F120" s="31" t="s">
        <v>730</v>
      </c>
      <c r="G120" t="s">
        <v>246</v>
      </c>
      <c r="H120" s="27">
        <v>45943</v>
      </c>
      <c r="I120" t="s">
        <v>822</v>
      </c>
      <c r="J120" t="s">
        <v>375</v>
      </c>
    </row>
    <row r="121" spans="1:10" x14ac:dyDescent="0.25">
      <c r="A121" t="s">
        <v>823</v>
      </c>
      <c r="B121" t="s">
        <v>40</v>
      </c>
      <c r="C121" t="s">
        <v>363</v>
      </c>
      <c r="D121" t="s">
        <v>257</v>
      </c>
      <c r="E121">
        <v>48</v>
      </c>
      <c r="F121" s="31" t="s">
        <v>730</v>
      </c>
      <c r="G121" t="s">
        <v>246</v>
      </c>
      <c r="H121" s="27">
        <v>45950</v>
      </c>
      <c r="I121" t="s">
        <v>824</v>
      </c>
    </row>
    <row r="122" spans="1:10" x14ac:dyDescent="0.25">
      <c r="A122" t="s">
        <v>825</v>
      </c>
      <c r="B122" t="s">
        <v>40</v>
      </c>
      <c r="C122" t="s">
        <v>363</v>
      </c>
      <c r="D122" t="s">
        <v>257</v>
      </c>
      <c r="E122">
        <v>48</v>
      </c>
      <c r="F122" s="31" t="s">
        <v>730</v>
      </c>
      <c r="G122" t="s">
        <v>246</v>
      </c>
      <c r="H122" s="27">
        <v>45950</v>
      </c>
      <c r="I122" t="s">
        <v>824</v>
      </c>
      <c r="J122" t="s">
        <v>375</v>
      </c>
    </row>
    <row r="123" spans="1:10" x14ac:dyDescent="0.25">
      <c r="A123" t="s">
        <v>826</v>
      </c>
      <c r="B123" t="s">
        <v>40</v>
      </c>
      <c r="C123" t="s">
        <v>363</v>
      </c>
      <c r="D123" t="s">
        <v>257</v>
      </c>
      <c r="E123">
        <v>48</v>
      </c>
      <c r="F123" s="31" t="s">
        <v>730</v>
      </c>
      <c r="G123" t="s">
        <v>246</v>
      </c>
      <c r="H123" s="27">
        <v>45950</v>
      </c>
      <c r="I123" t="s">
        <v>827</v>
      </c>
      <c r="J123" t="s">
        <v>380</v>
      </c>
    </row>
    <row r="124" spans="1:10" x14ac:dyDescent="0.25">
      <c r="A124" t="s">
        <v>828</v>
      </c>
      <c r="B124" t="s">
        <v>40</v>
      </c>
      <c r="C124" t="s">
        <v>363</v>
      </c>
      <c r="D124" t="s">
        <v>257</v>
      </c>
      <c r="E124">
        <v>48</v>
      </c>
      <c r="F124" s="31" t="s">
        <v>730</v>
      </c>
      <c r="G124" t="s">
        <v>246</v>
      </c>
      <c r="H124" s="27">
        <v>45950</v>
      </c>
      <c r="I124" t="s">
        <v>829</v>
      </c>
      <c r="J124" t="s">
        <v>375</v>
      </c>
    </row>
    <row r="125" spans="1:10" x14ac:dyDescent="0.25">
      <c r="A125" t="s">
        <v>830</v>
      </c>
      <c r="B125" t="s">
        <v>40</v>
      </c>
      <c r="C125" t="s">
        <v>363</v>
      </c>
      <c r="D125" t="s">
        <v>257</v>
      </c>
      <c r="E125">
        <v>48</v>
      </c>
      <c r="F125" s="31" t="s">
        <v>730</v>
      </c>
      <c r="G125" t="s">
        <v>246</v>
      </c>
      <c r="H125" s="27">
        <v>45950</v>
      </c>
      <c r="I125" t="s">
        <v>829</v>
      </c>
      <c r="J125" t="s">
        <v>375</v>
      </c>
    </row>
    <row r="126" spans="1:10" x14ac:dyDescent="0.25">
      <c r="A126" t="s">
        <v>831</v>
      </c>
      <c r="B126" t="s">
        <v>40</v>
      </c>
      <c r="C126" t="s">
        <v>257</v>
      </c>
      <c r="E126">
        <v>48</v>
      </c>
      <c r="F126" s="31" t="s">
        <v>730</v>
      </c>
      <c r="G126" t="s">
        <v>246</v>
      </c>
      <c r="H126" s="27">
        <v>45946</v>
      </c>
      <c r="I126" t="s">
        <v>832</v>
      </c>
    </row>
    <row r="127" spans="1:10" x14ac:dyDescent="0.25">
      <c r="A127" t="s">
        <v>833</v>
      </c>
      <c r="B127" t="s">
        <v>40</v>
      </c>
      <c r="C127" t="s">
        <v>257</v>
      </c>
      <c r="E127">
        <v>48</v>
      </c>
      <c r="F127" s="31" t="s">
        <v>730</v>
      </c>
      <c r="G127" t="s">
        <v>246</v>
      </c>
      <c r="H127" s="27">
        <v>45946</v>
      </c>
      <c r="I127" t="s">
        <v>834</v>
      </c>
      <c r="J127" t="s">
        <v>375</v>
      </c>
    </row>
    <row r="128" spans="1:10" x14ac:dyDescent="0.25">
      <c r="A128" t="s">
        <v>835</v>
      </c>
      <c r="B128" t="s">
        <v>40</v>
      </c>
      <c r="C128" t="s">
        <v>257</v>
      </c>
      <c r="E128">
        <v>48</v>
      </c>
      <c r="F128" s="31" t="s">
        <v>730</v>
      </c>
      <c r="G128" t="s">
        <v>246</v>
      </c>
      <c r="H128" s="27">
        <v>45946</v>
      </c>
      <c r="I128" t="s">
        <v>832</v>
      </c>
      <c r="J128" t="s">
        <v>375</v>
      </c>
    </row>
    <row r="129" spans="1:10" x14ac:dyDescent="0.25">
      <c r="A129" t="s">
        <v>836</v>
      </c>
      <c r="B129" t="s">
        <v>40</v>
      </c>
      <c r="C129" t="s">
        <v>257</v>
      </c>
      <c r="E129">
        <v>48</v>
      </c>
      <c r="F129" s="31" t="s">
        <v>730</v>
      </c>
      <c r="G129" t="s">
        <v>246</v>
      </c>
      <c r="H129" s="27">
        <v>45946</v>
      </c>
      <c r="I129" t="s">
        <v>834</v>
      </c>
    </row>
    <row r="130" spans="1:10" x14ac:dyDescent="0.25">
      <c r="A130" t="s">
        <v>837</v>
      </c>
      <c r="B130" t="s">
        <v>40</v>
      </c>
      <c r="C130" t="s">
        <v>363</v>
      </c>
      <c r="D130" t="s">
        <v>257</v>
      </c>
      <c r="E130">
        <v>48</v>
      </c>
      <c r="F130" s="31" t="s">
        <v>730</v>
      </c>
      <c r="G130" t="s">
        <v>246</v>
      </c>
      <c r="H130" s="27">
        <v>45951</v>
      </c>
      <c r="I130" t="s">
        <v>838</v>
      </c>
      <c r="J130" t="s">
        <v>375</v>
      </c>
    </row>
    <row r="131" spans="1:10" x14ac:dyDescent="0.25">
      <c r="A131" t="s">
        <v>839</v>
      </c>
      <c r="B131" t="s">
        <v>40</v>
      </c>
      <c r="C131" t="s">
        <v>257</v>
      </c>
      <c r="D131" t="s">
        <v>245</v>
      </c>
      <c r="E131">
        <v>48</v>
      </c>
      <c r="F131" s="31" t="s">
        <v>730</v>
      </c>
      <c r="G131" t="s">
        <v>246</v>
      </c>
      <c r="H131" s="27">
        <v>45952</v>
      </c>
      <c r="I131" t="s">
        <v>840</v>
      </c>
      <c r="J131" t="s">
        <v>375</v>
      </c>
    </row>
    <row r="132" spans="1:10" x14ac:dyDescent="0.25">
      <c r="A132" t="s">
        <v>841</v>
      </c>
      <c r="B132" t="s">
        <v>40</v>
      </c>
      <c r="C132" t="s">
        <v>257</v>
      </c>
      <c r="D132" t="s">
        <v>245</v>
      </c>
      <c r="E132">
        <v>48</v>
      </c>
      <c r="F132" s="31" t="s">
        <v>730</v>
      </c>
      <c r="G132" t="s">
        <v>246</v>
      </c>
      <c r="H132" s="27">
        <v>45952</v>
      </c>
      <c r="I132" t="s">
        <v>840</v>
      </c>
      <c r="J132" t="s">
        <v>375</v>
      </c>
    </row>
    <row r="133" spans="1:10" x14ac:dyDescent="0.25">
      <c r="A133" t="s">
        <v>842</v>
      </c>
      <c r="B133" t="s">
        <v>40</v>
      </c>
      <c r="C133" t="s">
        <v>356</v>
      </c>
      <c r="D133" t="s">
        <v>377</v>
      </c>
      <c r="E133">
        <v>48</v>
      </c>
      <c r="F133" s="31" t="s">
        <v>730</v>
      </c>
      <c r="G133" t="s">
        <v>246</v>
      </c>
      <c r="H133" s="27">
        <v>45952</v>
      </c>
      <c r="I133" t="s">
        <v>840</v>
      </c>
      <c r="J133" t="s">
        <v>375</v>
      </c>
    </row>
    <row r="134" spans="1:10" x14ac:dyDescent="0.25">
      <c r="A134" t="s">
        <v>843</v>
      </c>
      <c r="B134" t="s">
        <v>40</v>
      </c>
      <c r="C134" t="s">
        <v>356</v>
      </c>
      <c r="D134" t="s">
        <v>377</v>
      </c>
      <c r="E134">
        <v>48</v>
      </c>
      <c r="F134" s="31" t="s">
        <v>730</v>
      </c>
      <c r="G134" t="s">
        <v>246</v>
      </c>
      <c r="H134" s="27">
        <v>45952</v>
      </c>
      <c r="I134" t="s">
        <v>840</v>
      </c>
      <c r="J134" t="s">
        <v>375</v>
      </c>
    </row>
    <row r="135" spans="1:10" x14ac:dyDescent="0.25">
      <c r="A135" t="s">
        <v>844</v>
      </c>
      <c r="B135" t="s">
        <v>40</v>
      </c>
      <c r="C135" t="s">
        <v>257</v>
      </c>
      <c r="D135" t="s">
        <v>562</v>
      </c>
      <c r="E135">
        <v>48</v>
      </c>
      <c r="F135" s="31" t="s">
        <v>730</v>
      </c>
      <c r="G135" t="s">
        <v>358</v>
      </c>
      <c r="H135" s="27">
        <v>45952</v>
      </c>
      <c r="I135" t="s">
        <v>845</v>
      </c>
      <c r="J135" t="s">
        <v>375</v>
      </c>
    </row>
    <row r="136" spans="1:10" x14ac:dyDescent="0.25">
      <c r="A136" t="s">
        <v>846</v>
      </c>
      <c r="B136" t="s">
        <v>40</v>
      </c>
      <c r="C136" t="s">
        <v>257</v>
      </c>
      <c r="D136" t="s">
        <v>377</v>
      </c>
      <c r="E136">
        <v>48</v>
      </c>
      <c r="F136" s="31" t="s">
        <v>730</v>
      </c>
      <c r="G136" t="s">
        <v>358</v>
      </c>
      <c r="H136" s="27">
        <v>45952</v>
      </c>
      <c r="I136" t="s">
        <v>845</v>
      </c>
      <c r="J136" t="s">
        <v>375</v>
      </c>
    </row>
    <row r="137" spans="1:10" x14ac:dyDescent="0.25">
      <c r="A137" t="s">
        <v>847</v>
      </c>
      <c r="B137" t="s">
        <v>40</v>
      </c>
      <c r="C137" t="s">
        <v>363</v>
      </c>
      <c r="D137" t="s">
        <v>562</v>
      </c>
      <c r="E137">
        <v>48</v>
      </c>
      <c r="F137" s="31" t="s">
        <v>730</v>
      </c>
      <c r="G137" t="s">
        <v>358</v>
      </c>
      <c r="H137" s="27">
        <v>45953</v>
      </c>
      <c r="I137" t="s">
        <v>848</v>
      </c>
    </row>
    <row r="138" spans="1:10" x14ac:dyDescent="0.25">
      <c r="A138" t="s">
        <v>849</v>
      </c>
      <c r="B138" t="s">
        <v>40</v>
      </c>
      <c r="C138" t="s">
        <v>363</v>
      </c>
      <c r="D138" t="s">
        <v>562</v>
      </c>
      <c r="E138">
        <v>48</v>
      </c>
      <c r="F138" s="31" t="s">
        <v>730</v>
      </c>
      <c r="G138" t="s">
        <v>358</v>
      </c>
      <c r="H138" s="27">
        <v>45953</v>
      </c>
      <c r="I138" t="s">
        <v>848</v>
      </c>
      <c r="J138" t="s">
        <v>375</v>
      </c>
    </row>
    <row r="139" spans="1:10" x14ac:dyDescent="0.25">
      <c r="A139" t="s">
        <v>850</v>
      </c>
      <c r="B139" t="s">
        <v>40</v>
      </c>
      <c r="C139" t="s">
        <v>363</v>
      </c>
      <c r="D139" t="s">
        <v>562</v>
      </c>
      <c r="E139">
        <v>48</v>
      </c>
      <c r="F139" s="31" t="s">
        <v>730</v>
      </c>
      <c r="G139" t="s">
        <v>358</v>
      </c>
      <c r="H139" s="27">
        <v>45953</v>
      </c>
      <c r="I139" t="s">
        <v>848</v>
      </c>
      <c r="J139" t="s">
        <v>375</v>
      </c>
    </row>
    <row r="140" spans="1:10" x14ac:dyDescent="0.25">
      <c r="A140" s="13" t="s">
        <v>851</v>
      </c>
      <c r="B140" t="s">
        <v>40</v>
      </c>
      <c r="C140" t="s">
        <v>363</v>
      </c>
      <c r="D140" t="s">
        <v>562</v>
      </c>
      <c r="E140">
        <v>48</v>
      </c>
      <c r="F140" s="31" t="s">
        <v>730</v>
      </c>
      <c r="G140" t="s">
        <v>358</v>
      </c>
      <c r="H140" s="27">
        <v>45953</v>
      </c>
      <c r="I140" t="s">
        <v>848</v>
      </c>
      <c r="J140" t="s">
        <v>375</v>
      </c>
    </row>
    <row r="141" spans="1:10" x14ac:dyDescent="0.25">
      <c r="A141" t="s">
        <v>852</v>
      </c>
      <c r="B141" t="s">
        <v>40</v>
      </c>
      <c r="C141" t="s">
        <v>363</v>
      </c>
      <c r="D141" t="s">
        <v>257</v>
      </c>
      <c r="E141">
        <v>48</v>
      </c>
      <c r="F141" s="31" t="s">
        <v>730</v>
      </c>
      <c r="G141" t="s">
        <v>358</v>
      </c>
      <c r="H141" s="27">
        <v>45957</v>
      </c>
      <c r="J141" t="s">
        <v>375</v>
      </c>
    </row>
    <row r="142" spans="1:10" x14ac:dyDescent="0.25">
      <c r="A142" t="s">
        <v>853</v>
      </c>
      <c r="B142" t="s">
        <v>40</v>
      </c>
      <c r="C142" t="s">
        <v>363</v>
      </c>
      <c r="D142" t="s">
        <v>257</v>
      </c>
      <c r="E142">
        <v>48</v>
      </c>
      <c r="F142" s="31" t="s">
        <v>730</v>
      </c>
      <c r="G142" t="s">
        <v>358</v>
      </c>
      <c r="H142" s="27">
        <v>45957</v>
      </c>
      <c r="I142" t="s">
        <v>854</v>
      </c>
      <c r="J142" t="s">
        <v>375</v>
      </c>
    </row>
    <row r="143" spans="1:10" x14ac:dyDescent="0.25">
      <c r="A143" t="s">
        <v>855</v>
      </c>
      <c r="B143" t="s">
        <v>40</v>
      </c>
      <c r="C143" t="s">
        <v>363</v>
      </c>
      <c r="D143" t="s">
        <v>257</v>
      </c>
      <c r="E143">
        <v>48</v>
      </c>
      <c r="F143" s="31" t="s">
        <v>730</v>
      </c>
      <c r="G143" t="s">
        <v>358</v>
      </c>
      <c r="H143" s="27">
        <v>45957</v>
      </c>
      <c r="J143" t="s">
        <v>375</v>
      </c>
    </row>
    <row r="144" spans="1:10" x14ac:dyDescent="0.25">
      <c r="A144" t="s">
        <v>856</v>
      </c>
      <c r="B144" t="s">
        <v>40</v>
      </c>
      <c r="C144" t="s">
        <v>363</v>
      </c>
      <c r="D144" t="s">
        <v>257</v>
      </c>
      <c r="E144">
        <v>48</v>
      </c>
      <c r="F144" s="31" t="s">
        <v>730</v>
      </c>
      <c r="G144" t="s">
        <v>358</v>
      </c>
      <c r="H144" s="27">
        <v>45957</v>
      </c>
      <c r="J144" t="s">
        <v>375</v>
      </c>
    </row>
    <row r="145" spans="1:10" x14ac:dyDescent="0.25">
      <c r="A145" t="s">
        <v>857</v>
      </c>
      <c r="B145" t="s">
        <v>40</v>
      </c>
      <c r="C145" t="s">
        <v>378</v>
      </c>
      <c r="D145" t="s">
        <v>378</v>
      </c>
      <c r="E145">
        <v>48</v>
      </c>
      <c r="F145" s="31" t="s">
        <v>730</v>
      </c>
      <c r="G145" t="s">
        <v>358</v>
      </c>
      <c r="H145" s="27">
        <v>45958</v>
      </c>
      <c r="I145" t="s">
        <v>858</v>
      </c>
      <c r="J145" t="s">
        <v>380</v>
      </c>
    </row>
    <row r="146" spans="1:10" x14ac:dyDescent="0.25">
      <c r="A146" t="s">
        <v>859</v>
      </c>
      <c r="B146" t="s">
        <v>40</v>
      </c>
      <c r="C146" t="s">
        <v>257</v>
      </c>
      <c r="D146" t="s">
        <v>378</v>
      </c>
      <c r="E146">
        <v>48</v>
      </c>
      <c r="F146" s="31" t="s">
        <v>730</v>
      </c>
      <c r="G146" t="s">
        <v>358</v>
      </c>
      <c r="H146" s="27">
        <v>45958</v>
      </c>
      <c r="I146" t="s">
        <v>860</v>
      </c>
      <c r="J146" t="s">
        <v>380</v>
      </c>
    </row>
    <row r="147" spans="1:10" x14ac:dyDescent="0.25">
      <c r="A147" t="s">
        <v>861</v>
      </c>
      <c r="B147" t="s">
        <v>40</v>
      </c>
      <c r="C147" t="s">
        <v>257</v>
      </c>
      <c r="D147" t="s">
        <v>378</v>
      </c>
      <c r="E147">
        <v>48</v>
      </c>
      <c r="F147" s="31" t="s">
        <v>730</v>
      </c>
      <c r="G147" t="s">
        <v>358</v>
      </c>
      <c r="H147" s="27">
        <v>45958</v>
      </c>
      <c r="I147" t="s">
        <v>862</v>
      </c>
      <c r="J147" t="s">
        <v>380</v>
      </c>
    </row>
    <row r="148" spans="1:10" x14ac:dyDescent="0.25">
      <c r="A148" t="s">
        <v>863</v>
      </c>
      <c r="B148" t="s">
        <v>40</v>
      </c>
      <c r="C148" t="s">
        <v>257</v>
      </c>
      <c r="D148" t="s">
        <v>378</v>
      </c>
      <c r="E148">
        <v>48</v>
      </c>
      <c r="F148" s="31" t="s">
        <v>730</v>
      </c>
      <c r="G148" t="s">
        <v>358</v>
      </c>
      <c r="H148" s="27">
        <v>45958</v>
      </c>
      <c r="I148" t="s">
        <v>862</v>
      </c>
      <c r="J148" t="s">
        <v>380</v>
      </c>
    </row>
    <row r="149" spans="1:10" x14ac:dyDescent="0.25">
      <c r="A149" t="s">
        <v>864</v>
      </c>
      <c r="B149" t="s">
        <v>40</v>
      </c>
      <c r="C149" t="s">
        <v>378</v>
      </c>
      <c r="D149" t="s">
        <v>378</v>
      </c>
      <c r="E149">
        <v>48</v>
      </c>
      <c r="F149" s="31" t="s">
        <v>730</v>
      </c>
      <c r="G149" t="s">
        <v>358</v>
      </c>
      <c r="H149" s="27">
        <v>45958</v>
      </c>
      <c r="I149" t="s">
        <v>862</v>
      </c>
      <c r="J149" t="s">
        <v>380</v>
      </c>
    </row>
    <row r="150" spans="1:10" x14ac:dyDescent="0.25">
      <c r="A150" t="s">
        <v>865</v>
      </c>
      <c r="B150" t="s">
        <v>40</v>
      </c>
      <c r="C150" t="s">
        <v>378</v>
      </c>
      <c r="D150" t="s">
        <v>378</v>
      </c>
      <c r="E150">
        <v>48</v>
      </c>
      <c r="F150" s="31" t="s">
        <v>730</v>
      </c>
      <c r="G150" t="s">
        <v>358</v>
      </c>
      <c r="H150" s="27">
        <v>45958</v>
      </c>
      <c r="I150" t="s">
        <v>862</v>
      </c>
      <c r="J150" t="s">
        <v>380</v>
      </c>
    </row>
    <row r="151" spans="1:10" x14ac:dyDescent="0.25">
      <c r="A151" t="s">
        <v>866</v>
      </c>
      <c r="B151" t="s">
        <v>40</v>
      </c>
      <c r="C151" t="s">
        <v>257</v>
      </c>
      <c r="D151" t="s">
        <v>363</v>
      </c>
      <c r="E151">
        <v>48</v>
      </c>
      <c r="F151" s="31" t="s">
        <v>730</v>
      </c>
      <c r="G151" t="s">
        <v>358</v>
      </c>
      <c r="H151" s="27">
        <v>45960</v>
      </c>
      <c r="I151" t="s">
        <v>867</v>
      </c>
      <c r="J151" t="s">
        <v>380</v>
      </c>
    </row>
    <row r="152" spans="1:10" x14ac:dyDescent="0.25">
      <c r="A152" s="24" t="s">
        <v>868</v>
      </c>
      <c r="B152" t="s">
        <v>40</v>
      </c>
      <c r="C152" t="s">
        <v>378</v>
      </c>
      <c r="D152" t="s">
        <v>377</v>
      </c>
      <c r="E152">
        <v>48</v>
      </c>
      <c r="F152" s="31" t="s">
        <v>730</v>
      </c>
      <c r="G152" t="s">
        <v>358</v>
      </c>
      <c r="H152" s="27">
        <v>45964</v>
      </c>
      <c r="J152" t="s">
        <v>380</v>
      </c>
    </row>
    <row r="153" spans="1:10" x14ac:dyDescent="0.25">
      <c r="A153" t="s">
        <v>869</v>
      </c>
      <c r="B153" t="s">
        <v>40</v>
      </c>
      <c r="C153" t="s">
        <v>378</v>
      </c>
      <c r="D153" t="s">
        <v>377</v>
      </c>
      <c r="E153">
        <v>48</v>
      </c>
      <c r="F153" s="31" t="s">
        <v>730</v>
      </c>
      <c r="G153" t="s">
        <v>358</v>
      </c>
      <c r="H153" s="27">
        <v>45964</v>
      </c>
      <c r="J153" t="s">
        <v>380</v>
      </c>
    </row>
    <row r="154" spans="1:10" x14ac:dyDescent="0.25">
      <c r="A154" t="s">
        <v>870</v>
      </c>
      <c r="B154" t="s">
        <v>40</v>
      </c>
      <c r="C154" t="s">
        <v>363</v>
      </c>
      <c r="D154" t="s">
        <v>377</v>
      </c>
      <c r="E154">
        <v>48</v>
      </c>
      <c r="F154" s="31" t="s">
        <v>730</v>
      </c>
      <c r="G154" t="s">
        <v>358</v>
      </c>
      <c r="H154" s="27">
        <v>45964</v>
      </c>
      <c r="J154" t="s">
        <v>380</v>
      </c>
    </row>
    <row r="155" spans="1:10" x14ac:dyDescent="0.25">
      <c r="A155" t="s">
        <v>871</v>
      </c>
      <c r="B155" t="s">
        <v>40</v>
      </c>
      <c r="C155" t="s">
        <v>363</v>
      </c>
      <c r="D155" t="s">
        <v>377</v>
      </c>
      <c r="E155">
        <v>48</v>
      </c>
      <c r="F155" s="31" t="s">
        <v>730</v>
      </c>
      <c r="G155" t="s">
        <v>358</v>
      </c>
      <c r="H155" s="27">
        <v>45964</v>
      </c>
      <c r="I155" t="s">
        <v>872</v>
      </c>
      <c r="J155" t="s">
        <v>380</v>
      </c>
    </row>
    <row r="156" spans="1:10" x14ac:dyDescent="0.25">
      <c r="A156" t="s">
        <v>873</v>
      </c>
      <c r="B156" t="s">
        <v>40</v>
      </c>
      <c r="C156" t="s">
        <v>363</v>
      </c>
      <c r="D156" t="s">
        <v>377</v>
      </c>
      <c r="E156">
        <v>48</v>
      </c>
      <c r="F156" s="31" t="s">
        <v>730</v>
      </c>
      <c r="G156" t="s">
        <v>358</v>
      </c>
      <c r="H156" s="27">
        <v>45964</v>
      </c>
      <c r="I156" t="s">
        <v>872</v>
      </c>
      <c r="J156" t="s">
        <v>380</v>
      </c>
    </row>
    <row r="157" spans="1:10" x14ac:dyDescent="0.25">
      <c r="A157" s="13" t="s">
        <v>874</v>
      </c>
      <c r="B157" t="s">
        <v>40</v>
      </c>
      <c r="C157" t="s">
        <v>363</v>
      </c>
      <c r="D157" t="s">
        <v>363</v>
      </c>
      <c r="E157">
        <v>48</v>
      </c>
      <c r="F157" s="31" t="s">
        <v>730</v>
      </c>
      <c r="G157" t="s">
        <v>358</v>
      </c>
      <c r="H157" s="27">
        <v>45967</v>
      </c>
      <c r="I157" t="s">
        <v>875</v>
      </c>
      <c r="J157" t="s">
        <v>380</v>
      </c>
    </row>
    <row r="158" spans="1:10" x14ac:dyDescent="0.25">
      <c r="A158" s="13" t="s">
        <v>876</v>
      </c>
      <c r="B158" t="s">
        <v>40</v>
      </c>
      <c r="C158" t="s">
        <v>363</v>
      </c>
      <c r="D158" t="s">
        <v>363</v>
      </c>
      <c r="E158">
        <v>48</v>
      </c>
      <c r="F158" s="31" t="s">
        <v>730</v>
      </c>
      <c r="G158" t="s">
        <v>358</v>
      </c>
      <c r="H158" s="27">
        <v>45967</v>
      </c>
      <c r="I158" t="s">
        <v>877</v>
      </c>
      <c r="J158" t="s">
        <v>380</v>
      </c>
    </row>
    <row r="159" spans="1:10" x14ac:dyDescent="0.25">
      <c r="A159" t="s">
        <v>878</v>
      </c>
      <c r="B159" t="s">
        <v>40</v>
      </c>
      <c r="C159" t="s">
        <v>363</v>
      </c>
      <c r="D159" t="s">
        <v>257</v>
      </c>
      <c r="E159">
        <v>48</v>
      </c>
      <c r="F159" s="31" t="s">
        <v>730</v>
      </c>
      <c r="G159" t="s">
        <v>358</v>
      </c>
      <c r="H159" s="27">
        <v>45971</v>
      </c>
      <c r="I159" t="s">
        <v>879</v>
      </c>
      <c r="J159" t="s">
        <v>380</v>
      </c>
    </row>
    <row r="160" spans="1:10" x14ac:dyDescent="0.25">
      <c r="A160" t="s">
        <v>880</v>
      </c>
      <c r="B160" t="s">
        <v>40</v>
      </c>
      <c r="C160" t="s">
        <v>363</v>
      </c>
      <c r="D160" t="s">
        <v>378</v>
      </c>
      <c r="E160">
        <v>48</v>
      </c>
      <c r="F160" s="31" t="s">
        <v>730</v>
      </c>
      <c r="G160" t="s">
        <v>358</v>
      </c>
      <c r="H160" s="27">
        <v>45971</v>
      </c>
      <c r="I160" t="s">
        <v>879</v>
      </c>
      <c r="J160" t="s">
        <v>380</v>
      </c>
    </row>
    <row r="161" spans="1:10" x14ac:dyDescent="0.25">
      <c r="A161" t="s">
        <v>881</v>
      </c>
      <c r="B161" t="s">
        <v>40</v>
      </c>
      <c r="C161" t="s">
        <v>363</v>
      </c>
      <c r="D161" t="s">
        <v>378</v>
      </c>
      <c r="E161">
        <v>48</v>
      </c>
      <c r="F161" s="31" t="s">
        <v>730</v>
      </c>
      <c r="G161" t="s">
        <v>358</v>
      </c>
      <c r="H161" s="27">
        <v>45971</v>
      </c>
      <c r="I161" t="s">
        <v>879</v>
      </c>
      <c r="J161" t="s">
        <v>380</v>
      </c>
    </row>
    <row r="162" spans="1:10" x14ac:dyDescent="0.25">
      <c r="A162" t="s">
        <v>882</v>
      </c>
      <c r="B162" t="s">
        <v>40</v>
      </c>
      <c r="C162" t="s">
        <v>363</v>
      </c>
      <c r="D162" t="s">
        <v>257</v>
      </c>
      <c r="E162">
        <v>48</v>
      </c>
      <c r="F162" s="31" t="s">
        <v>730</v>
      </c>
      <c r="G162" t="s">
        <v>358</v>
      </c>
      <c r="H162" s="27">
        <v>45971</v>
      </c>
      <c r="I162" t="s">
        <v>879</v>
      </c>
      <c r="J162" t="s">
        <v>380</v>
      </c>
    </row>
    <row r="163" spans="1:10" x14ac:dyDescent="0.25">
      <c r="A163" t="s">
        <v>883</v>
      </c>
      <c r="B163" t="s">
        <v>40</v>
      </c>
      <c r="C163" t="s">
        <v>356</v>
      </c>
      <c r="D163" t="s">
        <v>257</v>
      </c>
      <c r="E163">
        <v>48</v>
      </c>
      <c r="F163" s="31" t="s">
        <v>730</v>
      </c>
      <c r="G163" t="s">
        <v>358</v>
      </c>
      <c r="H163" s="27">
        <v>45971</v>
      </c>
      <c r="I163" t="s">
        <v>879</v>
      </c>
      <c r="J163" t="s">
        <v>380</v>
      </c>
    </row>
    <row r="164" spans="1:10" x14ac:dyDescent="0.25">
      <c r="A164" t="s">
        <v>884</v>
      </c>
      <c r="B164" t="s">
        <v>40</v>
      </c>
      <c r="C164" t="s">
        <v>356</v>
      </c>
      <c r="D164" t="s">
        <v>257</v>
      </c>
      <c r="E164">
        <v>48</v>
      </c>
      <c r="F164" s="31" t="s">
        <v>730</v>
      </c>
      <c r="G164" t="s">
        <v>358</v>
      </c>
      <c r="H164" s="27">
        <v>45971</v>
      </c>
      <c r="I164" s="47" t="s">
        <v>885</v>
      </c>
      <c r="J164" t="s">
        <v>380</v>
      </c>
    </row>
    <row r="165" spans="1:10" x14ac:dyDescent="0.25">
      <c r="A165" t="s">
        <v>886</v>
      </c>
      <c r="B165" t="s">
        <v>40</v>
      </c>
      <c r="C165" t="s">
        <v>378</v>
      </c>
      <c r="D165" t="s">
        <v>245</v>
      </c>
      <c r="E165">
        <v>48</v>
      </c>
      <c r="F165" s="31" t="s">
        <v>730</v>
      </c>
      <c r="G165" t="s">
        <v>358</v>
      </c>
      <c r="H165" s="27">
        <v>45973</v>
      </c>
      <c r="I165" s="47" t="s">
        <v>887</v>
      </c>
      <c r="J165" t="s">
        <v>380</v>
      </c>
    </row>
    <row r="166" spans="1:10" x14ac:dyDescent="0.25">
      <c r="A166" t="s">
        <v>888</v>
      </c>
      <c r="B166" t="s">
        <v>40</v>
      </c>
      <c r="C166" t="s">
        <v>378</v>
      </c>
      <c r="D166" t="s">
        <v>245</v>
      </c>
      <c r="E166">
        <v>48</v>
      </c>
      <c r="F166" s="31" t="s">
        <v>730</v>
      </c>
      <c r="G166" t="s">
        <v>358</v>
      </c>
      <c r="H166" s="27">
        <v>45973</v>
      </c>
      <c r="I166" s="47"/>
      <c r="J166" t="s">
        <v>380</v>
      </c>
    </row>
    <row r="167" spans="1:10" x14ac:dyDescent="0.25">
      <c r="A167" t="s">
        <v>889</v>
      </c>
      <c r="B167" t="s">
        <v>40</v>
      </c>
      <c r="C167" t="s">
        <v>378</v>
      </c>
      <c r="D167" t="s">
        <v>245</v>
      </c>
      <c r="E167">
        <v>48</v>
      </c>
      <c r="F167" s="31" t="s">
        <v>730</v>
      </c>
      <c r="G167" t="s">
        <v>358</v>
      </c>
      <c r="H167" s="27">
        <v>45973</v>
      </c>
      <c r="I167" s="47" t="s">
        <v>890</v>
      </c>
      <c r="J167" t="s">
        <v>380</v>
      </c>
    </row>
    <row r="168" spans="1:10" x14ac:dyDescent="0.25">
      <c r="A168" s="1" t="s">
        <v>891</v>
      </c>
      <c r="B168" t="s">
        <v>40</v>
      </c>
      <c r="C168" t="s">
        <v>257</v>
      </c>
      <c r="D168" t="s">
        <v>245</v>
      </c>
      <c r="E168">
        <v>48</v>
      </c>
      <c r="F168" s="31" t="s">
        <v>730</v>
      </c>
      <c r="G168" t="s">
        <v>358</v>
      </c>
      <c r="H168" s="27">
        <v>45975</v>
      </c>
      <c r="I168" s="47" t="s">
        <v>892</v>
      </c>
      <c r="J168" t="s">
        <v>380</v>
      </c>
    </row>
    <row r="169" spans="1:10" x14ac:dyDescent="0.25">
      <c r="A169" s="1" t="s">
        <v>893</v>
      </c>
      <c r="B169" t="s">
        <v>40</v>
      </c>
      <c r="C169" t="s">
        <v>245</v>
      </c>
      <c r="D169" t="s">
        <v>257</v>
      </c>
      <c r="E169">
        <v>48</v>
      </c>
      <c r="F169" s="31" t="s">
        <v>730</v>
      </c>
      <c r="G169" t="s">
        <v>358</v>
      </c>
      <c r="H169" s="27">
        <v>45975</v>
      </c>
      <c r="I169" t="s">
        <v>894</v>
      </c>
      <c r="J169" t="s">
        <v>380</v>
      </c>
    </row>
    <row r="170" spans="1:10" x14ac:dyDescent="0.25">
      <c r="A170" t="s">
        <v>895</v>
      </c>
      <c r="B170" t="s">
        <v>40</v>
      </c>
      <c r="C170" t="s">
        <v>363</v>
      </c>
      <c r="D170" t="s">
        <v>257</v>
      </c>
      <c r="E170">
        <v>48</v>
      </c>
      <c r="F170" s="31" t="s">
        <v>730</v>
      </c>
      <c r="G170" t="s">
        <v>358</v>
      </c>
      <c r="H170" s="27">
        <v>45978</v>
      </c>
      <c r="I170" t="s">
        <v>896</v>
      </c>
      <c r="J170" t="s">
        <v>380</v>
      </c>
    </row>
    <row r="171" spans="1:10" x14ac:dyDescent="0.25">
      <c r="A171" t="s">
        <v>897</v>
      </c>
      <c r="B171" t="s">
        <v>40</v>
      </c>
      <c r="C171" t="s">
        <v>363</v>
      </c>
      <c r="D171" t="s">
        <v>257</v>
      </c>
      <c r="E171">
        <v>48</v>
      </c>
      <c r="F171" s="31" t="s">
        <v>730</v>
      </c>
      <c r="G171" t="s">
        <v>358</v>
      </c>
      <c r="H171" s="27">
        <v>45978</v>
      </c>
      <c r="I171" t="s">
        <v>898</v>
      </c>
      <c r="J171" t="s">
        <v>380</v>
      </c>
    </row>
    <row r="172" spans="1:10" x14ac:dyDescent="0.25">
      <c r="A172" t="s">
        <v>899</v>
      </c>
      <c r="B172" t="s">
        <v>40</v>
      </c>
      <c r="C172" t="s">
        <v>363</v>
      </c>
      <c r="D172" t="s">
        <v>257</v>
      </c>
      <c r="E172">
        <v>48</v>
      </c>
      <c r="F172" s="31" t="s">
        <v>730</v>
      </c>
      <c r="G172" t="s">
        <v>358</v>
      </c>
      <c r="H172" s="27">
        <v>45978</v>
      </c>
      <c r="I172" t="s">
        <v>887</v>
      </c>
      <c r="J172" t="s">
        <v>380</v>
      </c>
    </row>
    <row r="173" spans="1:10" x14ac:dyDescent="0.25">
      <c r="A173" t="s">
        <v>900</v>
      </c>
      <c r="B173" t="s">
        <v>40</v>
      </c>
      <c r="C173" t="s">
        <v>378</v>
      </c>
      <c r="D173" t="s">
        <v>245</v>
      </c>
      <c r="E173">
        <v>42</v>
      </c>
      <c r="F173" s="31" t="s">
        <v>730</v>
      </c>
      <c r="G173" t="s">
        <v>358</v>
      </c>
      <c r="H173" s="27">
        <v>45980</v>
      </c>
      <c r="I173" s="24" t="s">
        <v>901</v>
      </c>
      <c r="J173" t="s">
        <v>380</v>
      </c>
    </row>
    <row r="174" spans="1:10" x14ac:dyDescent="0.25">
      <c r="A174" t="s">
        <v>902</v>
      </c>
      <c r="B174" t="s">
        <v>40</v>
      </c>
      <c r="C174" t="s">
        <v>257</v>
      </c>
      <c r="D174" t="s">
        <v>245</v>
      </c>
      <c r="E174">
        <v>48</v>
      </c>
      <c r="F174" s="31" t="s">
        <v>730</v>
      </c>
      <c r="G174" t="s">
        <v>358</v>
      </c>
      <c r="H174" s="27">
        <v>45980</v>
      </c>
      <c r="I174" t="s">
        <v>903</v>
      </c>
      <c r="J174" t="s">
        <v>380</v>
      </c>
    </row>
    <row r="175" spans="1:10" x14ac:dyDescent="0.25">
      <c r="A175" t="s">
        <v>904</v>
      </c>
      <c r="B175" t="s">
        <v>40</v>
      </c>
      <c r="C175" t="s">
        <v>378</v>
      </c>
      <c r="D175" t="s">
        <v>377</v>
      </c>
      <c r="E175">
        <v>48</v>
      </c>
      <c r="F175" s="31" t="s">
        <v>730</v>
      </c>
      <c r="G175" t="s">
        <v>358</v>
      </c>
      <c r="H175" s="27">
        <v>45980</v>
      </c>
      <c r="I175" t="s">
        <v>903</v>
      </c>
      <c r="J175" t="s">
        <v>380</v>
      </c>
    </row>
    <row r="176" spans="1:10" x14ac:dyDescent="0.25">
      <c r="A176" t="s">
        <v>905</v>
      </c>
      <c r="B176" t="s">
        <v>40</v>
      </c>
      <c r="C176" t="s">
        <v>378</v>
      </c>
      <c r="D176" t="s">
        <v>245</v>
      </c>
      <c r="E176">
        <v>48</v>
      </c>
      <c r="F176" s="31" t="s">
        <v>730</v>
      </c>
      <c r="G176" t="s">
        <v>358</v>
      </c>
      <c r="H176" s="27">
        <v>45980</v>
      </c>
      <c r="I176" t="s">
        <v>906</v>
      </c>
      <c r="J176" t="s">
        <v>380</v>
      </c>
    </row>
    <row r="177" spans="1:10" x14ac:dyDescent="0.25">
      <c r="A177" t="s">
        <v>907</v>
      </c>
      <c r="B177" t="s">
        <v>40</v>
      </c>
      <c r="C177" t="s">
        <v>377</v>
      </c>
      <c r="D177" t="s">
        <v>378</v>
      </c>
      <c r="E177">
        <v>48</v>
      </c>
      <c r="F177" s="31" t="s">
        <v>730</v>
      </c>
      <c r="G177" t="s">
        <v>358</v>
      </c>
      <c r="H177" s="27">
        <v>45985</v>
      </c>
      <c r="J177" t="s">
        <v>380</v>
      </c>
    </row>
    <row r="178" spans="1:10" x14ac:dyDescent="0.25">
      <c r="A178" t="s">
        <v>908</v>
      </c>
      <c r="B178" t="s">
        <v>40</v>
      </c>
      <c r="C178" t="s">
        <v>909</v>
      </c>
      <c r="D178" t="s">
        <v>378</v>
      </c>
      <c r="E178">
        <v>48</v>
      </c>
      <c r="F178" s="31" t="s">
        <v>730</v>
      </c>
      <c r="G178" t="s">
        <v>358</v>
      </c>
      <c r="H178" s="27">
        <v>45985</v>
      </c>
      <c r="I178" t="s">
        <v>910</v>
      </c>
      <c r="J178" t="s">
        <v>380</v>
      </c>
    </row>
    <row r="179" spans="1:10" x14ac:dyDescent="0.25">
      <c r="A179" t="s">
        <v>911</v>
      </c>
      <c r="B179" t="s">
        <v>40</v>
      </c>
      <c r="C179" t="s">
        <v>909</v>
      </c>
      <c r="D179" t="s">
        <v>378</v>
      </c>
      <c r="E179">
        <v>48</v>
      </c>
      <c r="F179" s="31" t="s">
        <v>730</v>
      </c>
      <c r="G179" t="s">
        <v>358</v>
      </c>
      <c r="H179" s="27">
        <v>45985</v>
      </c>
      <c r="I179" t="s">
        <v>910</v>
      </c>
      <c r="J179" t="s">
        <v>380</v>
      </c>
    </row>
    <row r="180" spans="1:10" x14ac:dyDescent="0.25">
      <c r="A180" t="s">
        <v>912</v>
      </c>
      <c r="B180" t="s">
        <v>40</v>
      </c>
      <c r="C180" t="s">
        <v>909</v>
      </c>
      <c r="D180" t="s">
        <v>378</v>
      </c>
      <c r="E180">
        <v>48</v>
      </c>
      <c r="F180" s="31" t="s">
        <v>730</v>
      </c>
      <c r="G180" t="s">
        <v>358</v>
      </c>
      <c r="H180" s="27">
        <v>45985</v>
      </c>
      <c r="I180" t="s">
        <v>910</v>
      </c>
      <c r="J180" t="s">
        <v>380</v>
      </c>
    </row>
    <row r="181" spans="1:10" x14ac:dyDescent="0.25">
      <c r="A181" t="s">
        <v>913</v>
      </c>
      <c r="B181" t="s">
        <v>40</v>
      </c>
      <c r="C181" t="s">
        <v>363</v>
      </c>
      <c r="D181" t="s">
        <v>377</v>
      </c>
      <c r="E181">
        <v>48</v>
      </c>
      <c r="F181" s="23" t="s">
        <v>730</v>
      </c>
      <c r="G181" t="s">
        <v>358</v>
      </c>
      <c r="H181" s="27">
        <v>45987</v>
      </c>
      <c r="I181" t="s">
        <v>914</v>
      </c>
      <c r="J181" t="s">
        <v>380</v>
      </c>
    </row>
    <row r="182" spans="1:10" x14ac:dyDescent="0.25">
      <c r="A182" t="s">
        <v>915</v>
      </c>
      <c r="B182" t="s">
        <v>40</v>
      </c>
      <c r="C182" t="s">
        <v>363</v>
      </c>
      <c r="E182">
        <v>48</v>
      </c>
      <c r="F182" s="23" t="s">
        <v>730</v>
      </c>
      <c r="G182" t="s">
        <v>358</v>
      </c>
      <c r="H182" s="27">
        <v>45988</v>
      </c>
      <c r="I182" t="s">
        <v>916</v>
      </c>
      <c r="J182" t="s">
        <v>380</v>
      </c>
    </row>
    <row r="183" spans="1:10" x14ac:dyDescent="0.25">
      <c r="A183" t="s">
        <v>917</v>
      </c>
      <c r="B183" t="s">
        <v>40</v>
      </c>
      <c r="C183" t="s">
        <v>363</v>
      </c>
      <c r="E183">
        <v>48</v>
      </c>
      <c r="F183" s="23" t="s">
        <v>730</v>
      </c>
      <c r="G183" t="s">
        <v>358</v>
      </c>
      <c r="H183" s="27">
        <v>45988</v>
      </c>
      <c r="I183" t="s">
        <v>916</v>
      </c>
      <c r="J183" t="s">
        <v>380</v>
      </c>
    </row>
    <row r="184" spans="1:10" x14ac:dyDescent="0.25">
      <c r="A184" t="s">
        <v>918</v>
      </c>
      <c r="B184" t="s">
        <v>40</v>
      </c>
      <c r="C184" t="s">
        <v>363</v>
      </c>
      <c r="E184">
        <v>48</v>
      </c>
      <c r="F184" s="23" t="s">
        <v>730</v>
      </c>
      <c r="G184" t="s">
        <v>358</v>
      </c>
      <c r="H184" s="27">
        <v>45988</v>
      </c>
      <c r="I184" t="s">
        <v>916</v>
      </c>
      <c r="J184" t="s">
        <v>380</v>
      </c>
    </row>
    <row r="185" spans="1:10" x14ac:dyDescent="0.25">
      <c r="A185" s="13" t="s">
        <v>919</v>
      </c>
      <c r="B185" t="s">
        <v>40</v>
      </c>
      <c r="C185" t="s">
        <v>363</v>
      </c>
      <c r="E185">
        <v>48</v>
      </c>
      <c r="F185" s="23" t="s">
        <v>730</v>
      </c>
      <c r="G185" t="s">
        <v>358</v>
      </c>
      <c r="H185" s="27">
        <v>45988</v>
      </c>
      <c r="I185" t="s">
        <v>916</v>
      </c>
      <c r="J185" t="s">
        <v>380</v>
      </c>
    </row>
    <row r="186" spans="1:10" x14ac:dyDescent="0.25">
      <c r="A186" t="s">
        <v>920</v>
      </c>
      <c r="B186" t="s">
        <v>40</v>
      </c>
      <c r="C186" t="s">
        <v>363</v>
      </c>
      <c r="E186">
        <v>48</v>
      </c>
      <c r="F186" s="23" t="s">
        <v>730</v>
      </c>
      <c r="G186" t="s">
        <v>358</v>
      </c>
      <c r="H186" s="27">
        <v>45988</v>
      </c>
      <c r="I186" t="s">
        <v>916</v>
      </c>
      <c r="J186" t="s">
        <v>380</v>
      </c>
    </row>
    <row r="187" spans="1:10" x14ac:dyDescent="0.25">
      <c r="A187" t="s">
        <v>921</v>
      </c>
      <c r="B187" t="s">
        <v>40</v>
      </c>
      <c r="C187" t="s">
        <v>363</v>
      </c>
      <c r="E187">
        <v>48</v>
      </c>
      <c r="F187" s="23" t="s">
        <v>730</v>
      </c>
      <c r="G187" t="s">
        <v>358</v>
      </c>
      <c r="H187" s="27">
        <v>45988</v>
      </c>
      <c r="I187" t="s">
        <v>916</v>
      </c>
      <c r="J187" t="s">
        <v>380</v>
      </c>
    </row>
    <row r="188" spans="1:10" x14ac:dyDescent="0.25">
      <c r="A188" t="s">
        <v>922</v>
      </c>
      <c r="B188" t="s">
        <v>40</v>
      </c>
      <c r="C188" t="s">
        <v>377</v>
      </c>
      <c r="D188" t="s">
        <v>584</v>
      </c>
      <c r="E188">
        <v>48</v>
      </c>
      <c r="F188" s="23" t="s">
        <v>730</v>
      </c>
      <c r="G188" t="s">
        <v>358</v>
      </c>
      <c r="H188" s="27">
        <v>45989</v>
      </c>
      <c r="J188" t="s">
        <v>380</v>
      </c>
    </row>
    <row r="189" spans="1:10" x14ac:dyDescent="0.25">
      <c r="A189" t="s">
        <v>923</v>
      </c>
      <c r="B189" t="s">
        <v>40</v>
      </c>
      <c r="C189" t="s">
        <v>245</v>
      </c>
      <c r="D189" t="s">
        <v>245</v>
      </c>
      <c r="E189">
        <v>48</v>
      </c>
      <c r="F189" s="23" t="s">
        <v>730</v>
      </c>
      <c r="G189" t="s">
        <v>358</v>
      </c>
      <c r="H189" s="27">
        <v>45994</v>
      </c>
      <c r="J189" t="s">
        <v>380</v>
      </c>
    </row>
    <row r="190" spans="1:10" x14ac:dyDescent="0.25">
      <c r="A190" t="s">
        <v>924</v>
      </c>
      <c r="B190" t="s">
        <v>40</v>
      </c>
      <c r="C190" t="s">
        <v>245</v>
      </c>
      <c r="D190" t="s">
        <v>245</v>
      </c>
      <c r="E190">
        <v>48</v>
      </c>
      <c r="F190" s="23" t="s">
        <v>730</v>
      </c>
      <c r="G190" t="s">
        <v>358</v>
      </c>
      <c r="H190" s="27">
        <v>45994</v>
      </c>
      <c r="J190" t="s">
        <v>380</v>
      </c>
    </row>
    <row r="191" spans="1:10" x14ac:dyDescent="0.25">
      <c r="A191" t="s">
        <v>925</v>
      </c>
      <c r="B191" t="s">
        <v>40</v>
      </c>
      <c r="C191" t="s">
        <v>245</v>
      </c>
      <c r="D191" t="s">
        <v>245</v>
      </c>
      <c r="E191">
        <v>48</v>
      </c>
      <c r="F191" s="23" t="s">
        <v>730</v>
      </c>
      <c r="G191" t="s">
        <v>358</v>
      </c>
      <c r="H191" s="27">
        <v>45994</v>
      </c>
      <c r="J191" t="s">
        <v>380</v>
      </c>
    </row>
    <row r="192" spans="1:10" x14ac:dyDescent="0.25">
      <c r="A192" t="s">
        <v>926</v>
      </c>
      <c r="B192" t="s">
        <v>40</v>
      </c>
      <c r="C192" t="s">
        <v>377</v>
      </c>
      <c r="D192" t="s">
        <v>245</v>
      </c>
      <c r="E192">
        <v>24</v>
      </c>
      <c r="F192" s="31" t="s">
        <v>927</v>
      </c>
      <c r="G192" t="s">
        <v>358</v>
      </c>
      <c r="H192" s="27">
        <v>45995</v>
      </c>
      <c r="I192" t="s">
        <v>928</v>
      </c>
      <c r="J192" t="s">
        <v>380</v>
      </c>
    </row>
    <row r="193" spans="1:10" x14ac:dyDescent="0.25">
      <c r="A193" s="13" t="s">
        <v>929</v>
      </c>
      <c r="B193" t="s">
        <v>40</v>
      </c>
      <c r="C193" t="s">
        <v>377</v>
      </c>
      <c r="D193" t="s">
        <v>363</v>
      </c>
      <c r="E193">
        <v>48</v>
      </c>
      <c r="F193" s="23" t="s">
        <v>730</v>
      </c>
      <c r="G193" t="s">
        <v>358</v>
      </c>
      <c r="H193" s="27">
        <v>45996</v>
      </c>
      <c r="J193" t="s">
        <v>383</v>
      </c>
    </row>
    <row r="194" spans="1:10" x14ac:dyDescent="0.25">
      <c r="A194" s="13" t="s">
        <v>930</v>
      </c>
      <c r="B194" t="s">
        <v>40</v>
      </c>
      <c r="C194" t="s">
        <v>363</v>
      </c>
      <c r="D194" t="s">
        <v>363</v>
      </c>
      <c r="E194">
        <v>24</v>
      </c>
      <c r="F194" s="31" t="s">
        <v>927</v>
      </c>
      <c r="G194" t="s">
        <v>358</v>
      </c>
      <c r="H194" s="27">
        <v>45996</v>
      </c>
      <c r="I194" t="s">
        <v>931</v>
      </c>
      <c r="J194" t="s">
        <v>383</v>
      </c>
    </row>
    <row r="195" spans="1:10" x14ac:dyDescent="0.25">
      <c r="A195" t="s">
        <v>932</v>
      </c>
      <c r="B195" t="s">
        <v>40</v>
      </c>
      <c r="C195" t="s">
        <v>363</v>
      </c>
      <c r="D195" t="s">
        <v>363</v>
      </c>
      <c r="E195">
        <v>24</v>
      </c>
      <c r="F195" s="31" t="s">
        <v>927</v>
      </c>
      <c r="G195" t="s">
        <v>358</v>
      </c>
      <c r="H195" s="27">
        <v>45996</v>
      </c>
      <c r="I195" t="s">
        <v>933</v>
      </c>
      <c r="J195" t="s">
        <v>383</v>
      </c>
    </row>
    <row r="196" spans="1:10" x14ac:dyDescent="0.25">
      <c r="A196" t="s">
        <v>934</v>
      </c>
      <c r="B196" t="s">
        <v>40</v>
      </c>
      <c r="C196" t="s">
        <v>377</v>
      </c>
      <c r="D196" t="s">
        <v>378</v>
      </c>
      <c r="E196">
        <v>48</v>
      </c>
      <c r="F196" s="23" t="s">
        <v>730</v>
      </c>
      <c r="G196" t="s">
        <v>358</v>
      </c>
      <c r="H196" s="27">
        <v>45996</v>
      </c>
      <c r="J196" t="s">
        <v>383</v>
      </c>
    </row>
    <row r="197" spans="1:10" x14ac:dyDescent="0.25">
      <c r="A197" t="s">
        <v>935</v>
      </c>
      <c r="B197" t="s">
        <v>40</v>
      </c>
      <c r="C197" t="s">
        <v>584</v>
      </c>
      <c r="D197" t="s">
        <v>378</v>
      </c>
      <c r="E197">
        <v>48</v>
      </c>
      <c r="F197" s="23" t="s">
        <v>730</v>
      </c>
      <c r="G197" t="s">
        <v>358</v>
      </c>
      <c r="H197" s="27">
        <v>45999</v>
      </c>
      <c r="J197" t="s">
        <v>383</v>
      </c>
    </row>
    <row r="198" spans="1:10" x14ac:dyDescent="0.25">
      <c r="A198" t="s">
        <v>936</v>
      </c>
      <c r="B198" t="s">
        <v>40</v>
      </c>
      <c r="C198" t="s">
        <v>584</v>
      </c>
      <c r="D198" t="s">
        <v>378</v>
      </c>
      <c r="E198">
        <v>48</v>
      </c>
      <c r="F198" s="23" t="s">
        <v>730</v>
      </c>
      <c r="G198" t="s">
        <v>358</v>
      </c>
      <c r="H198" s="27">
        <v>45999</v>
      </c>
      <c r="J198" t="s">
        <v>383</v>
      </c>
    </row>
    <row r="199" spans="1:10" x14ac:dyDescent="0.25">
      <c r="A199" t="s">
        <v>937</v>
      </c>
      <c r="B199" t="s">
        <v>40</v>
      </c>
      <c r="C199" t="s">
        <v>584</v>
      </c>
      <c r="D199" t="s">
        <v>378</v>
      </c>
      <c r="E199">
        <v>48</v>
      </c>
      <c r="F199" s="23" t="s">
        <v>730</v>
      </c>
      <c r="G199" t="s">
        <v>358</v>
      </c>
      <c r="H199" s="27">
        <v>45999</v>
      </c>
      <c r="J199" t="s">
        <v>383</v>
      </c>
    </row>
    <row r="200" spans="1:10" x14ac:dyDescent="0.25">
      <c r="A200" t="s">
        <v>938</v>
      </c>
      <c r="B200" t="s">
        <v>40</v>
      </c>
      <c r="C200" t="s">
        <v>584</v>
      </c>
      <c r="D200" t="s">
        <v>378</v>
      </c>
      <c r="E200">
        <v>48</v>
      </c>
      <c r="F200" s="23" t="s">
        <v>730</v>
      </c>
      <c r="G200" t="s">
        <v>358</v>
      </c>
      <c r="H200" s="27">
        <v>45999</v>
      </c>
      <c r="J200" t="s">
        <v>383</v>
      </c>
    </row>
    <row r="201" spans="1:10" x14ac:dyDescent="0.25">
      <c r="A201" t="s">
        <v>939</v>
      </c>
      <c r="B201" t="s">
        <v>40</v>
      </c>
      <c r="C201" t="s">
        <v>584</v>
      </c>
      <c r="D201" t="s">
        <v>378</v>
      </c>
      <c r="E201">
        <v>48</v>
      </c>
      <c r="F201" s="23" t="s">
        <v>730</v>
      </c>
      <c r="G201" t="s">
        <v>358</v>
      </c>
      <c r="H201" s="27">
        <v>45999</v>
      </c>
      <c r="J201" t="s">
        <v>383</v>
      </c>
    </row>
    <row r="202" spans="1:10" x14ac:dyDescent="0.25">
      <c r="A202" t="s">
        <v>940</v>
      </c>
      <c r="B202" t="s">
        <v>40</v>
      </c>
      <c r="C202" t="s">
        <v>257</v>
      </c>
      <c r="D202" t="s">
        <v>245</v>
      </c>
      <c r="E202">
        <v>48</v>
      </c>
      <c r="F202" s="23" t="s">
        <v>730</v>
      </c>
      <c r="G202" t="s">
        <v>358</v>
      </c>
      <c r="H202" s="27">
        <v>46001</v>
      </c>
    </row>
    <row r="203" spans="1:10" x14ac:dyDescent="0.25">
      <c r="A203" t="s">
        <v>941</v>
      </c>
      <c r="B203" t="s">
        <v>40</v>
      </c>
      <c r="C203" t="s">
        <v>257</v>
      </c>
      <c r="D203" t="s">
        <v>245</v>
      </c>
      <c r="E203">
        <v>48</v>
      </c>
      <c r="F203" s="23" t="s">
        <v>730</v>
      </c>
      <c r="G203" t="s">
        <v>358</v>
      </c>
      <c r="H203" s="27">
        <v>46001</v>
      </c>
      <c r="J203" t="s">
        <v>383</v>
      </c>
    </row>
    <row r="204" spans="1:10" x14ac:dyDescent="0.25">
      <c r="A204" t="s">
        <v>942</v>
      </c>
      <c r="B204" t="s">
        <v>40</v>
      </c>
      <c r="C204" t="s">
        <v>257</v>
      </c>
      <c r="D204" t="s">
        <v>245</v>
      </c>
      <c r="E204">
        <v>48</v>
      </c>
      <c r="F204" s="23" t="s">
        <v>730</v>
      </c>
      <c r="G204" t="s">
        <v>358</v>
      </c>
      <c r="H204" s="27">
        <v>46002</v>
      </c>
      <c r="I204" t="s">
        <v>943</v>
      </c>
      <c r="J204" t="s">
        <v>383</v>
      </c>
    </row>
    <row r="205" spans="1:10" x14ac:dyDescent="0.25">
      <c r="A205" t="s">
        <v>944</v>
      </c>
      <c r="B205" t="s">
        <v>40</v>
      </c>
      <c r="C205" t="s">
        <v>378</v>
      </c>
      <c r="D205" t="s">
        <v>245</v>
      </c>
      <c r="E205">
        <v>48</v>
      </c>
      <c r="F205" s="23" t="s">
        <v>730</v>
      </c>
      <c r="G205" t="s">
        <v>358</v>
      </c>
      <c r="H205" s="27">
        <v>46006</v>
      </c>
      <c r="J205" t="s">
        <v>383</v>
      </c>
    </row>
    <row r="206" spans="1:10" x14ac:dyDescent="0.25">
      <c r="A206" t="s">
        <v>945</v>
      </c>
      <c r="B206" t="s">
        <v>40</v>
      </c>
      <c r="C206" t="s">
        <v>245</v>
      </c>
      <c r="D206" t="s">
        <v>257</v>
      </c>
      <c r="E206">
        <v>48</v>
      </c>
      <c r="F206" s="23" t="s">
        <v>730</v>
      </c>
      <c r="G206" t="s">
        <v>358</v>
      </c>
      <c r="H206" s="27">
        <v>46006</v>
      </c>
      <c r="I206" t="s">
        <v>946</v>
      </c>
      <c r="J206" t="s">
        <v>383</v>
      </c>
    </row>
    <row r="207" spans="1:10" x14ac:dyDescent="0.25">
      <c r="A207" t="s">
        <v>947</v>
      </c>
      <c r="B207" t="s">
        <v>40</v>
      </c>
      <c r="C207" t="s">
        <v>245</v>
      </c>
      <c r="D207" t="s">
        <v>257</v>
      </c>
      <c r="E207">
        <v>48</v>
      </c>
      <c r="F207" s="23" t="s">
        <v>730</v>
      </c>
      <c r="G207" t="s">
        <v>358</v>
      </c>
      <c r="H207" s="27">
        <v>46006</v>
      </c>
      <c r="I207" t="s">
        <v>948</v>
      </c>
      <c r="J207" t="s">
        <v>383</v>
      </c>
    </row>
    <row r="208" spans="1:10" x14ac:dyDescent="0.25">
      <c r="A208" t="s">
        <v>949</v>
      </c>
      <c r="B208" t="s">
        <v>40</v>
      </c>
      <c r="C208" t="s">
        <v>245</v>
      </c>
      <c r="D208" t="s">
        <v>245</v>
      </c>
      <c r="E208">
        <v>48</v>
      </c>
      <c r="F208" s="23" t="s">
        <v>730</v>
      </c>
      <c r="G208" t="s">
        <v>358</v>
      </c>
      <c r="H208" s="27">
        <v>46006</v>
      </c>
      <c r="I208" t="s">
        <v>950</v>
      </c>
      <c r="J208" t="s">
        <v>383</v>
      </c>
    </row>
    <row r="209" spans="1:10" x14ac:dyDescent="0.25">
      <c r="A209" t="s">
        <v>951</v>
      </c>
      <c r="B209" t="s">
        <v>40</v>
      </c>
      <c r="C209" t="s">
        <v>245</v>
      </c>
      <c r="D209" t="s">
        <v>245</v>
      </c>
      <c r="E209">
        <v>48</v>
      </c>
      <c r="F209" s="23" t="s">
        <v>730</v>
      </c>
      <c r="G209" t="s">
        <v>358</v>
      </c>
      <c r="H209" s="27">
        <v>46006</v>
      </c>
      <c r="I209" t="s">
        <v>952</v>
      </c>
      <c r="J209" t="s">
        <v>383</v>
      </c>
    </row>
    <row r="210" spans="1:10" x14ac:dyDescent="0.25">
      <c r="A210" t="s">
        <v>953</v>
      </c>
      <c r="B210" t="s">
        <v>40</v>
      </c>
      <c r="C210" t="s">
        <v>378</v>
      </c>
      <c r="E210">
        <v>48</v>
      </c>
      <c r="F210" s="23" t="s">
        <v>730</v>
      </c>
      <c r="G210" t="s">
        <v>358</v>
      </c>
      <c r="H210" s="27">
        <v>46009</v>
      </c>
      <c r="J210" t="s">
        <v>383</v>
      </c>
    </row>
    <row r="211" spans="1:10" x14ac:dyDescent="0.25">
      <c r="A211" t="s">
        <v>954</v>
      </c>
      <c r="B211" t="s">
        <v>40</v>
      </c>
      <c r="C211" t="s">
        <v>378</v>
      </c>
      <c r="E211">
        <v>48</v>
      </c>
      <c r="F211" s="23" t="s">
        <v>730</v>
      </c>
      <c r="G211" t="s">
        <v>358</v>
      </c>
      <c r="H211" s="27">
        <v>46009</v>
      </c>
      <c r="J211" t="s">
        <v>383</v>
      </c>
    </row>
    <row r="212" spans="1:10" x14ac:dyDescent="0.25">
      <c r="A212" t="s">
        <v>955</v>
      </c>
      <c r="B212" t="s">
        <v>40</v>
      </c>
      <c r="C212" t="s">
        <v>378</v>
      </c>
      <c r="E212">
        <v>48</v>
      </c>
      <c r="F212" s="23" t="s">
        <v>730</v>
      </c>
      <c r="G212" t="s">
        <v>358</v>
      </c>
      <c r="H212" s="27">
        <v>46009</v>
      </c>
      <c r="J212" t="s">
        <v>383</v>
      </c>
    </row>
    <row r="213" spans="1:10" x14ac:dyDescent="0.25">
      <c r="A213" t="s">
        <v>956</v>
      </c>
      <c r="B213" t="s">
        <v>40</v>
      </c>
      <c r="C213" t="s">
        <v>378</v>
      </c>
      <c r="E213">
        <v>48</v>
      </c>
      <c r="F213" s="23" t="s">
        <v>730</v>
      </c>
      <c r="G213" t="s">
        <v>358</v>
      </c>
      <c r="H213" s="27">
        <v>46009</v>
      </c>
      <c r="J213" t="s">
        <v>383</v>
      </c>
    </row>
    <row r="214" spans="1:10" x14ac:dyDescent="0.25">
      <c r="A214" t="s">
        <v>957</v>
      </c>
      <c r="B214" t="s">
        <v>40</v>
      </c>
      <c r="C214" t="s">
        <v>377</v>
      </c>
      <c r="D214" t="s">
        <v>584</v>
      </c>
      <c r="E214">
        <v>48</v>
      </c>
      <c r="F214" s="23" t="s">
        <v>730</v>
      </c>
      <c r="G214" t="s">
        <v>358</v>
      </c>
      <c r="H214" s="27">
        <v>46010</v>
      </c>
      <c r="J214" t="s">
        <v>383</v>
      </c>
    </row>
    <row r="215" spans="1:10" x14ac:dyDescent="0.25">
      <c r="A215" t="s">
        <v>958</v>
      </c>
      <c r="B215" t="s">
        <v>40</v>
      </c>
      <c r="C215" t="s">
        <v>584</v>
      </c>
      <c r="D215" t="s">
        <v>257</v>
      </c>
      <c r="E215">
        <v>48</v>
      </c>
      <c r="F215" s="23" t="s">
        <v>730</v>
      </c>
      <c r="G215" t="s">
        <v>358</v>
      </c>
      <c r="H215" s="27">
        <v>46013</v>
      </c>
      <c r="I215" t="s">
        <v>959</v>
      </c>
      <c r="J215" t="s">
        <v>383</v>
      </c>
    </row>
    <row r="216" spans="1:10" x14ac:dyDescent="0.25">
      <c r="A216" t="s">
        <v>960</v>
      </c>
      <c r="B216" t="s">
        <v>40</v>
      </c>
      <c r="C216" t="s">
        <v>257</v>
      </c>
      <c r="E216">
        <v>49</v>
      </c>
      <c r="F216" s="23" t="s">
        <v>961</v>
      </c>
      <c r="G216" t="s">
        <v>358</v>
      </c>
      <c r="H216" s="27">
        <v>46015</v>
      </c>
      <c r="I216" t="s">
        <v>962</v>
      </c>
      <c r="J216" t="s">
        <v>383</v>
      </c>
    </row>
    <row r="217" spans="1:10" x14ac:dyDescent="0.25">
      <c r="A217" t="s">
        <v>963</v>
      </c>
      <c r="B217" t="s">
        <v>40</v>
      </c>
      <c r="C217" t="s">
        <v>257</v>
      </c>
      <c r="E217">
        <v>50</v>
      </c>
      <c r="F217" s="23" t="s">
        <v>964</v>
      </c>
      <c r="G217" t="s">
        <v>358</v>
      </c>
      <c r="H217" s="27">
        <v>46015</v>
      </c>
      <c r="I217" t="s">
        <v>962</v>
      </c>
      <c r="J217" t="s">
        <v>383</v>
      </c>
    </row>
    <row r="218" spans="1:10" x14ac:dyDescent="0.25">
      <c r="A218" t="s">
        <v>965</v>
      </c>
      <c r="B218" t="s">
        <v>40</v>
      </c>
      <c r="C218" t="s">
        <v>584</v>
      </c>
      <c r="E218">
        <v>48</v>
      </c>
      <c r="F218" s="23" t="s">
        <v>730</v>
      </c>
      <c r="G218" t="s">
        <v>358</v>
      </c>
      <c r="H218" s="27">
        <v>46016</v>
      </c>
      <c r="I218" t="s">
        <v>966</v>
      </c>
      <c r="J218" t="s">
        <v>383</v>
      </c>
    </row>
    <row r="219" spans="1:10" x14ac:dyDescent="0.25">
      <c r="A219" t="s">
        <v>967</v>
      </c>
      <c r="B219" t="s">
        <v>40</v>
      </c>
      <c r="C219" t="s">
        <v>257</v>
      </c>
      <c r="D219" t="s">
        <v>245</v>
      </c>
      <c r="E219">
        <v>48</v>
      </c>
      <c r="F219" s="23" t="s">
        <v>730</v>
      </c>
      <c r="G219" t="s">
        <v>358</v>
      </c>
      <c r="H219" s="27">
        <v>46029</v>
      </c>
      <c r="I219" t="s">
        <v>968</v>
      </c>
      <c r="J219" t="s">
        <v>383</v>
      </c>
    </row>
    <row r="220" spans="1:10" x14ac:dyDescent="0.25">
      <c r="A220" t="s">
        <v>969</v>
      </c>
      <c r="B220" t="s">
        <v>40</v>
      </c>
      <c r="C220" t="s">
        <v>257</v>
      </c>
      <c r="D220" t="s">
        <v>245</v>
      </c>
      <c r="E220">
        <v>48</v>
      </c>
      <c r="F220" s="23" t="s">
        <v>730</v>
      </c>
      <c r="G220" t="s">
        <v>358</v>
      </c>
      <c r="H220" s="27">
        <v>46029</v>
      </c>
      <c r="I220" t="s">
        <v>970</v>
      </c>
      <c r="J220" t="s">
        <v>383</v>
      </c>
    </row>
    <row r="221" spans="1:10" x14ac:dyDescent="0.25">
      <c r="A221" t="s">
        <v>971</v>
      </c>
      <c r="B221" t="s">
        <v>40</v>
      </c>
      <c r="C221" t="s">
        <v>584</v>
      </c>
      <c r="E221">
        <v>48</v>
      </c>
      <c r="F221" s="23" t="s">
        <v>730</v>
      </c>
      <c r="G221" t="s">
        <v>358</v>
      </c>
      <c r="H221" s="27">
        <v>46030</v>
      </c>
      <c r="I221" t="s">
        <v>972</v>
      </c>
      <c r="J221" t="s">
        <v>383</v>
      </c>
    </row>
    <row r="222" spans="1:10" x14ac:dyDescent="0.25">
      <c r="A222" t="s">
        <v>973</v>
      </c>
      <c r="B222" t="s">
        <v>40</v>
      </c>
      <c r="C222" t="s">
        <v>584</v>
      </c>
      <c r="E222">
        <v>48</v>
      </c>
      <c r="F222" s="23" t="s">
        <v>730</v>
      </c>
      <c r="G222" t="s">
        <v>358</v>
      </c>
      <c r="H222" s="27">
        <v>46030</v>
      </c>
      <c r="I222" t="s">
        <v>972</v>
      </c>
      <c r="J222" t="s">
        <v>383</v>
      </c>
    </row>
    <row r="223" spans="1:10" x14ac:dyDescent="0.25">
      <c r="A223" t="s">
        <v>974</v>
      </c>
      <c r="B223" t="s">
        <v>40</v>
      </c>
      <c r="C223" t="s">
        <v>257</v>
      </c>
      <c r="E223">
        <v>48</v>
      </c>
      <c r="F223" s="23" t="s">
        <v>730</v>
      </c>
      <c r="G223" t="s">
        <v>358</v>
      </c>
      <c r="H223" s="27">
        <v>46030</v>
      </c>
      <c r="J223" t="s">
        <v>383</v>
      </c>
    </row>
    <row r="224" spans="1:10" x14ac:dyDescent="0.25">
      <c r="A224" t="s">
        <v>975</v>
      </c>
      <c r="B224" t="s">
        <v>40</v>
      </c>
      <c r="C224" t="s">
        <v>245</v>
      </c>
      <c r="D224" t="s">
        <v>377</v>
      </c>
      <c r="E224">
        <v>48</v>
      </c>
      <c r="F224" s="23" t="s">
        <v>730</v>
      </c>
      <c r="G224" t="s">
        <v>358</v>
      </c>
      <c r="H224" s="27">
        <v>46032</v>
      </c>
      <c r="J224" t="s">
        <v>383</v>
      </c>
    </row>
    <row r="225" spans="1:10" x14ac:dyDescent="0.25">
      <c r="A225" t="s">
        <v>976</v>
      </c>
      <c r="B225" t="s">
        <v>40</v>
      </c>
      <c r="C225" t="s">
        <v>363</v>
      </c>
      <c r="D225" t="s">
        <v>245</v>
      </c>
      <c r="E225">
        <v>48</v>
      </c>
      <c r="F225" s="23" t="s">
        <v>730</v>
      </c>
      <c r="G225" t="s">
        <v>358</v>
      </c>
      <c r="H225" s="27">
        <v>46033</v>
      </c>
      <c r="J225" t="s">
        <v>383</v>
      </c>
    </row>
    <row r="226" spans="1:10" x14ac:dyDescent="0.25">
      <c r="A226" t="s">
        <v>977</v>
      </c>
      <c r="B226" t="s">
        <v>40</v>
      </c>
      <c r="C226" t="s">
        <v>363</v>
      </c>
      <c r="D226" t="s">
        <v>245</v>
      </c>
      <c r="E226">
        <v>48</v>
      </c>
      <c r="F226" s="23" t="s">
        <v>730</v>
      </c>
      <c r="G226" t="s">
        <v>358</v>
      </c>
      <c r="H226" s="27">
        <v>46033</v>
      </c>
      <c r="J226" t="s">
        <v>383</v>
      </c>
    </row>
    <row r="227" spans="1:10" x14ac:dyDescent="0.25">
      <c r="A227" t="s">
        <v>978</v>
      </c>
      <c r="B227" t="s">
        <v>40</v>
      </c>
      <c r="C227" t="s">
        <v>363</v>
      </c>
      <c r="D227" t="s">
        <v>245</v>
      </c>
      <c r="E227">
        <v>48</v>
      </c>
      <c r="F227" s="23" t="s">
        <v>730</v>
      </c>
      <c r="G227" t="s">
        <v>358</v>
      </c>
      <c r="H227" s="27">
        <v>46033</v>
      </c>
      <c r="J227" t="s">
        <v>383</v>
      </c>
    </row>
    <row r="228" spans="1:10" x14ac:dyDescent="0.25">
      <c r="A228" t="s">
        <v>979</v>
      </c>
      <c r="B228" t="s">
        <v>40</v>
      </c>
      <c r="C228" t="s">
        <v>377</v>
      </c>
      <c r="D228" t="s">
        <v>257</v>
      </c>
      <c r="E228">
        <v>48</v>
      </c>
      <c r="F228" s="23" t="s">
        <v>730</v>
      </c>
      <c r="G228" t="s">
        <v>358</v>
      </c>
      <c r="H228" s="27">
        <v>46034</v>
      </c>
      <c r="I228" s="3" t="s">
        <v>980</v>
      </c>
      <c r="J228" t="s">
        <v>383</v>
      </c>
    </row>
    <row r="229" spans="1:10" x14ac:dyDescent="0.25">
      <c r="A229" t="s">
        <v>981</v>
      </c>
      <c r="B229" t="s">
        <v>40</v>
      </c>
      <c r="C229" t="s">
        <v>377</v>
      </c>
      <c r="D229" t="s">
        <v>257</v>
      </c>
      <c r="E229">
        <v>48</v>
      </c>
      <c r="F229" s="23" t="s">
        <v>730</v>
      </c>
      <c r="G229" t="s">
        <v>358</v>
      </c>
      <c r="H229" s="27">
        <v>46034</v>
      </c>
      <c r="J229" t="s">
        <v>383</v>
      </c>
    </row>
    <row r="230" spans="1:10" x14ac:dyDescent="0.25">
      <c r="A230" t="s">
        <v>982</v>
      </c>
      <c r="B230" t="s">
        <v>40</v>
      </c>
      <c r="C230" t="s">
        <v>377</v>
      </c>
      <c r="E230">
        <v>48</v>
      </c>
      <c r="F230" s="23" t="s">
        <v>730</v>
      </c>
      <c r="G230" t="s">
        <v>358</v>
      </c>
      <c r="H230" s="27">
        <v>46034</v>
      </c>
      <c r="J230" t="s">
        <v>383</v>
      </c>
    </row>
    <row r="231" spans="1:10" x14ac:dyDescent="0.25">
      <c r="A231" t="s">
        <v>983</v>
      </c>
      <c r="B231" t="s">
        <v>40</v>
      </c>
      <c r="C231" t="s">
        <v>245</v>
      </c>
      <c r="D231" t="s">
        <v>363</v>
      </c>
      <c r="E231">
        <v>48</v>
      </c>
      <c r="F231" s="23" t="s">
        <v>730</v>
      </c>
      <c r="G231" t="s">
        <v>358</v>
      </c>
      <c r="H231" s="27">
        <v>46035</v>
      </c>
      <c r="J231" t="s">
        <v>383</v>
      </c>
    </row>
    <row r="232" spans="1:10" x14ac:dyDescent="0.25">
      <c r="A232" t="s">
        <v>984</v>
      </c>
      <c r="B232" t="s">
        <v>40</v>
      </c>
      <c r="C232" t="s">
        <v>363</v>
      </c>
      <c r="D232" t="s">
        <v>245</v>
      </c>
      <c r="E232">
        <v>20</v>
      </c>
      <c r="F232" s="23" t="s">
        <v>730</v>
      </c>
      <c r="G232" t="s">
        <v>358</v>
      </c>
      <c r="H232" s="27">
        <v>46036</v>
      </c>
      <c r="I232" t="s">
        <v>985</v>
      </c>
      <c r="J232" t="s">
        <v>383</v>
      </c>
    </row>
    <row r="233" spans="1:10" x14ac:dyDescent="0.25">
      <c r="A233" t="s">
        <v>986</v>
      </c>
      <c r="B233" t="s">
        <v>40</v>
      </c>
      <c r="C233" t="s">
        <v>363</v>
      </c>
      <c r="D233" t="s">
        <v>245</v>
      </c>
      <c r="E233">
        <v>20</v>
      </c>
      <c r="F233" s="23" t="s">
        <v>730</v>
      </c>
      <c r="G233" t="s">
        <v>358</v>
      </c>
      <c r="H233" s="27">
        <v>46036</v>
      </c>
      <c r="I233" t="s">
        <v>987</v>
      </c>
      <c r="J233" t="s">
        <v>383</v>
      </c>
    </row>
    <row r="234" spans="1:10" x14ac:dyDescent="0.25">
      <c r="A234" t="s">
        <v>988</v>
      </c>
      <c r="B234" t="s">
        <v>40</v>
      </c>
      <c r="C234" t="s">
        <v>363</v>
      </c>
      <c r="D234" t="s">
        <v>245</v>
      </c>
      <c r="E234">
        <v>48</v>
      </c>
      <c r="F234" s="23" t="s">
        <v>730</v>
      </c>
      <c r="G234" t="s">
        <v>358</v>
      </c>
      <c r="H234" s="27">
        <v>46036</v>
      </c>
      <c r="J234" t="s">
        <v>383</v>
      </c>
    </row>
    <row r="235" spans="1:10" x14ac:dyDescent="0.25">
      <c r="A235" t="s">
        <v>989</v>
      </c>
      <c r="B235" t="s">
        <v>40</v>
      </c>
      <c r="C235" t="s">
        <v>363</v>
      </c>
      <c r="D235" t="s">
        <v>377</v>
      </c>
      <c r="E235">
        <v>48</v>
      </c>
      <c r="F235" s="23" t="s">
        <v>730</v>
      </c>
      <c r="G235" t="s">
        <v>358</v>
      </c>
      <c r="H235" s="27">
        <v>46037</v>
      </c>
      <c r="I235" t="s">
        <v>990</v>
      </c>
      <c r="J235" t="s">
        <v>383</v>
      </c>
    </row>
    <row r="236" spans="1:10" x14ac:dyDescent="0.25">
      <c r="A236" t="s">
        <v>991</v>
      </c>
      <c r="B236" t="s">
        <v>40</v>
      </c>
      <c r="C236" t="s">
        <v>363</v>
      </c>
      <c r="D236" t="s">
        <v>377</v>
      </c>
      <c r="E236">
        <v>48</v>
      </c>
      <c r="F236" s="23" t="s">
        <v>730</v>
      </c>
      <c r="G236" t="s">
        <v>358</v>
      </c>
      <c r="H236" s="27">
        <v>46037</v>
      </c>
      <c r="I236" t="s">
        <v>990</v>
      </c>
      <c r="J236" t="s">
        <v>383</v>
      </c>
    </row>
    <row r="237" spans="1:10" x14ac:dyDescent="0.25">
      <c r="A237" t="s">
        <v>992</v>
      </c>
      <c r="B237" t="s">
        <v>40</v>
      </c>
      <c r="C237" t="s">
        <v>363</v>
      </c>
      <c r="D237" t="s">
        <v>377</v>
      </c>
      <c r="E237">
        <v>48</v>
      </c>
      <c r="F237" s="23" t="s">
        <v>730</v>
      </c>
      <c r="G237" t="s">
        <v>358</v>
      </c>
      <c r="H237" s="27">
        <v>46037</v>
      </c>
      <c r="J237" t="s">
        <v>383</v>
      </c>
    </row>
    <row r="238" spans="1:10" x14ac:dyDescent="0.25">
      <c r="A238" t="s">
        <v>993</v>
      </c>
      <c r="B238" t="s">
        <v>40</v>
      </c>
      <c r="C238" t="s">
        <v>377</v>
      </c>
      <c r="D238" t="s">
        <v>245</v>
      </c>
      <c r="E238">
        <v>19</v>
      </c>
      <c r="F238" s="23" t="s">
        <v>730</v>
      </c>
      <c r="G238" t="s">
        <v>358</v>
      </c>
      <c r="H238" s="27">
        <v>46038</v>
      </c>
      <c r="I238" t="s">
        <v>994</v>
      </c>
      <c r="J238" t="s">
        <v>383</v>
      </c>
    </row>
    <row r="239" spans="1:10" x14ac:dyDescent="0.25">
      <c r="A239" t="s">
        <v>995</v>
      </c>
      <c r="B239" t="s">
        <v>40</v>
      </c>
      <c r="C239" t="s">
        <v>377</v>
      </c>
      <c r="D239" t="s">
        <v>245</v>
      </c>
      <c r="E239">
        <v>48</v>
      </c>
      <c r="F239" s="23" t="s">
        <v>730</v>
      </c>
      <c r="G239" t="s">
        <v>358</v>
      </c>
      <c r="H239" s="27">
        <v>46038</v>
      </c>
      <c r="J239" t="s">
        <v>383</v>
      </c>
    </row>
    <row r="240" spans="1:10" x14ac:dyDescent="0.25">
      <c r="A240" t="s">
        <v>996</v>
      </c>
      <c r="B240" t="s">
        <v>40</v>
      </c>
      <c r="C240" t="s">
        <v>245</v>
      </c>
      <c r="D240" t="s">
        <v>257</v>
      </c>
      <c r="E240">
        <v>48</v>
      </c>
      <c r="F240" s="23" t="s">
        <v>730</v>
      </c>
      <c r="G240" t="s">
        <v>358</v>
      </c>
      <c r="H240" s="27">
        <v>46039</v>
      </c>
      <c r="J240" t="s">
        <v>383</v>
      </c>
    </row>
    <row r="241" spans="1:10" x14ac:dyDescent="0.25">
      <c r="A241" t="s">
        <v>997</v>
      </c>
      <c r="B241" t="s">
        <v>40</v>
      </c>
      <c r="C241" t="s">
        <v>363</v>
      </c>
      <c r="D241" t="s">
        <v>257</v>
      </c>
      <c r="E241">
        <v>48</v>
      </c>
      <c r="F241" s="23" t="s">
        <v>730</v>
      </c>
      <c r="G241" t="s">
        <v>358</v>
      </c>
      <c r="H241" s="27">
        <v>46039</v>
      </c>
      <c r="J241" t="s">
        <v>383</v>
      </c>
    </row>
    <row r="242" spans="1:10" x14ac:dyDescent="0.25">
      <c r="A242" t="s">
        <v>998</v>
      </c>
      <c r="B242" t="s">
        <v>40</v>
      </c>
      <c r="C242" t="s">
        <v>363</v>
      </c>
      <c r="D242" t="s">
        <v>257</v>
      </c>
      <c r="E242">
        <v>48</v>
      </c>
      <c r="F242" s="23" t="s">
        <v>730</v>
      </c>
      <c r="G242" t="s">
        <v>358</v>
      </c>
      <c r="H242" s="27">
        <v>46039</v>
      </c>
      <c r="J242" t="s">
        <v>383</v>
      </c>
    </row>
    <row r="243" spans="1:10" x14ac:dyDescent="0.25">
      <c r="A243" t="s">
        <v>999</v>
      </c>
      <c r="B243" t="s">
        <v>40</v>
      </c>
      <c r="C243" t="s">
        <v>584</v>
      </c>
      <c r="D243" t="s">
        <v>245</v>
      </c>
      <c r="E243">
        <v>48</v>
      </c>
      <c r="F243" s="23" t="s">
        <v>730</v>
      </c>
      <c r="G243" t="s">
        <v>358</v>
      </c>
      <c r="H243" s="27">
        <v>46039</v>
      </c>
      <c r="J243" t="s">
        <v>383</v>
      </c>
    </row>
    <row r="244" spans="1:10" x14ac:dyDescent="0.25">
      <c r="A244" t="s">
        <v>1000</v>
      </c>
      <c r="B244" t="s">
        <v>40</v>
      </c>
      <c r="C244" t="s">
        <v>377</v>
      </c>
      <c r="D244" t="s">
        <v>245</v>
      </c>
      <c r="E244">
        <v>48</v>
      </c>
      <c r="F244" s="23" t="s">
        <v>730</v>
      </c>
      <c r="G244" t="s">
        <v>358</v>
      </c>
      <c r="H244" s="27">
        <v>46039</v>
      </c>
      <c r="J244" t="s">
        <v>383</v>
      </c>
    </row>
    <row r="245" spans="1:10" x14ac:dyDescent="0.25">
      <c r="A245" t="s">
        <v>1001</v>
      </c>
      <c r="B245" t="s">
        <v>40</v>
      </c>
      <c r="C245" t="s">
        <v>584</v>
      </c>
      <c r="D245" t="s">
        <v>245</v>
      </c>
      <c r="E245">
        <v>48</v>
      </c>
      <c r="F245" s="23" t="s">
        <v>730</v>
      </c>
      <c r="G245" t="s">
        <v>358</v>
      </c>
      <c r="H245" s="27">
        <v>46039</v>
      </c>
      <c r="J245" t="s">
        <v>586</v>
      </c>
    </row>
    <row r="246" spans="1:10" x14ac:dyDescent="0.25">
      <c r="A246" t="s">
        <v>1002</v>
      </c>
      <c r="B246" t="s">
        <v>40</v>
      </c>
      <c r="C246" t="s">
        <v>257</v>
      </c>
      <c r="D246" t="s">
        <v>378</v>
      </c>
      <c r="E246">
        <v>48</v>
      </c>
      <c r="F246" s="23" t="s">
        <v>730</v>
      </c>
      <c r="G246" t="s">
        <v>358</v>
      </c>
      <c r="H246" s="27">
        <v>46042</v>
      </c>
      <c r="I246" t="s">
        <v>1003</v>
      </c>
      <c r="J246" t="s">
        <v>586</v>
      </c>
    </row>
    <row r="247" spans="1:10" x14ac:dyDescent="0.25">
      <c r="A247" t="s">
        <v>1004</v>
      </c>
      <c r="B247" t="s">
        <v>40</v>
      </c>
      <c r="C247" t="s">
        <v>257</v>
      </c>
      <c r="D247" t="s">
        <v>378</v>
      </c>
      <c r="E247">
        <v>48</v>
      </c>
      <c r="F247" s="23" t="s">
        <v>730</v>
      </c>
      <c r="G247" t="s">
        <v>358</v>
      </c>
      <c r="H247" s="27">
        <v>46042</v>
      </c>
      <c r="I247" t="s">
        <v>1005</v>
      </c>
      <c r="J247" t="s">
        <v>586</v>
      </c>
    </row>
    <row r="248" spans="1:10" x14ac:dyDescent="0.25">
      <c r="A248" t="s">
        <v>1006</v>
      </c>
      <c r="B248" t="s">
        <v>40</v>
      </c>
      <c r="C248" t="s">
        <v>257</v>
      </c>
      <c r="D248" t="s">
        <v>378</v>
      </c>
      <c r="E248">
        <v>48</v>
      </c>
      <c r="F248" s="23" t="s">
        <v>730</v>
      </c>
      <c r="G248" t="s">
        <v>358</v>
      </c>
      <c r="H248" s="27">
        <v>46042</v>
      </c>
      <c r="I248" t="s">
        <v>1007</v>
      </c>
      <c r="J248" t="s">
        <v>586</v>
      </c>
    </row>
    <row r="249" spans="1:10" x14ac:dyDescent="0.25">
      <c r="A249" t="s">
        <v>1008</v>
      </c>
      <c r="B249" t="s">
        <v>40</v>
      </c>
      <c r="C249" t="s">
        <v>245</v>
      </c>
      <c r="D249" t="s">
        <v>245</v>
      </c>
      <c r="E249">
        <v>48</v>
      </c>
      <c r="F249" s="23" t="s">
        <v>730</v>
      </c>
      <c r="G249" t="s">
        <v>358</v>
      </c>
      <c r="H249" s="27">
        <v>46042</v>
      </c>
      <c r="I249" t="s">
        <v>1009</v>
      </c>
      <c r="J249" t="s">
        <v>586</v>
      </c>
    </row>
    <row r="250" spans="1:10" x14ac:dyDescent="0.25">
      <c r="A250" t="s">
        <v>1010</v>
      </c>
      <c r="B250" t="s">
        <v>40</v>
      </c>
      <c r="C250" t="s">
        <v>245</v>
      </c>
      <c r="D250" t="s">
        <v>245</v>
      </c>
      <c r="E250">
        <v>48</v>
      </c>
      <c r="F250" s="23" t="s">
        <v>730</v>
      </c>
      <c r="G250" t="s">
        <v>358</v>
      </c>
      <c r="H250" s="27">
        <v>46042</v>
      </c>
      <c r="I250" t="s">
        <v>1011</v>
      </c>
      <c r="J250" t="s">
        <v>586</v>
      </c>
    </row>
    <row r="251" spans="1:10" x14ac:dyDescent="0.25">
      <c r="A251" t="s">
        <v>1012</v>
      </c>
      <c r="B251" t="s">
        <v>40</v>
      </c>
      <c r="C251" t="s">
        <v>245</v>
      </c>
      <c r="D251" t="s">
        <v>584</v>
      </c>
      <c r="E251">
        <v>48</v>
      </c>
      <c r="F251" s="23" t="s">
        <v>730</v>
      </c>
      <c r="G251" t="s">
        <v>358</v>
      </c>
      <c r="H251" s="27">
        <v>46045</v>
      </c>
      <c r="J251" t="s">
        <v>586</v>
      </c>
    </row>
    <row r="252" spans="1:10" x14ac:dyDescent="0.25">
      <c r="A252" t="s">
        <v>1013</v>
      </c>
      <c r="B252" t="s">
        <v>40</v>
      </c>
      <c r="C252" t="s">
        <v>257</v>
      </c>
      <c r="D252" t="s">
        <v>584</v>
      </c>
      <c r="E252">
        <v>48</v>
      </c>
      <c r="F252" s="23" t="s">
        <v>730</v>
      </c>
      <c r="G252" t="s">
        <v>358</v>
      </c>
      <c r="H252" s="27">
        <v>46045</v>
      </c>
      <c r="I252" t="s">
        <v>1014</v>
      </c>
      <c r="J252" t="s">
        <v>586</v>
      </c>
    </row>
    <row r="253" spans="1:10" x14ac:dyDescent="0.25">
      <c r="A253" t="s">
        <v>1015</v>
      </c>
      <c r="B253" t="s">
        <v>40</v>
      </c>
      <c r="C253" t="s">
        <v>257</v>
      </c>
      <c r="D253" t="s">
        <v>584</v>
      </c>
      <c r="E253">
        <v>48</v>
      </c>
      <c r="F253" s="23" t="s">
        <v>730</v>
      </c>
      <c r="G253" t="s">
        <v>358</v>
      </c>
      <c r="H253" s="27">
        <v>46045</v>
      </c>
      <c r="I253" t="s">
        <v>1016</v>
      </c>
      <c r="J253" t="s">
        <v>586</v>
      </c>
    </row>
    <row r="254" spans="1:10" x14ac:dyDescent="0.25">
      <c r="A254" t="s">
        <v>1017</v>
      </c>
      <c r="B254" t="s">
        <v>40</v>
      </c>
      <c r="C254" t="s">
        <v>363</v>
      </c>
      <c r="D254" t="s">
        <v>363</v>
      </c>
      <c r="E254">
        <v>48</v>
      </c>
      <c r="F254" s="23" t="s">
        <v>730</v>
      </c>
      <c r="G254" t="s">
        <v>358</v>
      </c>
      <c r="H254" s="27">
        <v>46048</v>
      </c>
      <c r="J254" t="s">
        <v>586</v>
      </c>
    </row>
    <row r="255" spans="1:10" x14ac:dyDescent="0.25">
      <c r="A255" t="s">
        <v>1018</v>
      </c>
      <c r="B255" t="s">
        <v>40</v>
      </c>
      <c r="C255" t="s">
        <v>377</v>
      </c>
      <c r="E255">
        <v>48</v>
      </c>
      <c r="F255" s="23" t="s">
        <v>730</v>
      </c>
      <c r="G255" t="s">
        <v>358</v>
      </c>
      <c r="H255" s="27">
        <v>46049</v>
      </c>
      <c r="J255" t="s">
        <v>586</v>
      </c>
    </row>
    <row r="256" spans="1:10" x14ac:dyDescent="0.25">
      <c r="A256" t="s">
        <v>1019</v>
      </c>
      <c r="B256" t="s">
        <v>40</v>
      </c>
      <c r="C256" t="s">
        <v>377</v>
      </c>
      <c r="E256">
        <v>48</v>
      </c>
      <c r="F256" s="23" t="s">
        <v>730</v>
      </c>
      <c r="G256" t="s">
        <v>358</v>
      </c>
      <c r="H256" s="27">
        <v>46049</v>
      </c>
      <c r="J256" t="s">
        <v>586</v>
      </c>
    </row>
    <row r="257" spans="1:10" x14ac:dyDescent="0.25">
      <c r="A257" t="s">
        <v>1020</v>
      </c>
      <c r="B257" t="s">
        <v>40</v>
      </c>
      <c r="C257" t="s">
        <v>377</v>
      </c>
      <c r="E257">
        <v>48</v>
      </c>
      <c r="F257" s="23" t="s">
        <v>730</v>
      </c>
      <c r="G257" t="s">
        <v>358</v>
      </c>
      <c r="H257" s="27">
        <v>46049</v>
      </c>
      <c r="J257" t="s">
        <v>586</v>
      </c>
    </row>
    <row r="258" spans="1:10" x14ac:dyDescent="0.25">
      <c r="A258" t="s">
        <v>1021</v>
      </c>
      <c r="B258" t="s">
        <v>40</v>
      </c>
      <c r="C258" t="s">
        <v>377</v>
      </c>
      <c r="E258">
        <v>48</v>
      </c>
      <c r="F258" s="23" t="s">
        <v>730</v>
      </c>
      <c r="G258" t="s">
        <v>358</v>
      </c>
      <c r="H258" s="27">
        <v>46049</v>
      </c>
      <c r="J258" t="s">
        <v>586</v>
      </c>
    </row>
    <row r="259" spans="1:10" x14ac:dyDescent="0.25">
      <c r="A259" t="s">
        <v>1022</v>
      </c>
      <c r="B259" t="s">
        <v>40</v>
      </c>
      <c r="C259" t="s">
        <v>363</v>
      </c>
      <c r="D259" t="s">
        <v>245</v>
      </c>
      <c r="E259">
        <v>48</v>
      </c>
      <c r="F259" s="23" t="s">
        <v>730</v>
      </c>
      <c r="G259" t="s">
        <v>358</v>
      </c>
      <c r="H259" s="27">
        <v>46050</v>
      </c>
      <c r="J259" t="s">
        <v>586</v>
      </c>
    </row>
    <row r="260" spans="1:10" x14ac:dyDescent="0.25">
      <c r="A260" t="s">
        <v>1023</v>
      </c>
      <c r="B260" t="s">
        <v>40</v>
      </c>
      <c r="C260" t="s">
        <v>363</v>
      </c>
      <c r="E260">
        <v>48</v>
      </c>
      <c r="F260" s="23" t="s">
        <v>730</v>
      </c>
      <c r="G260" t="s">
        <v>358</v>
      </c>
      <c r="H260" s="27">
        <v>46051</v>
      </c>
      <c r="J260" t="s">
        <v>586</v>
      </c>
    </row>
    <row r="261" spans="1:10" x14ac:dyDescent="0.25">
      <c r="A261" t="s">
        <v>1024</v>
      </c>
      <c r="B261" t="s">
        <v>40</v>
      </c>
      <c r="C261" t="s">
        <v>584</v>
      </c>
      <c r="D261" t="s">
        <v>584</v>
      </c>
      <c r="E261">
        <v>48</v>
      </c>
      <c r="F261" s="23" t="s">
        <v>730</v>
      </c>
      <c r="G261" t="s">
        <v>358</v>
      </c>
      <c r="H261" s="27">
        <v>46052</v>
      </c>
      <c r="I261" t="s">
        <v>1025</v>
      </c>
      <c r="J261" t="s">
        <v>586</v>
      </c>
    </row>
    <row r="262" spans="1:10" x14ac:dyDescent="0.25">
      <c r="A262" t="s">
        <v>1026</v>
      </c>
      <c r="B262" t="s">
        <v>40</v>
      </c>
      <c r="C262" t="s">
        <v>584</v>
      </c>
      <c r="D262" t="s">
        <v>584</v>
      </c>
      <c r="E262">
        <v>48</v>
      </c>
      <c r="F262" s="23" t="s">
        <v>730</v>
      </c>
      <c r="G262" t="s">
        <v>358</v>
      </c>
      <c r="H262" s="27">
        <v>46052</v>
      </c>
      <c r="I262" t="s">
        <v>1025</v>
      </c>
      <c r="J262" t="s">
        <v>586</v>
      </c>
    </row>
    <row r="263" spans="1:10" x14ac:dyDescent="0.25">
      <c r="A263" t="s">
        <v>1027</v>
      </c>
      <c r="B263" t="s">
        <v>40</v>
      </c>
      <c r="C263" t="s">
        <v>257</v>
      </c>
      <c r="E263">
        <v>48</v>
      </c>
      <c r="F263" s="23" t="s">
        <v>730</v>
      </c>
      <c r="G263" t="s">
        <v>358</v>
      </c>
      <c r="H263" s="27">
        <v>46054</v>
      </c>
      <c r="I263" t="s">
        <v>1028</v>
      </c>
      <c r="J263" t="s">
        <v>586</v>
      </c>
    </row>
    <row r="264" spans="1:10" x14ac:dyDescent="0.25">
      <c r="A264" t="s">
        <v>1029</v>
      </c>
      <c r="B264" t="s">
        <v>40</v>
      </c>
      <c r="C264" t="s">
        <v>257</v>
      </c>
      <c r="E264">
        <v>48</v>
      </c>
      <c r="F264" s="23" t="s">
        <v>730</v>
      </c>
      <c r="G264" t="s">
        <v>358</v>
      </c>
      <c r="H264" s="27">
        <v>46054</v>
      </c>
      <c r="I264" t="s">
        <v>1028</v>
      </c>
      <c r="J264" t="s">
        <v>586</v>
      </c>
    </row>
    <row r="265" spans="1:10" x14ac:dyDescent="0.25">
      <c r="A265" t="s">
        <v>1030</v>
      </c>
      <c r="B265" t="s">
        <v>40</v>
      </c>
      <c r="C265" t="s">
        <v>257</v>
      </c>
      <c r="E265">
        <v>48</v>
      </c>
      <c r="F265" s="23" t="s">
        <v>730</v>
      </c>
      <c r="G265" t="s">
        <v>358</v>
      </c>
      <c r="H265" s="27">
        <v>46054</v>
      </c>
      <c r="I265" t="s">
        <v>1028</v>
      </c>
      <c r="J265" t="s">
        <v>586</v>
      </c>
    </row>
    <row r="266" spans="1:10" x14ac:dyDescent="0.25">
      <c r="A266" t="s">
        <v>1031</v>
      </c>
      <c r="B266" t="s">
        <v>40</v>
      </c>
      <c r="C266" t="s">
        <v>257</v>
      </c>
      <c r="E266">
        <v>48</v>
      </c>
      <c r="F266" s="23" t="s">
        <v>730</v>
      </c>
      <c r="G266" t="s">
        <v>358</v>
      </c>
      <c r="H266" s="27">
        <v>46054</v>
      </c>
      <c r="I266" t="s">
        <v>1028</v>
      </c>
      <c r="J266" t="s">
        <v>586</v>
      </c>
    </row>
    <row r="267" spans="1:10" x14ac:dyDescent="0.25">
      <c r="A267" t="s">
        <v>1032</v>
      </c>
      <c r="B267" t="s">
        <v>40</v>
      </c>
      <c r="C267" t="s">
        <v>584</v>
      </c>
      <c r="E267">
        <v>48</v>
      </c>
      <c r="F267" s="23" t="s">
        <v>730</v>
      </c>
      <c r="G267" t="s">
        <v>358</v>
      </c>
      <c r="H267" s="27">
        <v>46054</v>
      </c>
      <c r="I267" t="s">
        <v>1025</v>
      </c>
      <c r="J267" t="s">
        <v>586</v>
      </c>
    </row>
    <row r="268" spans="1:10" x14ac:dyDescent="0.25">
      <c r="A268" t="s">
        <v>1033</v>
      </c>
      <c r="B268" t="s">
        <v>40</v>
      </c>
      <c r="C268" t="s">
        <v>363</v>
      </c>
      <c r="D268" t="s">
        <v>378</v>
      </c>
      <c r="E268">
        <v>48</v>
      </c>
      <c r="F268" s="23" t="s">
        <v>730</v>
      </c>
      <c r="G268" t="s">
        <v>358</v>
      </c>
      <c r="H268" s="27">
        <v>46055</v>
      </c>
      <c r="I268" t="s">
        <v>1034</v>
      </c>
      <c r="J268" t="s">
        <v>586</v>
      </c>
    </row>
    <row r="269" spans="1:10" x14ac:dyDescent="0.25">
      <c r="A269" t="s">
        <v>1035</v>
      </c>
      <c r="B269" t="s">
        <v>40</v>
      </c>
      <c r="C269" t="s">
        <v>378</v>
      </c>
      <c r="D269" t="s">
        <v>378</v>
      </c>
      <c r="E269">
        <v>48</v>
      </c>
      <c r="F269" s="23" t="s">
        <v>730</v>
      </c>
      <c r="G269" t="s">
        <v>358</v>
      </c>
      <c r="H269" s="27">
        <v>46055</v>
      </c>
      <c r="J269" t="s">
        <v>586</v>
      </c>
    </row>
    <row r="270" spans="1:10" x14ac:dyDescent="0.25">
      <c r="A270" t="s">
        <v>1036</v>
      </c>
      <c r="B270" t="s">
        <v>40</v>
      </c>
      <c r="C270" t="s">
        <v>363</v>
      </c>
      <c r="D270" t="s">
        <v>378</v>
      </c>
      <c r="E270">
        <v>48</v>
      </c>
      <c r="F270" s="23" t="s">
        <v>730</v>
      </c>
      <c r="G270" t="s">
        <v>358</v>
      </c>
      <c r="H270" s="27">
        <v>46055</v>
      </c>
      <c r="I270" t="s">
        <v>1009</v>
      </c>
      <c r="J270" t="s">
        <v>586</v>
      </c>
    </row>
    <row r="271" spans="1:10" x14ac:dyDescent="0.25">
      <c r="A271" t="s">
        <v>1037</v>
      </c>
      <c r="B271" t="s">
        <v>40</v>
      </c>
      <c r="C271" t="s">
        <v>363</v>
      </c>
      <c r="D271" t="s">
        <v>378</v>
      </c>
      <c r="E271">
        <v>48</v>
      </c>
      <c r="F271" s="23" t="s">
        <v>730</v>
      </c>
      <c r="G271" t="s">
        <v>358</v>
      </c>
      <c r="H271" s="27">
        <v>46055</v>
      </c>
      <c r="I271" t="s">
        <v>1009</v>
      </c>
      <c r="J271" t="s">
        <v>586</v>
      </c>
    </row>
    <row r="272" spans="1:10" x14ac:dyDescent="0.25">
      <c r="A272" s="1" t="s">
        <v>1038</v>
      </c>
      <c r="B272" t="s">
        <v>40</v>
      </c>
      <c r="C272" t="s">
        <v>378</v>
      </c>
      <c r="D272" t="s">
        <v>378</v>
      </c>
      <c r="E272">
        <v>48</v>
      </c>
      <c r="F272" s="23" t="s">
        <v>730</v>
      </c>
      <c r="G272" t="s">
        <v>358</v>
      </c>
      <c r="H272" s="27">
        <v>46056</v>
      </c>
      <c r="I272" t="s">
        <v>1039</v>
      </c>
      <c r="J272" t="s">
        <v>586</v>
      </c>
    </row>
    <row r="273" spans="1:10" x14ac:dyDescent="0.25">
      <c r="A273" t="s">
        <v>1040</v>
      </c>
      <c r="B273" t="s">
        <v>40</v>
      </c>
      <c r="C273" t="s">
        <v>378</v>
      </c>
      <c r="D273" t="s">
        <v>378</v>
      </c>
      <c r="E273">
        <v>48</v>
      </c>
      <c r="F273" s="23" t="s">
        <v>730</v>
      </c>
      <c r="G273" t="s">
        <v>358</v>
      </c>
      <c r="H273" s="27">
        <v>46056</v>
      </c>
      <c r="I273" t="s">
        <v>1041</v>
      </c>
      <c r="J273" t="s">
        <v>586</v>
      </c>
    </row>
    <row r="274" spans="1:10" x14ac:dyDescent="0.25">
      <c r="A274" t="s">
        <v>1042</v>
      </c>
      <c r="B274" t="s">
        <v>40</v>
      </c>
      <c r="C274" t="s">
        <v>363</v>
      </c>
      <c r="D274" t="s">
        <v>584</v>
      </c>
      <c r="E274">
        <v>48</v>
      </c>
      <c r="F274" s="23" t="s">
        <v>730</v>
      </c>
      <c r="G274" t="s">
        <v>358</v>
      </c>
      <c r="H274" s="27">
        <v>46056</v>
      </c>
      <c r="I274" t="s">
        <v>1043</v>
      </c>
      <c r="J274" t="s">
        <v>586</v>
      </c>
    </row>
    <row r="275" spans="1:10" ht="15" customHeight="1" x14ac:dyDescent="0.25">
      <c r="A275" t="s">
        <v>1044</v>
      </c>
      <c r="B275" t="s">
        <v>40</v>
      </c>
      <c r="C275" t="s">
        <v>378</v>
      </c>
      <c r="D275" t="s">
        <v>245</v>
      </c>
      <c r="E275">
        <v>17</v>
      </c>
      <c r="F275" s="23" t="s">
        <v>730</v>
      </c>
      <c r="G275" t="s">
        <v>358</v>
      </c>
      <c r="H275" s="27">
        <v>46057</v>
      </c>
      <c r="I275" t="s">
        <v>1045</v>
      </c>
      <c r="J275" t="s">
        <v>586</v>
      </c>
    </row>
    <row r="276" spans="1:10" ht="15" customHeight="1" x14ac:dyDescent="0.25">
      <c r="A276" t="s">
        <v>1046</v>
      </c>
      <c r="B276" t="s">
        <v>40</v>
      </c>
      <c r="C276" t="s">
        <v>378</v>
      </c>
      <c r="D276" t="s">
        <v>245</v>
      </c>
      <c r="E276">
        <v>17</v>
      </c>
      <c r="F276" s="23" t="s">
        <v>730</v>
      </c>
      <c r="G276" t="s">
        <v>358</v>
      </c>
      <c r="H276" s="27">
        <v>46057</v>
      </c>
      <c r="I276" t="s">
        <v>1045</v>
      </c>
      <c r="J276" t="s">
        <v>586</v>
      </c>
    </row>
    <row r="277" spans="1:10" ht="15" customHeight="1" x14ac:dyDescent="0.25">
      <c r="A277" t="s">
        <v>1047</v>
      </c>
      <c r="B277" t="s">
        <v>40</v>
      </c>
      <c r="C277" t="s">
        <v>377</v>
      </c>
      <c r="D277" t="s">
        <v>245</v>
      </c>
      <c r="E277">
        <v>48</v>
      </c>
      <c r="F277" s="23" t="s">
        <v>730</v>
      </c>
      <c r="G277" t="s">
        <v>358</v>
      </c>
      <c r="H277" s="27">
        <v>46057</v>
      </c>
      <c r="J277" t="s">
        <v>586</v>
      </c>
    </row>
    <row r="278" spans="1:10" x14ac:dyDescent="0.25">
      <c r="A278" t="s">
        <v>1048</v>
      </c>
      <c r="B278" t="s">
        <v>40</v>
      </c>
      <c r="C278" t="s">
        <v>378</v>
      </c>
      <c r="D278" t="s">
        <v>584</v>
      </c>
      <c r="E278">
        <v>48</v>
      </c>
      <c r="F278" s="23" t="s">
        <v>730</v>
      </c>
      <c r="G278" t="s">
        <v>358</v>
      </c>
      <c r="H278" s="27">
        <v>46057</v>
      </c>
      <c r="I278" t="s">
        <v>1009</v>
      </c>
      <c r="J278" t="s">
        <v>586</v>
      </c>
    </row>
    <row r="279" spans="1:10" x14ac:dyDescent="0.25">
      <c r="A279" t="s">
        <v>1049</v>
      </c>
      <c r="B279" t="s">
        <v>40</v>
      </c>
      <c r="C279" t="s">
        <v>378</v>
      </c>
      <c r="D279" t="s">
        <v>584</v>
      </c>
      <c r="E279">
        <v>48</v>
      </c>
      <c r="F279" s="23" t="s">
        <v>730</v>
      </c>
      <c r="G279" t="s">
        <v>358</v>
      </c>
      <c r="H279" s="27">
        <v>46058</v>
      </c>
      <c r="I279" s="3" t="s">
        <v>695</v>
      </c>
      <c r="J279" t="s">
        <v>586</v>
      </c>
    </row>
    <row r="280" spans="1:10" ht="17.25" customHeight="1" x14ac:dyDescent="0.25">
      <c r="A280" s="13" t="s">
        <v>1050</v>
      </c>
      <c r="B280" t="s">
        <v>40</v>
      </c>
      <c r="C280" t="s">
        <v>377</v>
      </c>
      <c r="D280" t="s">
        <v>377</v>
      </c>
      <c r="E280">
        <v>48</v>
      </c>
      <c r="F280" s="23" t="s">
        <v>730</v>
      </c>
      <c r="G280" t="s">
        <v>358</v>
      </c>
      <c r="H280" s="27">
        <v>46062</v>
      </c>
      <c r="I280" t="s">
        <v>1051</v>
      </c>
      <c r="J280" t="s">
        <v>586</v>
      </c>
    </row>
    <row r="281" spans="1:10" x14ac:dyDescent="0.25">
      <c r="A281" t="s">
        <v>1052</v>
      </c>
      <c r="B281" t="s">
        <v>40</v>
      </c>
      <c r="C281" t="s">
        <v>377</v>
      </c>
      <c r="D281" t="s">
        <v>584</v>
      </c>
      <c r="E281">
        <v>48</v>
      </c>
      <c r="F281" s="23" t="s">
        <v>730</v>
      </c>
      <c r="G281" t="s">
        <v>358</v>
      </c>
      <c r="H281" s="27">
        <v>46063</v>
      </c>
      <c r="J281" t="s">
        <v>586</v>
      </c>
    </row>
    <row r="282" spans="1:10" x14ac:dyDescent="0.25">
      <c r="A282" t="s">
        <v>1053</v>
      </c>
      <c r="B282" t="s">
        <v>40</v>
      </c>
      <c r="C282" t="s">
        <v>377</v>
      </c>
      <c r="D282" t="s">
        <v>584</v>
      </c>
      <c r="E282">
        <v>48</v>
      </c>
      <c r="F282" s="23" t="s">
        <v>730</v>
      </c>
      <c r="G282" t="s">
        <v>358</v>
      </c>
      <c r="H282" s="27">
        <v>46063</v>
      </c>
      <c r="J282" t="s">
        <v>586</v>
      </c>
    </row>
    <row r="283" spans="1:10" x14ac:dyDescent="0.25">
      <c r="A283" t="s">
        <v>1054</v>
      </c>
      <c r="B283" t="s">
        <v>40</v>
      </c>
      <c r="C283" t="s">
        <v>377</v>
      </c>
      <c r="D283" t="s">
        <v>584</v>
      </c>
      <c r="E283">
        <v>48</v>
      </c>
      <c r="F283" s="23" t="s">
        <v>730</v>
      </c>
      <c r="G283" t="s">
        <v>358</v>
      </c>
      <c r="H283" s="27">
        <v>46063</v>
      </c>
      <c r="J283" t="s">
        <v>586</v>
      </c>
    </row>
    <row r="284" spans="1:10" x14ac:dyDescent="0.25">
      <c r="A284" t="s">
        <v>1055</v>
      </c>
      <c r="B284" t="s">
        <v>40</v>
      </c>
      <c r="C284" t="s">
        <v>377</v>
      </c>
      <c r="D284" t="s">
        <v>584</v>
      </c>
      <c r="E284">
        <v>48</v>
      </c>
      <c r="F284" s="23" t="s">
        <v>730</v>
      </c>
      <c r="G284" t="s">
        <v>358</v>
      </c>
      <c r="H284" s="27">
        <v>46063</v>
      </c>
      <c r="J284" t="s">
        <v>586</v>
      </c>
    </row>
    <row r="285" spans="1:10" x14ac:dyDescent="0.25">
      <c r="A285" t="s">
        <v>1056</v>
      </c>
      <c r="B285" t="s">
        <v>40</v>
      </c>
      <c r="C285" t="s">
        <v>584</v>
      </c>
      <c r="D285" t="s">
        <v>584</v>
      </c>
      <c r="E285">
        <v>48</v>
      </c>
      <c r="F285" s="23" t="s">
        <v>730</v>
      </c>
      <c r="G285" t="s">
        <v>358</v>
      </c>
      <c r="H285" s="27">
        <v>46065</v>
      </c>
      <c r="J285" t="s">
        <v>586</v>
      </c>
    </row>
    <row r="286" spans="1:10" x14ac:dyDescent="0.25">
      <c r="A286" t="s">
        <v>1057</v>
      </c>
      <c r="B286" t="s">
        <v>40</v>
      </c>
      <c r="C286" t="s">
        <v>584</v>
      </c>
      <c r="D286" t="s">
        <v>584</v>
      </c>
      <c r="E286">
        <v>48</v>
      </c>
      <c r="F286" s="23" t="s">
        <v>730</v>
      </c>
      <c r="G286" t="s">
        <v>358</v>
      </c>
      <c r="H286" s="27">
        <v>46065</v>
      </c>
      <c r="J286" t="s">
        <v>586</v>
      </c>
    </row>
    <row r="287" spans="1:10" x14ac:dyDescent="0.25">
      <c r="A287" t="s">
        <v>1058</v>
      </c>
      <c r="B287" t="s">
        <v>40</v>
      </c>
      <c r="C287" t="s">
        <v>584</v>
      </c>
      <c r="D287" t="s">
        <v>378</v>
      </c>
      <c r="E287">
        <v>48</v>
      </c>
      <c r="F287" s="23" t="s">
        <v>730</v>
      </c>
      <c r="G287" t="s">
        <v>358</v>
      </c>
      <c r="H287" s="27">
        <v>46066</v>
      </c>
      <c r="J287" t="s">
        <v>586</v>
      </c>
    </row>
    <row r="288" spans="1:10" ht="15" customHeight="1" x14ac:dyDescent="0.25">
      <c r="A288" t="s">
        <v>1059</v>
      </c>
      <c r="B288" t="s">
        <v>40</v>
      </c>
      <c r="C288" t="s">
        <v>257</v>
      </c>
      <c r="D288" t="s">
        <v>377</v>
      </c>
      <c r="E288">
        <v>48</v>
      </c>
      <c r="F288" s="23" t="s">
        <v>730</v>
      </c>
      <c r="G288" t="s">
        <v>358</v>
      </c>
      <c r="H288" s="27">
        <v>46068</v>
      </c>
      <c r="I288" t="s">
        <v>972</v>
      </c>
      <c r="J288" t="s">
        <v>586</v>
      </c>
    </row>
    <row r="289" spans="1:10" ht="15" customHeight="1" x14ac:dyDescent="0.25">
      <c r="A289" t="s">
        <v>1060</v>
      </c>
      <c r="B289" t="s">
        <v>40</v>
      </c>
      <c r="C289" t="s">
        <v>257</v>
      </c>
      <c r="D289" t="s">
        <v>377</v>
      </c>
      <c r="E289">
        <v>48</v>
      </c>
      <c r="F289" s="23" t="s">
        <v>730</v>
      </c>
      <c r="G289" t="s">
        <v>358</v>
      </c>
      <c r="H289" s="27">
        <v>46068</v>
      </c>
      <c r="I289" t="s">
        <v>972</v>
      </c>
      <c r="J289" t="s">
        <v>586</v>
      </c>
    </row>
    <row r="290" spans="1:10" ht="15" customHeight="1" x14ac:dyDescent="0.25">
      <c r="A290" t="s">
        <v>1061</v>
      </c>
      <c r="B290" t="s">
        <v>40</v>
      </c>
      <c r="C290" t="s">
        <v>584</v>
      </c>
      <c r="D290" t="s">
        <v>377</v>
      </c>
      <c r="E290">
        <v>48</v>
      </c>
      <c r="F290" s="23" t="s">
        <v>730</v>
      </c>
      <c r="G290" t="s">
        <v>358</v>
      </c>
      <c r="H290" s="27">
        <v>46068</v>
      </c>
      <c r="J290" t="s">
        <v>586</v>
      </c>
    </row>
    <row r="291" spans="1:10" ht="15" customHeight="1" x14ac:dyDescent="0.25">
      <c r="A291" t="s">
        <v>1062</v>
      </c>
      <c r="B291" t="s">
        <v>40</v>
      </c>
      <c r="C291" t="s">
        <v>584</v>
      </c>
      <c r="D291" t="s">
        <v>377</v>
      </c>
      <c r="E291">
        <v>48</v>
      </c>
      <c r="F291" s="23" t="s">
        <v>730</v>
      </c>
      <c r="G291" t="s">
        <v>358</v>
      </c>
      <c r="H291" s="27">
        <v>46068</v>
      </c>
      <c r="J291" t="s">
        <v>586</v>
      </c>
    </row>
    <row r="292" spans="1:10" ht="15" customHeight="1" x14ac:dyDescent="0.25">
      <c r="A292" t="s">
        <v>1063</v>
      </c>
      <c r="B292" t="s">
        <v>40</v>
      </c>
      <c r="C292" t="s">
        <v>245</v>
      </c>
      <c r="D292" t="s">
        <v>377</v>
      </c>
      <c r="E292">
        <v>48</v>
      </c>
      <c r="F292" s="23" t="s">
        <v>730</v>
      </c>
      <c r="G292" t="s">
        <v>358</v>
      </c>
      <c r="H292" s="27">
        <v>46068</v>
      </c>
      <c r="J292" t="s">
        <v>586</v>
      </c>
    </row>
    <row r="293" spans="1:10" ht="15" customHeight="1" x14ac:dyDescent="0.25">
      <c r="A293" t="s">
        <v>1064</v>
      </c>
      <c r="B293" t="s">
        <v>40</v>
      </c>
      <c r="C293" t="s">
        <v>378</v>
      </c>
      <c r="D293" t="s">
        <v>377</v>
      </c>
      <c r="E293">
        <v>48</v>
      </c>
      <c r="F293" s="23" t="s">
        <v>730</v>
      </c>
      <c r="G293" t="s">
        <v>358</v>
      </c>
      <c r="H293" s="27">
        <v>46068</v>
      </c>
      <c r="J293" t="s">
        <v>586</v>
      </c>
    </row>
    <row r="294" spans="1:10" ht="15" customHeight="1" x14ac:dyDescent="0.25">
      <c r="A294" t="s">
        <v>1065</v>
      </c>
      <c r="B294" t="s">
        <v>40</v>
      </c>
      <c r="C294" t="s">
        <v>584</v>
      </c>
      <c r="D294" t="s">
        <v>377</v>
      </c>
      <c r="E294">
        <v>48</v>
      </c>
      <c r="F294" s="23" t="s">
        <v>730</v>
      </c>
      <c r="G294" t="s">
        <v>358</v>
      </c>
      <c r="H294" s="27">
        <v>46068</v>
      </c>
      <c r="J294" t="s">
        <v>586</v>
      </c>
    </row>
    <row r="295" spans="1:10" ht="15" customHeight="1" x14ac:dyDescent="0.25">
      <c r="A295" t="s">
        <v>1066</v>
      </c>
      <c r="B295" t="s">
        <v>40</v>
      </c>
      <c r="C295" t="s">
        <v>257</v>
      </c>
      <c r="D295" t="s">
        <v>377</v>
      </c>
      <c r="E295">
        <v>48</v>
      </c>
      <c r="F295" s="23" t="s">
        <v>730</v>
      </c>
      <c r="G295" t="s">
        <v>358</v>
      </c>
      <c r="H295" s="27">
        <v>46068</v>
      </c>
      <c r="I295" t="s">
        <v>1067</v>
      </c>
      <c r="J295" t="s">
        <v>586</v>
      </c>
    </row>
    <row r="296" spans="1:10" ht="15" customHeight="1" x14ac:dyDescent="0.25">
      <c r="A296" t="s">
        <v>1068</v>
      </c>
      <c r="B296" t="s">
        <v>40</v>
      </c>
      <c r="C296" t="s">
        <v>363</v>
      </c>
      <c r="D296" t="s">
        <v>377</v>
      </c>
      <c r="E296">
        <v>523</v>
      </c>
      <c r="F296" s="23" t="s">
        <v>438</v>
      </c>
      <c r="G296" t="s">
        <v>358</v>
      </c>
      <c r="H296" s="27">
        <v>46070</v>
      </c>
      <c r="I296" t="s">
        <v>1069</v>
      </c>
      <c r="J296" t="s">
        <v>586</v>
      </c>
    </row>
    <row r="297" spans="1:10" ht="15" customHeight="1" x14ac:dyDescent="0.25">
      <c r="A297" t="s">
        <v>1070</v>
      </c>
      <c r="B297" t="s">
        <v>40</v>
      </c>
      <c r="C297" t="s">
        <v>377</v>
      </c>
      <c r="D297" t="s">
        <v>377</v>
      </c>
      <c r="E297">
        <v>48</v>
      </c>
      <c r="F297" s="23" t="s">
        <v>730</v>
      </c>
      <c r="G297" t="s">
        <v>358</v>
      </c>
      <c r="H297" s="27">
        <v>46070</v>
      </c>
      <c r="J297" t="s">
        <v>586</v>
      </c>
    </row>
    <row r="298" spans="1:10" ht="15" customHeight="1" x14ac:dyDescent="0.25">
      <c r="A298" s="102" t="s">
        <v>1071</v>
      </c>
      <c r="B298" t="s">
        <v>40</v>
      </c>
      <c r="C298" t="s">
        <v>377</v>
      </c>
      <c r="D298" t="s">
        <v>377</v>
      </c>
      <c r="E298">
        <v>48</v>
      </c>
      <c r="F298" s="23" t="s">
        <v>730</v>
      </c>
      <c r="G298" t="s">
        <v>358</v>
      </c>
      <c r="H298" s="27">
        <v>46070</v>
      </c>
      <c r="J298" t="s">
        <v>586</v>
      </c>
    </row>
    <row r="299" spans="1:10" ht="15" customHeight="1" x14ac:dyDescent="0.25">
      <c r="A299" s="13" t="s">
        <v>1072</v>
      </c>
      <c r="B299" t="s">
        <v>40</v>
      </c>
      <c r="C299" t="s">
        <v>245</v>
      </c>
      <c r="D299" t="s">
        <v>414</v>
      </c>
      <c r="E299">
        <v>48</v>
      </c>
      <c r="F299" s="23" t="s">
        <v>730</v>
      </c>
      <c r="G299" t="s">
        <v>358</v>
      </c>
      <c r="H299" s="27">
        <v>46072</v>
      </c>
      <c r="J299" t="s">
        <v>586</v>
      </c>
    </row>
    <row r="300" spans="1:10" ht="15" customHeight="1" x14ac:dyDescent="0.25">
      <c r="A300" s="13" t="s">
        <v>1073</v>
      </c>
      <c r="B300" t="s">
        <v>40</v>
      </c>
      <c r="C300" t="s">
        <v>414</v>
      </c>
      <c r="D300" t="s">
        <v>377</v>
      </c>
      <c r="E300">
        <v>48</v>
      </c>
      <c r="F300" s="23" t="s">
        <v>730</v>
      </c>
      <c r="G300" t="s">
        <v>358</v>
      </c>
      <c r="H300" s="27">
        <v>46075</v>
      </c>
      <c r="J300" t="s">
        <v>586</v>
      </c>
    </row>
    <row r="301" spans="1:10" ht="15" customHeight="1" x14ac:dyDescent="0.25">
      <c r="A301" t="s">
        <v>1074</v>
      </c>
      <c r="B301" t="s">
        <v>40</v>
      </c>
      <c r="C301" t="s">
        <v>378</v>
      </c>
      <c r="D301" t="s">
        <v>377</v>
      </c>
      <c r="E301">
        <v>48</v>
      </c>
      <c r="F301" s="23" t="s">
        <v>730</v>
      </c>
      <c r="G301" t="s">
        <v>358</v>
      </c>
      <c r="H301" s="27">
        <v>46075</v>
      </c>
      <c r="J301" t="s">
        <v>586</v>
      </c>
    </row>
    <row r="302" spans="1:10" ht="15" customHeight="1" x14ac:dyDescent="0.25">
      <c r="A302" t="s">
        <v>1075</v>
      </c>
      <c r="B302" t="s">
        <v>40</v>
      </c>
      <c r="C302" t="s">
        <v>414</v>
      </c>
      <c r="D302" t="s">
        <v>377</v>
      </c>
      <c r="E302">
        <v>48</v>
      </c>
      <c r="F302" s="23" t="s">
        <v>730</v>
      </c>
      <c r="G302" t="s">
        <v>358</v>
      </c>
      <c r="H302" s="27">
        <v>46075</v>
      </c>
      <c r="J302" t="s">
        <v>586</v>
      </c>
    </row>
    <row r="303" spans="1:10" ht="15" customHeight="1" x14ac:dyDescent="0.25">
      <c r="A303" t="s">
        <v>1076</v>
      </c>
      <c r="B303" t="s">
        <v>40</v>
      </c>
      <c r="C303" t="s">
        <v>363</v>
      </c>
      <c r="D303" t="s">
        <v>377</v>
      </c>
      <c r="E303">
        <v>48</v>
      </c>
      <c r="F303" s="23" t="s">
        <v>730</v>
      </c>
      <c r="G303" t="s">
        <v>358</v>
      </c>
      <c r="H303" s="27">
        <v>46075</v>
      </c>
      <c r="J303" t="s">
        <v>586</v>
      </c>
    </row>
    <row r="304" spans="1:10" ht="14.65" customHeight="1" x14ac:dyDescent="0.25">
      <c r="A304" t="s">
        <v>1077</v>
      </c>
      <c r="B304" t="s">
        <v>40</v>
      </c>
      <c r="C304" t="s">
        <v>377</v>
      </c>
      <c r="D304" t="s">
        <v>414</v>
      </c>
      <c r="E304">
        <v>48</v>
      </c>
      <c r="F304" s="23" t="s">
        <v>730</v>
      </c>
      <c r="G304" t="s">
        <v>358</v>
      </c>
      <c r="H304" s="27">
        <v>45346</v>
      </c>
      <c r="J304" t="s">
        <v>586</v>
      </c>
    </row>
    <row r="305" spans="1:10" ht="15" customHeight="1" x14ac:dyDescent="0.25">
      <c r="A305" t="s">
        <v>1078</v>
      </c>
      <c r="B305" t="s">
        <v>40</v>
      </c>
      <c r="C305" t="s">
        <v>363</v>
      </c>
      <c r="D305" t="s">
        <v>414</v>
      </c>
      <c r="E305">
        <v>48</v>
      </c>
      <c r="F305" s="23" t="s">
        <v>730</v>
      </c>
      <c r="G305" t="s">
        <v>358</v>
      </c>
      <c r="H305" s="27">
        <v>45347</v>
      </c>
      <c r="J305" t="s">
        <v>586</v>
      </c>
    </row>
    <row r="306" spans="1:10" ht="15" customHeight="1" x14ac:dyDescent="0.25">
      <c r="A306" s="13" t="s">
        <v>1079</v>
      </c>
      <c r="B306" t="s">
        <v>40</v>
      </c>
      <c r="C306" t="s">
        <v>414</v>
      </c>
      <c r="D306" t="s">
        <v>377</v>
      </c>
      <c r="E306">
        <v>48</v>
      </c>
      <c r="F306" s="23" t="s">
        <v>730</v>
      </c>
      <c r="G306" t="s">
        <v>358</v>
      </c>
      <c r="H306" s="27">
        <v>45348</v>
      </c>
      <c r="J306" t="s">
        <v>586</v>
      </c>
    </row>
    <row r="307" spans="1:10" ht="15" customHeight="1" x14ac:dyDescent="0.25">
      <c r="A307" t="s">
        <v>1080</v>
      </c>
      <c r="B307" t="s">
        <v>40</v>
      </c>
      <c r="C307" t="s">
        <v>245</v>
      </c>
      <c r="D307" t="s">
        <v>245</v>
      </c>
      <c r="E307">
        <v>45</v>
      </c>
      <c r="F307" s="23" t="s">
        <v>730</v>
      </c>
      <c r="G307" t="s">
        <v>358</v>
      </c>
      <c r="H307" s="27">
        <v>46080</v>
      </c>
      <c r="I307" t="s">
        <v>1081</v>
      </c>
      <c r="J307" t="s">
        <v>586</v>
      </c>
    </row>
    <row r="308" spans="1:10" ht="15" customHeight="1" x14ac:dyDescent="0.25">
      <c r="A308" t="s">
        <v>1082</v>
      </c>
      <c r="B308" t="s">
        <v>40</v>
      </c>
      <c r="C308" t="s">
        <v>377</v>
      </c>
      <c r="E308">
        <v>48</v>
      </c>
      <c r="F308" s="23" t="s">
        <v>730</v>
      </c>
      <c r="G308" t="s">
        <v>358</v>
      </c>
      <c r="H308" s="27">
        <v>46081</v>
      </c>
      <c r="J308" t="s">
        <v>586</v>
      </c>
    </row>
    <row r="309" spans="1:10" ht="15" customHeight="1" x14ac:dyDescent="0.25">
      <c r="A309" t="s">
        <v>1083</v>
      </c>
      <c r="B309" t="s">
        <v>40</v>
      </c>
      <c r="C309" t="s">
        <v>245</v>
      </c>
      <c r="D309" t="s">
        <v>377</v>
      </c>
      <c r="E309">
        <v>48</v>
      </c>
      <c r="F309" s="23" t="s">
        <v>730</v>
      </c>
      <c r="G309" t="s">
        <v>358</v>
      </c>
      <c r="H309" s="27">
        <v>46082</v>
      </c>
      <c r="I309" t="s">
        <v>1081</v>
      </c>
      <c r="J309" t="s">
        <v>586</v>
      </c>
    </row>
    <row r="310" spans="1:10" ht="15" customHeight="1" x14ac:dyDescent="0.25">
      <c r="A310" t="s">
        <v>1084</v>
      </c>
      <c r="B310" t="s">
        <v>40</v>
      </c>
      <c r="C310" t="s">
        <v>378</v>
      </c>
      <c r="D310" t="s">
        <v>377</v>
      </c>
      <c r="E310">
        <v>48</v>
      </c>
      <c r="F310" s="23" t="s">
        <v>730</v>
      </c>
      <c r="G310" t="s">
        <v>358</v>
      </c>
      <c r="H310" s="27">
        <v>46082</v>
      </c>
      <c r="J310" t="s">
        <v>586</v>
      </c>
    </row>
    <row r="311" spans="1:10" ht="15" customHeight="1" x14ac:dyDescent="0.25">
      <c r="A311" t="s">
        <v>1085</v>
      </c>
      <c r="B311" t="s">
        <v>40</v>
      </c>
      <c r="C311" t="s">
        <v>378</v>
      </c>
      <c r="D311" t="s">
        <v>377</v>
      </c>
      <c r="E311">
        <v>48</v>
      </c>
      <c r="F311" s="23" t="s">
        <v>730</v>
      </c>
      <c r="G311" t="s">
        <v>358</v>
      </c>
      <c r="H311" s="27">
        <v>46082</v>
      </c>
      <c r="J311" t="s">
        <v>388</v>
      </c>
    </row>
    <row r="312" spans="1:10" ht="15" customHeight="1" x14ac:dyDescent="0.25">
      <c r="A312" t="s">
        <v>1086</v>
      </c>
      <c r="B312" t="s">
        <v>40</v>
      </c>
      <c r="C312" t="s">
        <v>378</v>
      </c>
      <c r="D312" t="s">
        <v>377</v>
      </c>
      <c r="E312">
        <v>48</v>
      </c>
      <c r="F312" s="23" t="s">
        <v>730</v>
      </c>
      <c r="G312" t="s">
        <v>358</v>
      </c>
      <c r="H312" s="27">
        <v>46082</v>
      </c>
      <c r="J312" t="s">
        <v>586</v>
      </c>
    </row>
    <row r="313" spans="1:10" ht="15" customHeight="1" x14ac:dyDescent="0.25">
      <c r="A313" t="s">
        <v>1087</v>
      </c>
      <c r="B313" t="s">
        <v>40</v>
      </c>
      <c r="C313" t="s">
        <v>363</v>
      </c>
      <c r="D313" t="s">
        <v>414</v>
      </c>
      <c r="E313">
        <v>48</v>
      </c>
      <c r="F313" s="31" t="s">
        <v>730</v>
      </c>
      <c r="G313" t="s">
        <v>358</v>
      </c>
      <c r="H313" s="27">
        <v>46084</v>
      </c>
      <c r="J313" t="s">
        <v>388</v>
      </c>
    </row>
    <row r="314" spans="1:10" ht="15" customHeight="1" x14ac:dyDescent="0.25">
      <c r="A314" t="s">
        <v>1088</v>
      </c>
      <c r="B314" t="s">
        <v>40</v>
      </c>
      <c r="C314" t="s">
        <v>363</v>
      </c>
      <c r="D314" t="s">
        <v>414</v>
      </c>
      <c r="E314">
        <v>48</v>
      </c>
      <c r="F314" s="31" t="s">
        <v>730</v>
      </c>
      <c r="G314" t="s">
        <v>358</v>
      </c>
      <c r="H314" s="27">
        <v>46084</v>
      </c>
      <c r="J314" t="s">
        <v>388</v>
      </c>
    </row>
    <row r="315" spans="1:10" ht="15" customHeight="1" x14ac:dyDescent="0.25">
      <c r="A315" t="s">
        <v>1089</v>
      </c>
      <c r="B315" t="s">
        <v>40</v>
      </c>
      <c r="C315" t="s">
        <v>377</v>
      </c>
      <c r="D315" t="s">
        <v>414</v>
      </c>
      <c r="E315">
        <v>48</v>
      </c>
      <c r="F315" s="31" t="s">
        <v>730</v>
      </c>
      <c r="G315" t="s">
        <v>358</v>
      </c>
      <c r="H315" s="27">
        <v>46084</v>
      </c>
      <c r="J315" t="s">
        <v>388</v>
      </c>
    </row>
    <row r="316" spans="1:10" ht="15" customHeight="1" x14ac:dyDescent="0.25">
      <c r="A316" t="s">
        <v>1090</v>
      </c>
      <c r="B316" t="s">
        <v>40</v>
      </c>
      <c r="C316" t="s">
        <v>377</v>
      </c>
      <c r="D316" t="s">
        <v>363</v>
      </c>
      <c r="E316">
        <v>48</v>
      </c>
      <c r="F316" t="s">
        <v>397</v>
      </c>
      <c r="H316" s="27">
        <v>46085</v>
      </c>
      <c r="J316" t="s">
        <v>388</v>
      </c>
    </row>
    <row r="317" spans="1:10" ht="15" customHeight="1" x14ac:dyDescent="0.25">
      <c r="A317" t="s">
        <v>1091</v>
      </c>
      <c r="B317" t="s">
        <v>40</v>
      </c>
      <c r="C317" t="s">
        <v>377</v>
      </c>
      <c r="D317" t="s">
        <v>363</v>
      </c>
      <c r="E317">
        <v>48</v>
      </c>
      <c r="F317" t="s">
        <v>397</v>
      </c>
      <c r="H317" s="27">
        <v>46085</v>
      </c>
      <c r="J317" t="s">
        <v>388</v>
      </c>
    </row>
    <row r="318" spans="1:10" ht="15" customHeight="1" x14ac:dyDescent="0.25">
      <c r="A318" t="s">
        <v>1092</v>
      </c>
      <c r="B318" t="s">
        <v>40</v>
      </c>
      <c r="C318" t="s">
        <v>363</v>
      </c>
      <c r="D318" t="s">
        <v>363</v>
      </c>
      <c r="E318">
        <v>48</v>
      </c>
      <c r="F318" t="s">
        <v>397</v>
      </c>
      <c r="G318" t="s">
        <v>358</v>
      </c>
      <c r="H318" s="27">
        <v>46087</v>
      </c>
      <c r="J318" t="s">
        <v>388</v>
      </c>
    </row>
    <row r="319" spans="1:10" ht="15" customHeight="1" x14ac:dyDescent="0.25">
      <c r="A319" t="s">
        <v>1093</v>
      </c>
      <c r="B319" t="s">
        <v>40</v>
      </c>
      <c r="C319" t="s">
        <v>363</v>
      </c>
      <c r="D319" t="s">
        <v>363</v>
      </c>
      <c r="E319">
        <v>48</v>
      </c>
      <c r="F319" t="s">
        <v>397</v>
      </c>
      <c r="G319" t="s">
        <v>358</v>
      </c>
      <c r="H319" s="27">
        <v>46087</v>
      </c>
      <c r="J319" t="s">
        <v>388</v>
      </c>
    </row>
    <row r="320" spans="1:10" ht="15" customHeight="1" x14ac:dyDescent="0.25">
      <c r="A320" t="s">
        <v>1094</v>
      </c>
      <c r="B320" t="s">
        <v>40</v>
      </c>
      <c r="C320" t="s">
        <v>245</v>
      </c>
      <c r="D320" t="s">
        <v>363</v>
      </c>
      <c r="E320">
        <v>48</v>
      </c>
      <c r="F320" t="s">
        <v>397</v>
      </c>
      <c r="G320" t="s">
        <v>358</v>
      </c>
      <c r="H320" s="27">
        <v>46087</v>
      </c>
      <c r="J320" t="s">
        <v>388</v>
      </c>
    </row>
    <row r="321" spans="1:10" ht="15" customHeight="1" x14ac:dyDescent="0.25">
      <c r="A321" t="s">
        <v>1095</v>
      </c>
      <c r="B321" t="s">
        <v>40</v>
      </c>
      <c r="C321" t="s">
        <v>245</v>
      </c>
      <c r="D321" t="s">
        <v>363</v>
      </c>
      <c r="E321">
        <v>48</v>
      </c>
      <c r="F321" t="s">
        <v>397</v>
      </c>
      <c r="G321" t="s">
        <v>358</v>
      </c>
      <c r="H321" s="27">
        <v>46087</v>
      </c>
      <c r="I321" t="s">
        <v>1096</v>
      </c>
      <c r="J321" t="s">
        <v>388</v>
      </c>
    </row>
    <row r="322" spans="1:10" ht="15" customHeight="1" x14ac:dyDescent="0.25">
      <c r="A322" t="s">
        <v>1097</v>
      </c>
      <c r="B322" t="s">
        <v>40</v>
      </c>
      <c r="C322" t="s">
        <v>378</v>
      </c>
      <c r="D322" t="s">
        <v>377</v>
      </c>
      <c r="E322">
        <v>48</v>
      </c>
      <c r="F322" t="s">
        <v>397</v>
      </c>
      <c r="G322" t="s">
        <v>358</v>
      </c>
      <c r="H322" s="27">
        <v>46088</v>
      </c>
      <c r="J322" t="s">
        <v>388</v>
      </c>
    </row>
    <row r="323" spans="1:10" ht="15" customHeight="1" x14ac:dyDescent="0.25">
      <c r="A323" t="s">
        <v>1098</v>
      </c>
      <c r="B323" t="s">
        <v>40</v>
      </c>
      <c r="C323" t="s">
        <v>414</v>
      </c>
      <c r="D323" t="s">
        <v>377</v>
      </c>
      <c r="E323">
        <v>48</v>
      </c>
      <c r="F323" t="s">
        <v>397</v>
      </c>
      <c r="G323" t="s">
        <v>358</v>
      </c>
      <c r="H323" s="27">
        <v>46088</v>
      </c>
      <c r="J323" t="s">
        <v>388</v>
      </c>
    </row>
    <row r="324" spans="1:10" ht="15" customHeight="1" x14ac:dyDescent="0.25">
      <c r="A324" t="s">
        <v>1099</v>
      </c>
      <c r="B324" t="s">
        <v>40</v>
      </c>
      <c r="C324" t="s">
        <v>363</v>
      </c>
      <c r="D324" t="s">
        <v>414</v>
      </c>
      <c r="E324">
        <v>48</v>
      </c>
      <c r="F324" t="s">
        <v>397</v>
      </c>
      <c r="G324" t="s">
        <v>358</v>
      </c>
      <c r="H324" s="27">
        <v>46089</v>
      </c>
      <c r="J324" t="s">
        <v>388</v>
      </c>
    </row>
    <row r="325" spans="1:10" ht="15" customHeight="1" x14ac:dyDescent="0.25">
      <c r="A325" t="s">
        <v>1100</v>
      </c>
      <c r="B325" t="s">
        <v>40</v>
      </c>
      <c r="C325" t="s">
        <v>377</v>
      </c>
      <c r="D325" t="s">
        <v>363</v>
      </c>
      <c r="E325">
        <v>48</v>
      </c>
      <c r="F325" t="s">
        <v>397</v>
      </c>
      <c r="G325" t="s">
        <v>358</v>
      </c>
      <c r="H325" s="27">
        <v>46090</v>
      </c>
      <c r="J325" t="s">
        <v>388</v>
      </c>
    </row>
    <row r="326" spans="1:10" ht="15" customHeight="1" x14ac:dyDescent="0.25">
      <c r="A326" s="13" t="s">
        <v>1101</v>
      </c>
      <c r="B326" t="s">
        <v>40</v>
      </c>
      <c r="C326" t="s">
        <v>414</v>
      </c>
      <c r="D326" t="s">
        <v>414</v>
      </c>
      <c r="E326">
        <v>48</v>
      </c>
      <c r="F326" t="s">
        <v>397</v>
      </c>
      <c r="G326" t="s">
        <v>358</v>
      </c>
      <c r="H326" s="27">
        <v>46091</v>
      </c>
      <c r="J326" t="s">
        <v>388</v>
      </c>
    </row>
    <row r="327" spans="1:10" ht="15" customHeight="1" x14ac:dyDescent="0.25">
      <c r="A327" t="s">
        <v>1102</v>
      </c>
      <c r="B327" t="s">
        <v>40</v>
      </c>
      <c r="C327" t="s">
        <v>414</v>
      </c>
      <c r="D327" t="s">
        <v>414</v>
      </c>
      <c r="E327">
        <v>48</v>
      </c>
      <c r="F327" t="s">
        <v>397</v>
      </c>
      <c r="G327" t="s">
        <v>358</v>
      </c>
      <c r="H327" s="27">
        <v>46091</v>
      </c>
      <c r="J327" t="s">
        <v>388</v>
      </c>
    </row>
    <row r="328" spans="1:10" ht="15" customHeight="1" x14ac:dyDescent="0.25">
      <c r="A328" t="s">
        <v>1103</v>
      </c>
      <c r="B328" t="s">
        <v>40</v>
      </c>
      <c r="C328" t="s">
        <v>363</v>
      </c>
      <c r="D328" t="s">
        <v>245</v>
      </c>
      <c r="E328">
        <v>48</v>
      </c>
      <c r="F328" t="s">
        <v>397</v>
      </c>
      <c r="G328" t="s">
        <v>358</v>
      </c>
      <c r="H328" s="27">
        <v>46092</v>
      </c>
      <c r="J328" t="s">
        <v>388</v>
      </c>
    </row>
    <row r="329" spans="1:10" ht="15" customHeight="1" x14ac:dyDescent="0.25">
      <c r="A329" t="s">
        <v>1104</v>
      </c>
      <c r="B329" t="s">
        <v>40</v>
      </c>
      <c r="C329" t="s">
        <v>363</v>
      </c>
      <c r="D329" t="s">
        <v>245</v>
      </c>
      <c r="E329">
        <v>48</v>
      </c>
      <c r="F329" t="s">
        <v>397</v>
      </c>
      <c r="G329" t="s">
        <v>358</v>
      </c>
      <c r="H329" s="27">
        <v>46092</v>
      </c>
      <c r="J329" t="s">
        <v>388</v>
      </c>
    </row>
    <row r="330" spans="1:10" ht="15" customHeight="1" x14ac:dyDescent="0.25">
      <c r="A330" t="s">
        <v>1105</v>
      </c>
      <c r="B330" t="s">
        <v>40</v>
      </c>
      <c r="C330" t="s">
        <v>363</v>
      </c>
      <c r="D330" t="s">
        <v>378</v>
      </c>
      <c r="E330">
        <v>48</v>
      </c>
      <c r="F330" t="s">
        <v>397</v>
      </c>
      <c r="G330" t="s">
        <v>358</v>
      </c>
      <c r="H330" s="27">
        <v>46093</v>
      </c>
      <c r="J330" t="s">
        <v>388</v>
      </c>
    </row>
    <row r="331" spans="1:10" ht="15" customHeight="1" x14ac:dyDescent="0.25">
      <c r="A331" t="s">
        <v>1106</v>
      </c>
      <c r="B331" t="s">
        <v>40</v>
      </c>
      <c r="C331" t="s">
        <v>245</v>
      </c>
      <c r="D331" t="s">
        <v>378</v>
      </c>
      <c r="E331">
        <v>48</v>
      </c>
      <c r="F331" t="s">
        <v>397</v>
      </c>
      <c r="G331" t="s">
        <v>358</v>
      </c>
      <c r="H331" s="27">
        <v>46094</v>
      </c>
      <c r="I331" t="s">
        <v>1107</v>
      </c>
      <c r="J331" t="s">
        <v>388</v>
      </c>
    </row>
    <row r="332" spans="1:10" ht="15" customHeight="1" x14ac:dyDescent="0.25">
      <c r="A332" t="s">
        <v>1108</v>
      </c>
      <c r="B332" t="s">
        <v>40</v>
      </c>
      <c r="C332" t="s">
        <v>245</v>
      </c>
      <c r="D332" t="s">
        <v>245</v>
      </c>
      <c r="E332">
        <v>48</v>
      </c>
      <c r="F332" t="s">
        <v>397</v>
      </c>
      <c r="G332" t="s">
        <v>358</v>
      </c>
      <c r="H332" s="27">
        <v>46094</v>
      </c>
      <c r="I332" t="s">
        <v>1109</v>
      </c>
      <c r="J332" t="s">
        <v>388</v>
      </c>
    </row>
    <row r="333" spans="1:10" ht="15" customHeight="1" x14ac:dyDescent="0.25">
      <c r="A333" t="s">
        <v>1110</v>
      </c>
      <c r="B333" t="s">
        <v>40</v>
      </c>
      <c r="C333" t="s">
        <v>378</v>
      </c>
      <c r="D333" t="s">
        <v>245</v>
      </c>
      <c r="E333">
        <v>168</v>
      </c>
      <c r="F333" s="23" t="s">
        <v>271</v>
      </c>
      <c r="G333" t="s">
        <v>358</v>
      </c>
      <c r="H333" s="27">
        <v>46095</v>
      </c>
      <c r="I333" t="s">
        <v>1111</v>
      </c>
      <c r="J333" t="s">
        <v>388</v>
      </c>
    </row>
    <row r="334" spans="1:10" ht="15" customHeight="1" x14ac:dyDescent="0.25">
      <c r="A334" t="s">
        <v>1112</v>
      </c>
      <c r="B334" t="s">
        <v>40</v>
      </c>
      <c r="C334" t="s">
        <v>378</v>
      </c>
      <c r="D334" t="s">
        <v>245</v>
      </c>
      <c r="E334">
        <v>168</v>
      </c>
      <c r="F334" s="23" t="s">
        <v>271</v>
      </c>
      <c r="G334" t="s">
        <v>358</v>
      </c>
      <c r="H334" s="27">
        <v>46095</v>
      </c>
      <c r="I334" t="s">
        <v>1111</v>
      </c>
      <c r="J334" t="s">
        <v>388</v>
      </c>
    </row>
    <row r="335" spans="1:10" ht="15" customHeight="1" x14ac:dyDescent="0.25">
      <c r="A335" t="s">
        <v>1113</v>
      </c>
      <c r="B335" t="s">
        <v>40</v>
      </c>
      <c r="C335" t="s">
        <v>378</v>
      </c>
      <c r="D335" t="s">
        <v>245</v>
      </c>
      <c r="E335">
        <v>168</v>
      </c>
      <c r="F335" s="23" t="s">
        <v>271</v>
      </c>
      <c r="G335" t="s">
        <v>358</v>
      </c>
      <c r="H335" s="27">
        <v>46095</v>
      </c>
      <c r="I335" t="s">
        <v>1111</v>
      </c>
      <c r="J335" t="s">
        <v>388</v>
      </c>
    </row>
    <row r="336" spans="1:10" ht="15" customHeight="1" x14ac:dyDescent="0.25">
      <c r="A336" t="s">
        <v>1114</v>
      </c>
      <c r="B336" t="s">
        <v>40</v>
      </c>
      <c r="C336" t="s">
        <v>378</v>
      </c>
      <c r="D336" t="s">
        <v>245</v>
      </c>
      <c r="E336">
        <v>48</v>
      </c>
      <c r="F336" t="s">
        <v>397</v>
      </c>
      <c r="G336" t="s">
        <v>358</v>
      </c>
      <c r="H336" s="27">
        <v>46095</v>
      </c>
      <c r="J336" t="s">
        <v>388</v>
      </c>
    </row>
    <row r="337" spans="1:10" ht="15" customHeight="1" x14ac:dyDescent="0.25">
      <c r="A337" t="s">
        <v>1115</v>
      </c>
      <c r="B337" t="s">
        <v>40</v>
      </c>
      <c r="C337" t="s">
        <v>363</v>
      </c>
      <c r="D337" t="s">
        <v>414</v>
      </c>
      <c r="E337">
        <v>48</v>
      </c>
      <c r="F337" t="s">
        <v>397</v>
      </c>
      <c r="G337" t="s">
        <v>358</v>
      </c>
      <c r="H337" s="27">
        <v>46098</v>
      </c>
      <c r="J337" t="s">
        <v>388</v>
      </c>
    </row>
    <row r="338" spans="1:10" ht="15" customHeight="1" x14ac:dyDescent="0.25">
      <c r="A338" t="s">
        <v>1116</v>
      </c>
      <c r="B338" t="s">
        <v>40</v>
      </c>
      <c r="C338" t="s">
        <v>414</v>
      </c>
      <c r="D338" t="s">
        <v>414</v>
      </c>
      <c r="E338">
        <v>16</v>
      </c>
      <c r="F338" t="s">
        <v>397</v>
      </c>
      <c r="G338" t="s">
        <v>358</v>
      </c>
      <c r="H338" s="27">
        <v>46099</v>
      </c>
      <c r="I338" t="s">
        <v>1117</v>
      </c>
      <c r="J338" t="s">
        <v>388</v>
      </c>
    </row>
    <row r="339" spans="1:10" ht="15" customHeight="1" x14ac:dyDescent="0.25">
      <c r="A339" t="s">
        <v>1118</v>
      </c>
      <c r="B339" t="s">
        <v>40</v>
      </c>
      <c r="C339" t="s">
        <v>414</v>
      </c>
      <c r="D339" t="s">
        <v>378</v>
      </c>
      <c r="E339">
        <v>48</v>
      </c>
      <c r="F339" t="s">
        <v>397</v>
      </c>
      <c r="G339" t="s">
        <v>358</v>
      </c>
      <c r="H339" s="27">
        <v>46101</v>
      </c>
      <c r="J339" t="s">
        <v>388</v>
      </c>
    </row>
    <row r="340" spans="1:10" ht="15" customHeight="1" x14ac:dyDescent="0.25">
      <c r="A340" t="s">
        <v>1119</v>
      </c>
      <c r="B340" t="s">
        <v>40</v>
      </c>
      <c r="C340" t="s">
        <v>414</v>
      </c>
      <c r="D340" t="s">
        <v>378</v>
      </c>
      <c r="E340">
        <v>48</v>
      </c>
      <c r="F340" t="s">
        <v>397</v>
      </c>
      <c r="G340" t="s">
        <v>358</v>
      </c>
      <c r="H340" s="27">
        <v>46101</v>
      </c>
      <c r="J340" t="s">
        <v>388</v>
      </c>
    </row>
    <row r="341" spans="1:10" ht="15" customHeight="1" x14ac:dyDescent="0.25">
      <c r="A341" t="s">
        <v>1120</v>
      </c>
      <c r="B341" t="s">
        <v>40</v>
      </c>
      <c r="C341" t="s">
        <v>245</v>
      </c>
      <c r="D341" t="s">
        <v>378</v>
      </c>
      <c r="E341">
        <v>48</v>
      </c>
      <c r="F341" t="s">
        <v>397</v>
      </c>
      <c r="G341" t="s">
        <v>358</v>
      </c>
      <c r="H341" s="27">
        <v>46101</v>
      </c>
      <c r="I341" t="s">
        <v>1121</v>
      </c>
      <c r="J341" t="s">
        <v>388</v>
      </c>
    </row>
    <row r="342" spans="1:10" ht="15" customHeight="1" x14ac:dyDescent="0.25">
      <c r="A342" t="s">
        <v>1122</v>
      </c>
      <c r="B342" t="s">
        <v>40</v>
      </c>
      <c r="C342" t="s">
        <v>245</v>
      </c>
      <c r="D342" t="s">
        <v>378</v>
      </c>
      <c r="E342">
        <v>48</v>
      </c>
      <c r="F342" t="s">
        <v>397</v>
      </c>
      <c r="G342" t="s">
        <v>358</v>
      </c>
      <c r="H342" s="27">
        <v>46101</v>
      </c>
      <c r="I342" t="s">
        <v>1121</v>
      </c>
      <c r="J342" t="s">
        <v>388</v>
      </c>
    </row>
    <row r="343" spans="1:10" ht="15" customHeight="1" x14ac:dyDescent="0.25">
      <c r="A343" t="s">
        <v>1123</v>
      </c>
      <c r="B343" t="s">
        <v>40</v>
      </c>
      <c r="C343" t="s">
        <v>245</v>
      </c>
      <c r="D343" t="s">
        <v>377</v>
      </c>
      <c r="E343">
        <v>20</v>
      </c>
      <c r="F343" t="s">
        <v>397</v>
      </c>
      <c r="G343" t="s">
        <v>358</v>
      </c>
      <c r="H343" s="27">
        <v>46103</v>
      </c>
      <c r="I343" t="s">
        <v>1124</v>
      </c>
      <c r="J343" t="s">
        <v>388</v>
      </c>
    </row>
    <row r="344" spans="1:10" ht="15" customHeight="1" x14ac:dyDescent="0.25">
      <c r="A344" t="s">
        <v>1125</v>
      </c>
      <c r="B344" t="s">
        <v>40</v>
      </c>
      <c r="C344" t="s">
        <v>245</v>
      </c>
      <c r="D344" t="s">
        <v>377</v>
      </c>
      <c r="E344">
        <v>20</v>
      </c>
      <c r="F344" t="s">
        <v>397</v>
      </c>
      <c r="G344" t="s">
        <v>358</v>
      </c>
      <c r="H344" s="27">
        <v>46103</v>
      </c>
      <c r="I344" t="s">
        <v>1051</v>
      </c>
      <c r="J344" t="s">
        <v>388</v>
      </c>
    </row>
    <row r="345" spans="1:10" ht="15" customHeight="1" x14ac:dyDescent="0.25">
      <c r="A345" t="s">
        <v>1126</v>
      </c>
      <c r="B345" t="s">
        <v>40</v>
      </c>
      <c r="C345" t="s">
        <v>245</v>
      </c>
      <c r="D345" t="s">
        <v>377</v>
      </c>
      <c r="E345">
        <v>20</v>
      </c>
      <c r="F345" t="s">
        <v>397</v>
      </c>
      <c r="G345" t="s">
        <v>358</v>
      </c>
      <c r="H345" s="27">
        <v>46103</v>
      </c>
      <c r="I345" t="s">
        <v>1124</v>
      </c>
      <c r="J345" t="s">
        <v>388</v>
      </c>
    </row>
    <row r="346" spans="1:10" ht="15" customHeight="1" x14ac:dyDescent="0.25">
      <c r="A346" t="s">
        <v>1127</v>
      </c>
      <c r="B346" t="s">
        <v>40</v>
      </c>
      <c r="C346" t="s">
        <v>378</v>
      </c>
      <c r="D346" t="s">
        <v>377</v>
      </c>
      <c r="E346">
        <v>48</v>
      </c>
      <c r="F346" t="s">
        <v>397</v>
      </c>
      <c r="G346" t="s">
        <v>358</v>
      </c>
      <c r="H346" s="27">
        <v>46103</v>
      </c>
      <c r="I346" t="s">
        <v>972</v>
      </c>
      <c r="J346" t="s">
        <v>388</v>
      </c>
    </row>
    <row r="347" spans="1:10" ht="15" customHeight="1" x14ac:dyDescent="0.25">
      <c r="A347" t="s">
        <v>1128</v>
      </c>
      <c r="B347" t="s">
        <v>40</v>
      </c>
      <c r="C347" t="s">
        <v>378</v>
      </c>
      <c r="D347" t="s">
        <v>377</v>
      </c>
      <c r="E347">
        <v>48</v>
      </c>
      <c r="F347" t="s">
        <v>397</v>
      </c>
      <c r="G347" t="s">
        <v>358</v>
      </c>
      <c r="H347" s="27">
        <v>46103</v>
      </c>
      <c r="J347" t="s">
        <v>388</v>
      </c>
    </row>
    <row r="348" spans="1:10" ht="15" customHeight="1" x14ac:dyDescent="0.25">
      <c r="A348" t="s">
        <v>1129</v>
      </c>
      <c r="B348" t="s">
        <v>40</v>
      </c>
      <c r="C348" t="s">
        <v>378</v>
      </c>
      <c r="D348" t="s">
        <v>377</v>
      </c>
      <c r="E348">
        <v>48</v>
      </c>
      <c r="F348" t="s">
        <v>397</v>
      </c>
      <c r="G348" t="s">
        <v>358</v>
      </c>
      <c r="H348" s="27">
        <v>46103</v>
      </c>
      <c r="J348" t="s">
        <v>388</v>
      </c>
    </row>
    <row r="349" spans="1:10" ht="15" customHeight="1" x14ac:dyDescent="0.25">
      <c r="A349" t="s">
        <v>1130</v>
      </c>
      <c r="B349" t="s">
        <v>40</v>
      </c>
      <c r="C349" t="s">
        <v>363</v>
      </c>
      <c r="E349">
        <v>24.53</v>
      </c>
      <c r="F349" t="s">
        <v>397</v>
      </c>
      <c r="G349" t="s">
        <v>358</v>
      </c>
      <c r="H349" s="27">
        <v>46105</v>
      </c>
      <c r="I349" t="s">
        <v>1131</v>
      </c>
    </row>
    <row r="350" spans="1:10" ht="15" customHeight="1" x14ac:dyDescent="0.25">
      <c r="A350" t="s">
        <v>1132</v>
      </c>
      <c r="B350" t="s">
        <v>40</v>
      </c>
      <c r="C350" t="s">
        <v>363</v>
      </c>
      <c r="E350">
        <v>24.53</v>
      </c>
      <c r="F350" t="s">
        <v>397</v>
      </c>
      <c r="G350" t="s">
        <v>358</v>
      </c>
      <c r="H350" s="27">
        <v>46105</v>
      </c>
      <c r="I350" t="s">
        <v>1131</v>
      </c>
    </row>
    <row r="351" spans="1:10" ht="15" customHeight="1" x14ac:dyDescent="0.25">
      <c r="A351" t="s">
        <v>1133</v>
      </c>
      <c r="B351" t="s">
        <v>40</v>
      </c>
      <c r="C351" t="s">
        <v>363</v>
      </c>
      <c r="D351" t="s">
        <v>245</v>
      </c>
      <c r="E351">
        <v>42.36</v>
      </c>
      <c r="F351" t="s">
        <v>397</v>
      </c>
      <c r="G351" t="s">
        <v>358</v>
      </c>
      <c r="H351" s="27">
        <v>46106</v>
      </c>
      <c r="I351" t="s">
        <v>1131</v>
      </c>
      <c r="J351" t="s">
        <v>388</v>
      </c>
    </row>
    <row r="352" spans="1:10" ht="15" customHeight="1" x14ac:dyDescent="0.25">
      <c r="A352" t="s">
        <v>1134</v>
      </c>
      <c r="B352" t="s">
        <v>40</v>
      </c>
      <c r="C352" t="s">
        <v>363</v>
      </c>
      <c r="D352" t="s">
        <v>245</v>
      </c>
      <c r="E352">
        <v>42.36</v>
      </c>
      <c r="F352" t="s">
        <v>397</v>
      </c>
      <c r="G352" t="s">
        <v>358</v>
      </c>
      <c r="H352" s="27">
        <v>46106</v>
      </c>
      <c r="I352" t="s">
        <v>1131</v>
      </c>
      <c r="J352" t="s">
        <v>388</v>
      </c>
    </row>
    <row r="353" spans="1:10" ht="15" customHeight="1" x14ac:dyDescent="0.25">
      <c r="A353" t="s">
        <v>1135</v>
      </c>
      <c r="B353" t="s">
        <v>40</v>
      </c>
      <c r="C353" t="s">
        <v>363</v>
      </c>
      <c r="D353" t="s">
        <v>245</v>
      </c>
      <c r="E353">
        <v>22.52</v>
      </c>
      <c r="F353" t="s">
        <v>397</v>
      </c>
      <c r="G353" t="s">
        <v>358</v>
      </c>
      <c r="H353" s="27">
        <v>46106</v>
      </c>
      <c r="I353" t="s">
        <v>1136</v>
      </c>
    </row>
    <row r="354" spans="1:10" ht="15" customHeight="1" x14ac:dyDescent="0.25">
      <c r="A354" t="s">
        <v>1137</v>
      </c>
      <c r="B354" t="s">
        <v>40</v>
      </c>
      <c r="C354" t="s">
        <v>363</v>
      </c>
      <c r="D354" t="s">
        <v>245</v>
      </c>
      <c r="E354">
        <v>22.52</v>
      </c>
      <c r="F354" t="s">
        <v>397</v>
      </c>
      <c r="G354" t="s">
        <v>358</v>
      </c>
      <c r="H354" s="27">
        <v>46106</v>
      </c>
      <c r="I354" t="s">
        <v>1138</v>
      </c>
    </row>
    <row r="355" spans="1:10" ht="15" customHeight="1" x14ac:dyDescent="0.25">
      <c r="A355" t="s">
        <v>1139</v>
      </c>
      <c r="B355" t="s">
        <v>40</v>
      </c>
      <c r="C355" t="s">
        <v>245</v>
      </c>
      <c r="D355" t="s">
        <v>245</v>
      </c>
      <c r="E355">
        <v>21.3</v>
      </c>
      <c r="F355" t="s">
        <v>397</v>
      </c>
      <c r="G355" t="s">
        <v>358</v>
      </c>
      <c r="H355" s="27">
        <v>46107</v>
      </c>
      <c r="I355" t="s">
        <v>1140</v>
      </c>
      <c r="J355" t="s">
        <v>388</v>
      </c>
    </row>
    <row r="356" spans="1:10" ht="15" customHeight="1" x14ac:dyDescent="0.25">
      <c r="A356" t="s">
        <v>1141</v>
      </c>
      <c r="B356" t="s">
        <v>40</v>
      </c>
      <c r="C356" t="s">
        <v>245</v>
      </c>
      <c r="D356" t="s">
        <v>245</v>
      </c>
      <c r="E356">
        <v>21.3</v>
      </c>
      <c r="F356" t="s">
        <v>397</v>
      </c>
      <c r="G356" t="s">
        <v>358</v>
      </c>
      <c r="H356" s="27">
        <v>46107</v>
      </c>
      <c r="I356" t="s">
        <v>1142</v>
      </c>
      <c r="J356" t="s">
        <v>388</v>
      </c>
    </row>
    <row r="357" spans="1:10" ht="15" customHeight="1" x14ac:dyDescent="0.25">
      <c r="A357" t="s">
        <v>1143</v>
      </c>
      <c r="B357" t="s">
        <v>40</v>
      </c>
      <c r="C357" t="s">
        <v>245</v>
      </c>
      <c r="D357" t="s">
        <v>414</v>
      </c>
      <c r="E357">
        <v>23.18</v>
      </c>
      <c r="F357" t="s">
        <v>397</v>
      </c>
      <c r="G357" t="s">
        <v>358</v>
      </c>
      <c r="H357" s="27">
        <v>46108</v>
      </c>
      <c r="I357" t="s">
        <v>1131</v>
      </c>
      <c r="J357" t="s">
        <v>388</v>
      </c>
    </row>
    <row r="358" spans="1:10" ht="15" customHeight="1" x14ac:dyDescent="0.25">
      <c r="A358" t="s">
        <v>1144</v>
      </c>
      <c r="B358" t="s">
        <v>40</v>
      </c>
      <c r="C358" t="s">
        <v>245</v>
      </c>
      <c r="D358" t="s">
        <v>414</v>
      </c>
      <c r="E358">
        <v>23.2</v>
      </c>
      <c r="F358" t="s">
        <v>397</v>
      </c>
      <c r="G358" t="s">
        <v>358</v>
      </c>
      <c r="H358" s="27">
        <v>46108</v>
      </c>
      <c r="I358" t="s">
        <v>1131</v>
      </c>
      <c r="J358" t="s">
        <v>388</v>
      </c>
    </row>
    <row r="359" spans="1:10" ht="15" customHeight="1" x14ac:dyDescent="0.25">
      <c r="A359" t="s">
        <v>1145</v>
      </c>
      <c r="B359" t="s">
        <v>40</v>
      </c>
      <c r="C359" t="s">
        <v>245</v>
      </c>
      <c r="D359" t="s">
        <v>414</v>
      </c>
      <c r="E359">
        <v>23.2</v>
      </c>
      <c r="F359" t="s">
        <v>397</v>
      </c>
      <c r="G359" t="s">
        <v>358</v>
      </c>
      <c r="H359" s="27">
        <v>46108</v>
      </c>
      <c r="I359" t="s">
        <v>1131</v>
      </c>
      <c r="J359" t="s">
        <v>388</v>
      </c>
    </row>
    <row r="360" spans="1:10" ht="15" customHeight="1" x14ac:dyDescent="0.25">
      <c r="A360" t="s">
        <v>1146</v>
      </c>
      <c r="B360" t="s">
        <v>40</v>
      </c>
      <c r="C360" t="s">
        <v>245</v>
      </c>
      <c r="D360" t="s">
        <v>414</v>
      </c>
      <c r="E360">
        <v>23.2</v>
      </c>
      <c r="F360" t="s">
        <v>397</v>
      </c>
      <c r="G360" t="s">
        <v>358</v>
      </c>
      <c r="H360" s="27">
        <v>46108</v>
      </c>
      <c r="I360" t="s">
        <v>1131</v>
      </c>
      <c r="J360" t="s">
        <v>388</v>
      </c>
    </row>
    <row r="361" spans="1:10" ht="15" customHeight="1" x14ac:dyDescent="0.25">
      <c r="A361" t="s">
        <v>1147</v>
      </c>
      <c r="B361" t="s">
        <v>40</v>
      </c>
      <c r="C361" t="s">
        <v>363</v>
      </c>
      <c r="D361" t="s">
        <v>392</v>
      </c>
      <c r="E361">
        <v>45.4</v>
      </c>
      <c r="F361" t="s">
        <v>397</v>
      </c>
      <c r="G361" t="s">
        <v>358</v>
      </c>
      <c r="H361" s="27">
        <v>46110</v>
      </c>
      <c r="I361" s="13" t="s">
        <v>1148</v>
      </c>
      <c r="J361" t="s">
        <v>388</v>
      </c>
    </row>
    <row r="362" spans="1:10" ht="15" customHeight="1" x14ac:dyDescent="0.25">
      <c r="A362" t="s">
        <v>1149</v>
      </c>
      <c r="B362" t="s">
        <v>40</v>
      </c>
      <c r="C362" t="s">
        <v>363</v>
      </c>
      <c r="D362" t="s">
        <v>392</v>
      </c>
      <c r="E362">
        <v>46.23</v>
      </c>
      <c r="F362" t="s">
        <v>397</v>
      </c>
      <c r="G362" t="s">
        <v>358</v>
      </c>
      <c r="H362" s="27">
        <v>46110</v>
      </c>
      <c r="J362" t="s">
        <v>388</v>
      </c>
    </row>
    <row r="363" spans="1:10" ht="15" customHeight="1" x14ac:dyDescent="0.25">
      <c r="A363" t="s">
        <v>1150</v>
      </c>
      <c r="B363" t="s">
        <v>40</v>
      </c>
      <c r="C363" t="s">
        <v>363</v>
      </c>
      <c r="D363" t="s">
        <v>392</v>
      </c>
      <c r="E363">
        <v>45.4</v>
      </c>
      <c r="F363" t="s">
        <v>397</v>
      </c>
      <c r="G363" t="s">
        <v>358</v>
      </c>
      <c r="H363" s="27">
        <v>46110</v>
      </c>
      <c r="I363" t="s">
        <v>1151</v>
      </c>
      <c r="J363" t="s">
        <v>388</v>
      </c>
    </row>
    <row r="364" spans="1:10" ht="15" customHeight="1" x14ac:dyDescent="0.25">
      <c r="A364" t="s">
        <v>1152</v>
      </c>
      <c r="B364" t="s">
        <v>40</v>
      </c>
      <c r="C364" t="s">
        <v>363</v>
      </c>
      <c r="D364" t="s">
        <v>378</v>
      </c>
      <c r="E364">
        <v>19.28</v>
      </c>
      <c r="F364" t="s">
        <v>397</v>
      </c>
      <c r="G364" t="s">
        <v>358</v>
      </c>
      <c r="H364" s="27">
        <v>46111</v>
      </c>
      <c r="I364" t="s">
        <v>1153</v>
      </c>
      <c r="J364" t="s">
        <v>388</v>
      </c>
    </row>
    <row r="365" spans="1:10" ht="15" customHeight="1" x14ac:dyDescent="0.25">
      <c r="A365" t="s">
        <v>1154</v>
      </c>
      <c r="B365" t="s">
        <v>40</v>
      </c>
      <c r="C365" t="s">
        <v>363</v>
      </c>
      <c r="D365" t="s">
        <v>378</v>
      </c>
      <c r="E365">
        <v>19.28</v>
      </c>
      <c r="F365" t="s">
        <v>397</v>
      </c>
      <c r="G365" t="s">
        <v>358</v>
      </c>
      <c r="H365" s="27">
        <v>46111</v>
      </c>
      <c r="I365" t="s">
        <v>1155</v>
      </c>
      <c r="J365" t="s">
        <v>388</v>
      </c>
    </row>
    <row r="366" spans="1:10" ht="15" customHeight="1" x14ac:dyDescent="0.25">
      <c r="A366" t="s">
        <v>1156</v>
      </c>
      <c r="B366" t="s">
        <v>40</v>
      </c>
      <c r="C366" t="s">
        <v>363</v>
      </c>
      <c r="D366" t="s">
        <v>378</v>
      </c>
      <c r="E366">
        <v>19.28</v>
      </c>
      <c r="F366" t="s">
        <v>397</v>
      </c>
      <c r="G366" t="s">
        <v>358</v>
      </c>
      <c r="H366" s="27">
        <v>46111</v>
      </c>
      <c r="I366" t="s">
        <v>1157</v>
      </c>
      <c r="J366" t="s">
        <v>388</v>
      </c>
    </row>
    <row r="367" spans="1:10" ht="15" customHeight="1" x14ac:dyDescent="0.25">
      <c r="A367" t="s">
        <v>1158</v>
      </c>
      <c r="B367" t="s">
        <v>40</v>
      </c>
      <c r="C367" t="s">
        <v>377</v>
      </c>
      <c r="D367" t="s">
        <v>392</v>
      </c>
      <c r="E367">
        <v>48</v>
      </c>
      <c r="F367" t="s">
        <v>397</v>
      </c>
      <c r="G367" t="s">
        <v>358</v>
      </c>
      <c r="H367" s="27">
        <v>46111</v>
      </c>
      <c r="J367" t="s">
        <v>388</v>
      </c>
    </row>
    <row r="368" spans="1:10" ht="15" customHeight="1" x14ac:dyDescent="0.25">
      <c r="A368" t="s">
        <v>1159</v>
      </c>
      <c r="B368" t="s">
        <v>40</v>
      </c>
      <c r="C368" t="s">
        <v>363</v>
      </c>
      <c r="D368" t="s">
        <v>392</v>
      </c>
      <c r="E368">
        <v>20</v>
      </c>
      <c r="F368" t="s">
        <v>397</v>
      </c>
      <c r="G368" t="s">
        <v>358</v>
      </c>
      <c r="H368" s="27">
        <v>46112</v>
      </c>
      <c r="I368" t="s">
        <v>1131</v>
      </c>
      <c r="J368" t="s">
        <v>388</v>
      </c>
    </row>
    <row r="369" spans="1:10" ht="15" customHeight="1" x14ac:dyDescent="0.25">
      <c r="A369" t="s">
        <v>1160</v>
      </c>
      <c r="B369" t="s">
        <v>40</v>
      </c>
      <c r="C369" t="s">
        <v>363</v>
      </c>
      <c r="D369" t="s">
        <v>392</v>
      </c>
      <c r="E369">
        <v>20</v>
      </c>
      <c r="F369" t="s">
        <v>397</v>
      </c>
      <c r="G369" t="s">
        <v>358</v>
      </c>
      <c r="H369" s="27">
        <v>46112</v>
      </c>
      <c r="I369" t="s">
        <v>1131</v>
      </c>
      <c r="J369" t="s">
        <v>618</v>
      </c>
    </row>
    <row r="370" spans="1:10" ht="15" customHeight="1" x14ac:dyDescent="0.25">
      <c r="A370" t="s">
        <v>1161</v>
      </c>
      <c r="B370" t="s">
        <v>40</v>
      </c>
      <c r="C370" t="s">
        <v>378</v>
      </c>
      <c r="D370" t="s">
        <v>392</v>
      </c>
      <c r="E370">
        <v>18.45</v>
      </c>
      <c r="F370" t="s">
        <v>397</v>
      </c>
      <c r="G370" t="s">
        <v>358</v>
      </c>
      <c r="H370" s="27">
        <v>46112</v>
      </c>
      <c r="I370" t="s">
        <v>1131</v>
      </c>
      <c r="J370" t="s">
        <v>388</v>
      </c>
    </row>
    <row r="371" spans="1:10" ht="15" customHeight="1" x14ac:dyDescent="0.25">
      <c r="A371" t="s">
        <v>1162</v>
      </c>
      <c r="B371" t="s">
        <v>40</v>
      </c>
      <c r="C371" t="s">
        <v>378</v>
      </c>
      <c r="D371" t="s">
        <v>392</v>
      </c>
      <c r="E371">
        <v>18.45</v>
      </c>
      <c r="F371" t="s">
        <v>397</v>
      </c>
      <c r="G371" t="s">
        <v>358</v>
      </c>
      <c r="H371" s="27">
        <v>46112</v>
      </c>
      <c r="I371" t="s">
        <v>1131</v>
      </c>
      <c r="J371" t="s">
        <v>388</v>
      </c>
    </row>
    <row r="372" spans="1:10" ht="15" customHeight="1" x14ac:dyDescent="0.25">
      <c r="A372" t="s">
        <v>1163</v>
      </c>
      <c r="B372" t="s">
        <v>40</v>
      </c>
      <c r="C372" t="s">
        <v>363</v>
      </c>
      <c r="D372" t="s">
        <v>363</v>
      </c>
      <c r="E372">
        <v>21.34</v>
      </c>
      <c r="F372" t="s">
        <v>397</v>
      </c>
      <c r="G372" t="s">
        <v>358</v>
      </c>
      <c r="H372" s="27">
        <v>46116</v>
      </c>
      <c r="I372" s="13" t="s">
        <v>1164</v>
      </c>
      <c r="J372" t="s">
        <v>388</v>
      </c>
    </row>
    <row r="373" spans="1:10" ht="15" customHeight="1" x14ac:dyDescent="0.25">
      <c r="A373" t="s">
        <v>1165</v>
      </c>
      <c r="B373" t="s">
        <v>40</v>
      </c>
      <c r="C373" t="s">
        <v>363</v>
      </c>
      <c r="D373" t="s">
        <v>363</v>
      </c>
      <c r="E373">
        <v>21.34</v>
      </c>
      <c r="F373" t="s">
        <v>397</v>
      </c>
      <c r="G373" t="s">
        <v>358</v>
      </c>
      <c r="H373" s="27">
        <v>46116</v>
      </c>
      <c r="I373" t="s">
        <v>1164</v>
      </c>
      <c r="J373" t="s">
        <v>388</v>
      </c>
    </row>
    <row r="374" spans="1:10" ht="15" customHeight="1" x14ac:dyDescent="0.25">
      <c r="A374" t="s">
        <v>1166</v>
      </c>
      <c r="B374" t="s">
        <v>40</v>
      </c>
      <c r="C374" t="s">
        <v>392</v>
      </c>
      <c r="D374" t="s">
        <v>363</v>
      </c>
      <c r="E374">
        <v>21.34</v>
      </c>
      <c r="F374" t="s">
        <v>397</v>
      </c>
      <c r="G374" t="s">
        <v>358</v>
      </c>
      <c r="H374" s="27">
        <v>46116</v>
      </c>
      <c r="I374" t="s">
        <v>1164</v>
      </c>
      <c r="J374" t="s">
        <v>388</v>
      </c>
    </row>
    <row r="375" spans="1:10" ht="15" customHeight="1" x14ac:dyDescent="0.25">
      <c r="A375" t="s">
        <v>1167</v>
      </c>
      <c r="B375" t="s">
        <v>40</v>
      </c>
      <c r="C375" t="s">
        <v>392</v>
      </c>
      <c r="D375" t="s">
        <v>363</v>
      </c>
      <c r="E375">
        <v>21.34</v>
      </c>
      <c r="F375" t="s">
        <v>397</v>
      </c>
      <c r="G375" t="s">
        <v>358</v>
      </c>
      <c r="H375" s="27">
        <v>46116</v>
      </c>
      <c r="I375" t="s">
        <v>1164</v>
      </c>
      <c r="J375" t="s">
        <v>388</v>
      </c>
    </row>
    <row r="376" spans="1:10" ht="15" customHeight="1" x14ac:dyDescent="0.25">
      <c r="A376" s="13" t="s">
        <v>1168</v>
      </c>
      <c r="B376" t="s">
        <v>40</v>
      </c>
      <c r="C376" t="s">
        <v>363</v>
      </c>
      <c r="D376" t="s">
        <v>40</v>
      </c>
      <c r="E376">
        <v>48</v>
      </c>
      <c r="F376" t="s">
        <v>397</v>
      </c>
      <c r="G376" t="s">
        <v>358</v>
      </c>
      <c r="H376" s="27">
        <v>46119</v>
      </c>
      <c r="I376" t="s">
        <v>1169</v>
      </c>
      <c r="J376" t="s">
        <v>388</v>
      </c>
    </row>
    <row r="377" spans="1:10" ht="15" customHeight="1" x14ac:dyDescent="0.25">
      <c r="A377" t="s">
        <v>1170</v>
      </c>
      <c r="B377" t="s">
        <v>40</v>
      </c>
      <c r="C377" t="s">
        <v>363</v>
      </c>
      <c r="D377" t="s">
        <v>40</v>
      </c>
      <c r="E377">
        <v>48</v>
      </c>
      <c r="F377" t="s">
        <v>397</v>
      </c>
      <c r="G377" t="s">
        <v>358</v>
      </c>
      <c r="H377" s="27">
        <v>46119</v>
      </c>
      <c r="I377" t="s">
        <v>1171</v>
      </c>
    </row>
    <row r="378" spans="1:10" ht="15" customHeight="1" x14ac:dyDescent="0.25">
      <c r="A378" t="s">
        <v>1172</v>
      </c>
      <c r="B378" t="s">
        <v>40</v>
      </c>
      <c r="C378" t="s">
        <v>392</v>
      </c>
      <c r="D378" t="s">
        <v>363</v>
      </c>
      <c r="E378">
        <v>48</v>
      </c>
      <c r="F378" t="s">
        <v>397</v>
      </c>
      <c r="G378" t="s">
        <v>358</v>
      </c>
      <c r="H378" s="27">
        <v>46122</v>
      </c>
      <c r="I378" t="s">
        <v>1173</v>
      </c>
      <c r="J378" t="s">
        <v>411</v>
      </c>
    </row>
    <row r="379" spans="1:10" ht="15" customHeight="1" x14ac:dyDescent="0.25">
      <c r="A379" t="s">
        <v>1174</v>
      </c>
      <c r="B379" t="s">
        <v>40</v>
      </c>
      <c r="C379" t="s">
        <v>392</v>
      </c>
      <c r="D379" t="s">
        <v>363</v>
      </c>
      <c r="E379">
        <v>48</v>
      </c>
      <c r="F379" t="s">
        <v>397</v>
      </c>
      <c r="G379" t="s">
        <v>358</v>
      </c>
      <c r="H379" s="27">
        <v>46122</v>
      </c>
      <c r="I379" t="s">
        <v>1175</v>
      </c>
      <c r="J379" t="s">
        <v>411</v>
      </c>
    </row>
    <row r="380" spans="1:10" ht="15" customHeight="1" x14ac:dyDescent="0.25">
      <c r="A380" t="s">
        <v>1176</v>
      </c>
      <c r="B380" t="s">
        <v>40</v>
      </c>
      <c r="C380" t="s">
        <v>392</v>
      </c>
      <c r="D380" t="s">
        <v>363</v>
      </c>
      <c r="E380">
        <v>48</v>
      </c>
      <c r="F380" t="s">
        <v>397</v>
      </c>
      <c r="G380" t="s">
        <v>358</v>
      </c>
      <c r="H380" s="27">
        <v>46122</v>
      </c>
      <c r="I380" t="s">
        <v>1177</v>
      </c>
      <c r="J380" t="s">
        <v>411</v>
      </c>
    </row>
    <row r="381" spans="1:10" ht="15" customHeight="1" x14ac:dyDescent="0.25">
      <c r="A381" t="s">
        <v>1178</v>
      </c>
      <c r="B381" t="s">
        <v>40</v>
      </c>
      <c r="C381" t="s">
        <v>245</v>
      </c>
      <c r="D381" t="s">
        <v>392</v>
      </c>
      <c r="E381">
        <v>48</v>
      </c>
      <c r="F381" t="s">
        <v>397</v>
      </c>
      <c r="G381" t="s">
        <v>358</v>
      </c>
      <c r="H381" s="27">
        <v>46125</v>
      </c>
      <c r="I381" t="s">
        <v>1179</v>
      </c>
      <c r="J381" t="s">
        <v>411</v>
      </c>
    </row>
    <row r="382" spans="1:10" ht="15" customHeight="1" x14ac:dyDescent="0.25">
      <c r="A382" t="s">
        <v>1180</v>
      </c>
      <c r="B382" t="s">
        <v>40</v>
      </c>
      <c r="C382" t="s">
        <v>245</v>
      </c>
      <c r="D382" t="s">
        <v>392</v>
      </c>
      <c r="E382">
        <v>48</v>
      </c>
      <c r="F382" t="s">
        <v>397</v>
      </c>
      <c r="G382" t="s">
        <v>358</v>
      </c>
      <c r="H382" s="27">
        <v>46125</v>
      </c>
      <c r="I382" t="s">
        <v>1181</v>
      </c>
      <c r="J382" t="s">
        <v>411</v>
      </c>
    </row>
    <row r="383" spans="1:10" ht="15" customHeight="1" x14ac:dyDescent="0.25">
      <c r="A383" t="s">
        <v>1182</v>
      </c>
      <c r="B383" t="s">
        <v>566</v>
      </c>
      <c r="C383" t="s">
        <v>245</v>
      </c>
      <c r="E383">
        <v>46.31</v>
      </c>
      <c r="F383" s="23" t="s">
        <v>271</v>
      </c>
      <c r="G383" t="s">
        <v>358</v>
      </c>
      <c r="H383" s="27">
        <v>46129</v>
      </c>
      <c r="I383" t="s">
        <v>1183</v>
      </c>
      <c r="J383" t="s">
        <v>411</v>
      </c>
    </row>
    <row r="384" spans="1:10" ht="15" customHeight="1" x14ac:dyDescent="0.25">
      <c r="A384" t="s">
        <v>1184</v>
      </c>
      <c r="B384" t="s">
        <v>566</v>
      </c>
      <c r="C384" t="s">
        <v>245</v>
      </c>
      <c r="E384">
        <v>82</v>
      </c>
      <c r="F384" s="23" t="s">
        <v>271</v>
      </c>
      <c r="G384" t="s">
        <v>358</v>
      </c>
      <c r="H384" s="27">
        <v>46133</v>
      </c>
      <c r="I384" t="s">
        <v>1185</v>
      </c>
      <c r="J384" t="s">
        <v>411</v>
      </c>
    </row>
    <row r="385" spans="1:10" ht="15" customHeight="1" x14ac:dyDescent="0.25">
      <c r="A385" t="s">
        <v>1186</v>
      </c>
      <c r="B385" t="s">
        <v>566</v>
      </c>
      <c r="C385" t="s">
        <v>245</v>
      </c>
      <c r="E385">
        <v>82</v>
      </c>
      <c r="F385" s="23" t="s">
        <v>271</v>
      </c>
      <c r="G385" t="s">
        <v>358</v>
      </c>
      <c r="H385" s="27">
        <v>46133</v>
      </c>
      <c r="I385" t="s">
        <v>1185</v>
      </c>
      <c r="J385" t="s">
        <v>411</v>
      </c>
    </row>
    <row r="386" spans="1:10" ht="15" customHeight="1" x14ac:dyDescent="0.25">
      <c r="A386" t="s">
        <v>1187</v>
      </c>
      <c r="B386" t="s">
        <v>566</v>
      </c>
      <c r="C386" t="s">
        <v>245</v>
      </c>
      <c r="E386">
        <v>82</v>
      </c>
      <c r="F386" s="23" t="s">
        <v>271</v>
      </c>
      <c r="G386" t="s">
        <v>358</v>
      </c>
      <c r="H386" s="27">
        <v>46133</v>
      </c>
      <c r="I386" t="s">
        <v>1185</v>
      </c>
      <c r="J386" t="s">
        <v>411</v>
      </c>
    </row>
    <row r="387" spans="1:10" ht="15" customHeight="1" x14ac:dyDescent="0.25">
      <c r="A387" t="s">
        <v>1188</v>
      </c>
      <c r="B387" t="s">
        <v>566</v>
      </c>
      <c r="C387" t="s">
        <v>392</v>
      </c>
      <c r="E387">
        <v>82</v>
      </c>
      <c r="F387" s="23" t="s">
        <v>271</v>
      </c>
      <c r="G387" t="s">
        <v>358</v>
      </c>
      <c r="H387" s="27">
        <v>46133</v>
      </c>
      <c r="I387" t="s">
        <v>1185</v>
      </c>
      <c r="J387" t="s">
        <v>411</v>
      </c>
    </row>
    <row r="388" spans="1:10" ht="15" customHeight="1" x14ac:dyDescent="0.25">
      <c r="A388" t="s">
        <v>1189</v>
      </c>
      <c r="B388" t="s">
        <v>40</v>
      </c>
      <c r="C388" t="s">
        <v>245</v>
      </c>
      <c r="D388" t="s">
        <v>245</v>
      </c>
      <c r="E388">
        <v>24</v>
      </c>
      <c r="F388" t="s">
        <v>423</v>
      </c>
      <c r="G388" t="s">
        <v>358</v>
      </c>
      <c r="H388" s="27">
        <v>46135</v>
      </c>
      <c r="I388" t="s">
        <v>426</v>
      </c>
      <c r="J388" t="s">
        <v>411</v>
      </c>
    </row>
    <row r="389" spans="1:10" ht="15" customHeight="1" x14ac:dyDescent="0.25">
      <c r="A389" t="s">
        <v>1190</v>
      </c>
      <c r="B389" t="s">
        <v>40</v>
      </c>
      <c r="C389" t="s">
        <v>414</v>
      </c>
      <c r="D389" t="s">
        <v>245</v>
      </c>
      <c r="E389">
        <v>24</v>
      </c>
      <c r="F389" t="s">
        <v>423</v>
      </c>
      <c r="G389" t="s">
        <v>358</v>
      </c>
      <c r="H389" s="27">
        <v>46135</v>
      </c>
      <c r="I389" t="s">
        <v>426</v>
      </c>
      <c r="J389" t="s">
        <v>411</v>
      </c>
    </row>
    <row r="390" spans="1:10" ht="15" customHeight="1" x14ac:dyDescent="0.25">
      <c r="A390" t="s">
        <v>1191</v>
      </c>
      <c r="B390" t="s">
        <v>40</v>
      </c>
      <c r="C390" t="s">
        <v>245</v>
      </c>
      <c r="D390" t="s">
        <v>245</v>
      </c>
      <c r="E390">
        <v>24</v>
      </c>
      <c r="F390" t="s">
        <v>423</v>
      </c>
      <c r="G390" t="s">
        <v>358</v>
      </c>
      <c r="H390" s="27">
        <v>46135</v>
      </c>
      <c r="I390" t="s">
        <v>426</v>
      </c>
      <c r="J390" t="s">
        <v>411</v>
      </c>
    </row>
    <row r="391" spans="1:10" ht="15" customHeight="1" x14ac:dyDescent="0.25">
      <c r="A391" t="s">
        <v>1192</v>
      </c>
      <c r="B391" t="s">
        <v>40</v>
      </c>
      <c r="C391" t="s">
        <v>414</v>
      </c>
      <c r="D391" t="s">
        <v>245</v>
      </c>
      <c r="E391">
        <v>24</v>
      </c>
      <c r="F391" t="s">
        <v>423</v>
      </c>
      <c r="G391" t="s">
        <v>358</v>
      </c>
      <c r="H391" s="27">
        <v>46135</v>
      </c>
      <c r="I391" t="s">
        <v>426</v>
      </c>
      <c r="J391" t="s">
        <v>411</v>
      </c>
    </row>
    <row r="392" spans="1:10" ht="15" customHeight="1" x14ac:dyDescent="0.25">
      <c r="A392" t="s">
        <v>1193</v>
      </c>
      <c r="B392" t="s">
        <v>40</v>
      </c>
      <c r="C392" t="s">
        <v>392</v>
      </c>
      <c r="D392" t="s">
        <v>377</v>
      </c>
      <c r="E392">
        <v>24</v>
      </c>
      <c r="F392" t="s">
        <v>423</v>
      </c>
      <c r="G392" t="s">
        <v>358</v>
      </c>
      <c r="H392" s="27">
        <v>46136</v>
      </c>
      <c r="I392" t="s">
        <v>1194</v>
      </c>
      <c r="J392" t="s">
        <v>411</v>
      </c>
    </row>
    <row r="393" spans="1:10" ht="15" customHeight="1" x14ac:dyDescent="0.25">
      <c r="A393" t="s">
        <v>1195</v>
      </c>
      <c r="B393" t="s">
        <v>40</v>
      </c>
      <c r="C393" t="s">
        <v>392</v>
      </c>
      <c r="D393" t="s">
        <v>377</v>
      </c>
      <c r="E393">
        <v>24</v>
      </c>
      <c r="F393" t="s">
        <v>423</v>
      </c>
      <c r="G393" t="s">
        <v>358</v>
      </c>
      <c r="H393" s="27">
        <v>46136</v>
      </c>
      <c r="I393" t="s">
        <v>1194</v>
      </c>
    </row>
    <row r="394" spans="1:10" ht="15" customHeight="1" x14ac:dyDescent="0.25">
      <c r="A394" t="s">
        <v>1196</v>
      </c>
      <c r="B394" t="s">
        <v>40</v>
      </c>
      <c r="C394" t="s">
        <v>392</v>
      </c>
      <c r="D394" t="s">
        <v>377</v>
      </c>
      <c r="E394">
        <v>24</v>
      </c>
      <c r="F394" t="s">
        <v>423</v>
      </c>
      <c r="G394" t="s">
        <v>358</v>
      </c>
      <c r="H394" s="27">
        <v>46136</v>
      </c>
      <c r="I394" t="s">
        <v>1194</v>
      </c>
      <c r="J394" t="s">
        <v>411</v>
      </c>
    </row>
    <row r="395" spans="1:10" ht="15" customHeight="1" x14ac:dyDescent="0.25">
      <c r="A395" t="s">
        <v>1197</v>
      </c>
      <c r="B395" t="s">
        <v>40</v>
      </c>
      <c r="C395" t="s">
        <v>392</v>
      </c>
      <c r="D395" t="s">
        <v>377</v>
      </c>
      <c r="E395">
        <v>24</v>
      </c>
      <c r="F395" t="s">
        <v>423</v>
      </c>
      <c r="G395" t="s">
        <v>358</v>
      </c>
      <c r="H395" s="27">
        <v>46136</v>
      </c>
      <c r="I395" t="s">
        <v>1194</v>
      </c>
      <c r="J395" t="s">
        <v>411</v>
      </c>
    </row>
    <row r="396" spans="1:10" ht="15" customHeight="1" x14ac:dyDescent="0.25">
      <c r="A396" t="s">
        <v>1198</v>
      </c>
      <c r="B396" t="s">
        <v>40</v>
      </c>
      <c r="C396" t="s">
        <v>392</v>
      </c>
      <c r="D396" t="s">
        <v>377</v>
      </c>
      <c r="E396">
        <v>24</v>
      </c>
      <c r="F396" t="s">
        <v>423</v>
      </c>
      <c r="G396" t="s">
        <v>358</v>
      </c>
      <c r="H396" s="27">
        <v>46136</v>
      </c>
      <c r="I396" t="s">
        <v>1194</v>
      </c>
      <c r="J396" t="s">
        <v>411</v>
      </c>
    </row>
    <row r="397" spans="1:10" ht="15" customHeight="1" x14ac:dyDescent="0.25">
      <c r="A397" t="s">
        <v>1199</v>
      </c>
      <c r="B397" t="s">
        <v>40</v>
      </c>
      <c r="C397" t="s">
        <v>392</v>
      </c>
      <c r="D397" t="s">
        <v>377</v>
      </c>
      <c r="E397">
        <v>24</v>
      </c>
      <c r="F397" t="s">
        <v>423</v>
      </c>
      <c r="G397" t="s">
        <v>358</v>
      </c>
      <c r="H397" s="27">
        <v>46136</v>
      </c>
      <c r="I397" t="s">
        <v>1194</v>
      </c>
    </row>
    <row r="398" spans="1:10" ht="15" customHeight="1" x14ac:dyDescent="0.25">
      <c r="A398" t="s">
        <v>1200</v>
      </c>
      <c r="B398" t="s">
        <v>40</v>
      </c>
      <c r="C398" t="s">
        <v>378</v>
      </c>
      <c r="D398" t="s">
        <v>377</v>
      </c>
      <c r="E398">
        <v>24</v>
      </c>
      <c r="F398" t="s">
        <v>423</v>
      </c>
      <c r="G398" t="s">
        <v>358</v>
      </c>
      <c r="H398" s="27">
        <v>46138</v>
      </c>
      <c r="I398" t="s">
        <v>426</v>
      </c>
      <c r="J398" t="s">
        <v>411</v>
      </c>
    </row>
    <row r="399" spans="1:10" ht="15" customHeight="1" x14ac:dyDescent="0.25">
      <c r="A399" t="s">
        <v>1201</v>
      </c>
      <c r="B399" t="s">
        <v>40</v>
      </c>
      <c r="C399" t="s">
        <v>377</v>
      </c>
      <c r="D399" t="s">
        <v>377</v>
      </c>
      <c r="E399">
        <v>48</v>
      </c>
      <c r="F399" t="s">
        <v>397</v>
      </c>
      <c r="G399" t="s">
        <v>358</v>
      </c>
      <c r="H399" s="27">
        <v>46138</v>
      </c>
      <c r="I399" t="s">
        <v>1202</v>
      </c>
      <c r="J399" t="s">
        <v>411</v>
      </c>
    </row>
    <row r="400" spans="1:10" ht="15" customHeight="1" x14ac:dyDescent="0.25">
      <c r="A400" t="s">
        <v>1203</v>
      </c>
      <c r="B400" t="s">
        <v>40</v>
      </c>
      <c r="C400" t="s">
        <v>377</v>
      </c>
      <c r="D400" t="s">
        <v>377</v>
      </c>
      <c r="E400">
        <v>48</v>
      </c>
      <c r="F400" t="s">
        <v>397</v>
      </c>
      <c r="G400" t="s">
        <v>358</v>
      </c>
      <c r="H400" s="27">
        <v>46138</v>
      </c>
      <c r="I400" t="s">
        <v>1202</v>
      </c>
      <c r="J400" t="s">
        <v>411</v>
      </c>
    </row>
    <row r="401" spans="1:10" ht="15" customHeight="1" x14ac:dyDescent="0.25">
      <c r="A401" t="s">
        <v>1204</v>
      </c>
      <c r="B401" t="s">
        <v>40</v>
      </c>
      <c r="C401" t="s">
        <v>245</v>
      </c>
      <c r="D401" t="s">
        <v>377</v>
      </c>
      <c r="E401">
        <v>48</v>
      </c>
      <c r="F401" t="s">
        <v>397</v>
      </c>
      <c r="G401" t="s">
        <v>358</v>
      </c>
      <c r="H401" s="27">
        <v>46138</v>
      </c>
      <c r="I401" t="s">
        <v>1202</v>
      </c>
      <c r="J401" t="s">
        <v>411</v>
      </c>
    </row>
    <row r="402" spans="1:10" ht="15" customHeight="1" x14ac:dyDescent="0.25">
      <c r="A402" t="s">
        <v>1205</v>
      </c>
      <c r="B402" t="s">
        <v>40</v>
      </c>
      <c r="C402" t="s">
        <v>377</v>
      </c>
      <c r="D402" t="s">
        <v>414</v>
      </c>
      <c r="E402">
        <v>24</v>
      </c>
      <c r="F402" t="s">
        <v>423</v>
      </c>
      <c r="G402" t="s">
        <v>358</v>
      </c>
      <c r="H402" s="27">
        <v>46140</v>
      </c>
      <c r="J402" t="s">
        <v>411</v>
      </c>
    </row>
    <row r="403" spans="1:10" ht="15" customHeight="1" x14ac:dyDescent="0.25">
      <c r="A403" t="s">
        <v>1206</v>
      </c>
      <c r="B403" t="s">
        <v>40</v>
      </c>
      <c r="C403" t="s">
        <v>377</v>
      </c>
      <c r="D403" t="s">
        <v>414</v>
      </c>
      <c r="E403">
        <v>24</v>
      </c>
      <c r="F403" t="s">
        <v>423</v>
      </c>
      <c r="G403" t="s">
        <v>358</v>
      </c>
      <c r="H403" s="27">
        <v>46140</v>
      </c>
      <c r="J403" t="s">
        <v>411</v>
      </c>
    </row>
    <row r="404" spans="1:10" ht="15" customHeight="1" x14ac:dyDescent="0.25">
      <c r="A404" t="s">
        <v>1207</v>
      </c>
      <c r="B404" t="s">
        <v>40</v>
      </c>
      <c r="C404" t="s">
        <v>377</v>
      </c>
      <c r="D404" t="s">
        <v>414</v>
      </c>
      <c r="E404">
        <v>24</v>
      </c>
      <c r="F404" t="s">
        <v>423</v>
      </c>
      <c r="G404" t="s">
        <v>358</v>
      </c>
      <c r="H404" s="27">
        <v>46140</v>
      </c>
      <c r="J404" t="s">
        <v>411</v>
      </c>
    </row>
    <row r="405" spans="1:10" ht="15" customHeight="1" x14ac:dyDescent="0.25">
      <c r="A405" t="s">
        <v>1208</v>
      </c>
      <c r="B405" t="s">
        <v>40</v>
      </c>
      <c r="C405" t="s">
        <v>245</v>
      </c>
      <c r="D405" t="s">
        <v>378</v>
      </c>
      <c r="E405">
        <v>24</v>
      </c>
      <c r="F405" t="s">
        <v>423</v>
      </c>
      <c r="G405" t="s">
        <v>358</v>
      </c>
      <c r="H405" s="27">
        <v>46142</v>
      </c>
      <c r="J405" t="s">
        <v>411</v>
      </c>
    </row>
    <row r="406" spans="1:10" ht="15" customHeight="1" x14ac:dyDescent="0.25">
      <c r="A406" t="s">
        <v>1209</v>
      </c>
      <c r="B406" t="s">
        <v>40</v>
      </c>
      <c r="C406" t="s">
        <v>414</v>
      </c>
      <c r="D406" t="s">
        <v>378</v>
      </c>
      <c r="E406">
        <v>24</v>
      </c>
      <c r="F406" t="s">
        <v>423</v>
      </c>
      <c r="G406" t="s">
        <v>358</v>
      </c>
      <c r="H406" s="27">
        <v>46142</v>
      </c>
      <c r="J406" t="s">
        <v>411</v>
      </c>
    </row>
    <row r="407" spans="1:10" ht="15" customHeight="1" x14ac:dyDescent="0.25">
      <c r="A407" t="s">
        <v>1210</v>
      </c>
      <c r="B407" t="s">
        <v>40</v>
      </c>
      <c r="C407" t="s">
        <v>245</v>
      </c>
      <c r="D407" t="s">
        <v>378</v>
      </c>
      <c r="E407">
        <v>24</v>
      </c>
      <c r="F407" t="s">
        <v>423</v>
      </c>
      <c r="G407" t="s">
        <v>358</v>
      </c>
      <c r="H407" s="27">
        <v>46142</v>
      </c>
      <c r="J407" t="s">
        <v>411</v>
      </c>
    </row>
    <row r="408" spans="1:10" ht="15" customHeight="1" x14ac:dyDescent="0.25">
      <c r="A408" t="s">
        <v>1211</v>
      </c>
      <c r="B408" t="s">
        <v>40</v>
      </c>
      <c r="C408" t="s">
        <v>245</v>
      </c>
      <c r="D408" t="s">
        <v>378</v>
      </c>
      <c r="E408">
        <v>24</v>
      </c>
      <c r="F408" t="s">
        <v>423</v>
      </c>
      <c r="G408" t="s">
        <v>358</v>
      </c>
      <c r="H408" s="27">
        <v>46142</v>
      </c>
      <c r="J408" t="s">
        <v>411</v>
      </c>
    </row>
    <row r="409" spans="1:10" ht="15" customHeight="1" x14ac:dyDescent="0.25">
      <c r="A409" t="s">
        <v>1212</v>
      </c>
      <c r="B409" t="s">
        <v>40</v>
      </c>
      <c r="C409" t="s">
        <v>245</v>
      </c>
      <c r="D409" t="s">
        <v>378</v>
      </c>
      <c r="E409">
        <v>24</v>
      </c>
      <c r="F409" t="s">
        <v>423</v>
      </c>
      <c r="G409" t="s">
        <v>358</v>
      </c>
      <c r="H409" s="27">
        <v>46142</v>
      </c>
      <c r="J409" t="s">
        <v>411</v>
      </c>
    </row>
    <row r="410" spans="1:10" ht="15" customHeight="1" x14ac:dyDescent="0.25">
      <c r="A410" t="s">
        <v>1213</v>
      </c>
      <c r="B410" t="s">
        <v>40</v>
      </c>
      <c r="C410" t="s">
        <v>245</v>
      </c>
      <c r="D410" t="s">
        <v>378</v>
      </c>
      <c r="E410">
        <v>24</v>
      </c>
      <c r="F410" t="s">
        <v>423</v>
      </c>
      <c r="G410" t="s">
        <v>358</v>
      </c>
      <c r="H410" s="27">
        <v>46142</v>
      </c>
      <c r="J410" t="s">
        <v>411</v>
      </c>
    </row>
    <row r="411" spans="1:10" ht="15" customHeight="1" x14ac:dyDescent="0.25">
      <c r="A411" t="s">
        <v>1214</v>
      </c>
      <c r="B411" t="s">
        <v>40</v>
      </c>
      <c r="C411" t="s">
        <v>414</v>
      </c>
      <c r="D411" t="s">
        <v>392</v>
      </c>
      <c r="E411">
        <v>24</v>
      </c>
      <c r="F411" t="s">
        <v>423</v>
      </c>
      <c r="G411" t="s">
        <v>358</v>
      </c>
      <c r="H411" s="27">
        <v>46143</v>
      </c>
      <c r="J411" t="s">
        <v>411</v>
      </c>
    </row>
    <row r="412" spans="1:10" ht="15" customHeight="1" x14ac:dyDescent="0.25">
      <c r="A412" t="s">
        <v>1215</v>
      </c>
      <c r="B412" t="s">
        <v>40</v>
      </c>
      <c r="C412" t="s">
        <v>392</v>
      </c>
      <c r="E412">
        <v>24</v>
      </c>
      <c r="F412" t="s">
        <v>423</v>
      </c>
      <c r="G412" t="s">
        <v>358</v>
      </c>
      <c r="H412" s="27">
        <v>46143</v>
      </c>
      <c r="J412" t="s">
        <v>411</v>
      </c>
    </row>
    <row r="413" spans="1:10" ht="15" customHeight="1" x14ac:dyDescent="0.25">
      <c r="A413" t="s">
        <v>1216</v>
      </c>
      <c r="B413" t="s">
        <v>40</v>
      </c>
      <c r="C413" t="s">
        <v>392</v>
      </c>
      <c r="D413" t="s">
        <v>245</v>
      </c>
      <c r="E413">
        <v>24</v>
      </c>
      <c r="F413" t="s">
        <v>423</v>
      </c>
      <c r="G413" t="s">
        <v>358</v>
      </c>
      <c r="H413" s="27">
        <v>46144</v>
      </c>
      <c r="J413" t="s">
        <v>411</v>
      </c>
    </row>
    <row r="414" spans="1:10" ht="15" customHeight="1" x14ac:dyDescent="0.25">
      <c r="A414" t="s">
        <v>1217</v>
      </c>
      <c r="B414" t="s">
        <v>40</v>
      </c>
      <c r="C414" t="s">
        <v>378</v>
      </c>
      <c r="D414" t="s">
        <v>245</v>
      </c>
      <c r="E414">
        <v>24</v>
      </c>
      <c r="F414" t="s">
        <v>423</v>
      </c>
      <c r="G414" t="s">
        <v>358</v>
      </c>
      <c r="H414" s="27">
        <v>46144</v>
      </c>
      <c r="J414" t="s">
        <v>411</v>
      </c>
    </row>
    <row r="415" spans="1:10" ht="15" customHeight="1" x14ac:dyDescent="0.25">
      <c r="A415" t="s">
        <v>1218</v>
      </c>
      <c r="B415" t="s">
        <v>40</v>
      </c>
      <c r="C415" t="s">
        <v>392</v>
      </c>
      <c r="D415" t="s">
        <v>245</v>
      </c>
      <c r="E415">
        <v>24</v>
      </c>
      <c r="F415" t="s">
        <v>423</v>
      </c>
      <c r="G415" t="s">
        <v>358</v>
      </c>
      <c r="H415" s="27">
        <v>46144</v>
      </c>
      <c r="J415" t="s">
        <v>411</v>
      </c>
    </row>
    <row r="416" spans="1:10" ht="15" customHeight="1" x14ac:dyDescent="0.25">
      <c r="A416" t="s">
        <v>1219</v>
      </c>
      <c r="B416" t="s">
        <v>40</v>
      </c>
      <c r="C416" t="s">
        <v>392</v>
      </c>
      <c r="D416" t="s">
        <v>245</v>
      </c>
      <c r="E416">
        <v>24</v>
      </c>
      <c r="F416" t="s">
        <v>423</v>
      </c>
      <c r="G416" t="s">
        <v>358</v>
      </c>
      <c r="H416" s="27">
        <v>46144</v>
      </c>
      <c r="J416" t="s">
        <v>411</v>
      </c>
    </row>
    <row r="417" spans="1:10" ht="15" customHeight="1" x14ac:dyDescent="0.25">
      <c r="A417" t="s">
        <v>1220</v>
      </c>
      <c r="B417" t="s">
        <v>40</v>
      </c>
      <c r="C417" t="s">
        <v>378</v>
      </c>
      <c r="E417">
        <v>21</v>
      </c>
      <c r="F417" t="s">
        <v>423</v>
      </c>
      <c r="G417" t="s">
        <v>358</v>
      </c>
      <c r="H417" s="27">
        <v>46146</v>
      </c>
      <c r="J417" t="s">
        <v>411</v>
      </c>
    </row>
    <row r="418" spans="1:10" ht="15" customHeight="1" x14ac:dyDescent="0.25">
      <c r="A418" t="s">
        <v>1221</v>
      </c>
      <c r="B418" t="s">
        <v>40</v>
      </c>
      <c r="C418" t="s">
        <v>378</v>
      </c>
      <c r="E418">
        <v>21</v>
      </c>
      <c r="F418" t="s">
        <v>423</v>
      </c>
      <c r="G418" t="s">
        <v>358</v>
      </c>
      <c r="H418" s="27">
        <v>46146</v>
      </c>
      <c r="J418" t="s">
        <v>411</v>
      </c>
    </row>
    <row r="419" spans="1:10" ht="15" customHeight="1" x14ac:dyDescent="0.25">
      <c r="A419" t="s">
        <v>1222</v>
      </c>
      <c r="B419" t="s">
        <v>40</v>
      </c>
      <c r="C419" t="s">
        <v>378</v>
      </c>
      <c r="E419">
        <v>21</v>
      </c>
      <c r="F419" t="s">
        <v>423</v>
      </c>
      <c r="G419" t="s">
        <v>358</v>
      </c>
      <c r="H419" s="27">
        <v>46146</v>
      </c>
      <c r="J419" t="s">
        <v>411</v>
      </c>
    </row>
    <row r="420" spans="1:10" ht="15" customHeight="1" x14ac:dyDescent="0.25">
      <c r="A420" t="s">
        <v>1223</v>
      </c>
      <c r="B420" t="s">
        <v>40</v>
      </c>
      <c r="C420" t="s">
        <v>378</v>
      </c>
      <c r="E420">
        <v>21</v>
      </c>
      <c r="F420" t="s">
        <v>423</v>
      </c>
      <c r="G420" t="s">
        <v>358</v>
      </c>
      <c r="H420" s="27">
        <v>46146</v>
      </c>
      <c r="J420" t="s">
        <v>411</v>
      </c>
    </row>
    <row r="421" spans="1:10" ht="15" customHeight="1" x14ac:dyDescent="0.25">
      <c r="A421" t="s">
        <v>1224</v>
      </c>
      <c r="B421" t="s">
        <v>40</v>
      </c>
      <c r="C421" t="s">
        <v>378</v>
      </c>
      <c r="E421">
        <v>21</v>
      </c>
      <c r="F421" t="s">
        <v>423</v>
      </c>
      <c r="G421" t="s">
        <v>358</v>
      </c>
      <c r="H421" s="27">
        <v>46146</v>
      </c>
      <c r="J421" t="s">
        <v>411</v>
      </c>
    </row>
    <row r="422" spans="1:10" ht="15" customHeight="1" x14ac:dyDescent="0.25">
      <c r="A422" t="s">
        <v>1225</v>
      </c>
      <c r="B422" t="s">
        <v>40</v>
      </c>
      <c r="C422" t="s">
        <v>378</v>
      </c>
      <c r="E422">
        <v>21</v>
      </c>
      <c r="F422" t="s">
        <v>423</v>
      </c>
      <c r="G422" t="s">
        <v>358</v>
      </c>
      <c r="H422" s="27">
        <v>46146</v>
      </c>
      <c r="J422" t="s">
        <v>411</v>
      </c>
    </row>
    <row r="423" spans="1:10" ht="15" customHeight="1" x14ac:dyDescent="0.25">
      <c r="A423" t="s">
        <v>1226</v>
      </c>
      <c r="B423" t="s">
        <v>40</v>
      </c>
      <c r="C423" t="s">
        <v>378</v>
      </c>
      <c r="E423">
        <v>21</v>
      </c>
      <c r="F423" t="s">
        <v>423</v>
      </c>
      <c r="G423" t="s">
        <v>358</v>
      </c>
      <c r="H423" s="27">
        <v>46146</v>
      </c>
      <c r="J423" t="s">
        <v>411</v>
      </c>
    </row>
    <row r="424" spans="1:10" ht="15" customHeight="1" x14ac:dyDescent="0.25">
      <c r="A424" t="s">
        <v>1227</v>
      </c>
      <c r="B424" t="s">
        <v>40</v>
      </c>
      <c r="C424" t="s">
        <v>378</v>
      </c>
      <c r="E424">
        <v>21</v>
      </c>
      <c r="F424" t="s">
        <v>423</v>
      </c>
      <c r="G424" t="s">
        <v>358</v>
      </c>
      <c r="H424" s="27">
        <v>46146</v>
      </c>
      <c r="J424" t="s">
        <v>411</v>
      </c>
    </row>
    <row r="425" spans="1:10" ht="15" customHeight="1" x14ac:dyDescent="0.25">
      <c r="A425" t="s">
        <v>1228</v>
      </c>
      <c r="B425" t="s">
        <v>40</v>
      </c>
      <c r="C425" t="s">
        <v>378</v>
      </c>
      <c r="D425" t="s">
        <v>392</v>
      </c>
      <c r="E425">
        <v>24</v>
      </c>
      <c r="F425" t="s">
        <v>423</v>
      </c>
      <c r="G425" t="s">
        <v>358</v>
      </c>
      <c r="H425" s="27">
        <v>46147</v>
      </c>
      <c r="J425" t="s">
        <v>411</v>
      </c>
    </row>
    <row r="426" spans="1:10" ht="15" customHeight="1" x14ac:dyDescent="0.25">
      <c r="A426" t="s">
        <v>1229</v>
      </c>
      <c r="B426" t="s">
        <v>40</v>
      </c>
      <c r="C426" t="s">
        <v>245</v>
      </c>
      <c r="D426" t="s">
        <v>392</v>
      </c>
      <c r="E426">
        <v>1846</v>
      </c>
      <c r="F426" s="23" t="s">
        <v>438</v>
      </c>
      <c r="G426" t="s">
        <v>358</v>
      </c>
      <c r="H426" s="27">
        <v>46148</v>
      </c>
      <c r="J426" t="s">
        <v>1230</v>
      </c>
    </row>
    <row r="427" spans="1:10" ht="15" customHeight="1" x14ac:dyDescent="0.25">
      <c r="A427" t="s">
        <v>1231</v>
      </c>
      <c r="B427" t="s">
        <v>40</v>
      </c>
      <c r="C427" t="s">
        <v>1232</v>
      </c>
      <c r="D427" t="s">
        <v>378</v>
      </c>
      <c r="E427">
        <v>24</v>
      </c>
      <c r="F427" t="s">
        <v>423</v>
      </c>
      <c r="G427" t="s">
        <v>358</v>
      </c>
      <c r="H427" s="27">
        <v>46150</v>
      </c>
      <c r="J427" t="s">
        <v>440</v>
      </c>
    </row>
    <row r="428" spans="1:10" ht="15" customHeight="1" x14ac:dyDescent="0.25">
      <c r="A428" t="s">
        <v>1233</v>
      </c>
      <c r="B428" t="s">
        <v>40</v>
      </c>
      <c r="C428" t="s">
        <v>1234</v>
      </c>
      <c r="D428" t="s">
        <v>378</v>
      </c>
      <c r="E428">
        <v>24</v>
      </c>
      <c r="F428" t="s">
        <v>423</v>
      </c>
      <c r="G428" t="s">
        <v>358</v>
      </c>
      <c r="H428" s="27">
        <v>46150</v>
      </c>
      <c r="J428" t="s">
        <v>440</v>
      </c>
    </row>
    <row r="429" spans="1:10" ht="15" customHeight="1" x14ac:dyDescent="0.25">
      <c r="A429" t="s">
        <v>1235</v>
      </c>
      <c r="B429" t="s">
        <v>40</v>
      </c>
      <c r="C429" t="s">
        <v>378</v>
      </c>
      <c r="D429" t="s">
        <v>377</v>
      </c>
      <c r="E429">
        <v>24</v>
      </c>
      <c r="F429" t="s">
        <v>423</v>
      </c>
      <c r="G429" t="s">
        <v>358</v>
      </c>
      <c r="H429" s="27">
        <v>46153</v>
      </c>
      <c r="J429" t="s">
        <v>440</v>
      </c>
    </row>
    <row r="430" spans="1:10" ht="15" customHeight="1" x14ac:dyDescent="0.25">
      <c r="A430" t="s">
        <v>1236</v>
      </c>
      <c r="B430" t="s">
        <v>40</v>
      </c>
      <c r="C430" t="s">
        <v>378</v>
      </c>
      <c r="D430" t="s">
        <v>377</v>
      </c>
      <c r="E430">
        <v>24</v>
      </c>
      <c r="F430" t="s">
        <v>423</v>
      </c>
      <c r="G430" t="s">
        <v>358</v>
      </c>
      <c r="H430" s="27">
        <v>46153</v>
      </c>
      <c r="I430" t="s">
        <v>1237</v>
      </c>
      <c r="J430" t="s">
        <v>440</v>
      </c>
    </row>
    <row r="431" spans="1:10" ht="15" customHeight="1" x14ac:dyDescent="0.25">
      <c r="A431" t="s">
        <v>1238</v>
      </c>
      <c r="B431" t="s">
        <v>40</v>
      </c>
      <c r="C431" t="s">
        <v>377</v>
      </c>
      <c r="D431" t="s">
        <v>414</v>
      </c>
      <c r="E431">
        <v>24</v>
      </c>
      <c r="F431" t="s">
        <v>423</v>
      </c>
      <c r="G431" t="s">
        <v>358</v>
      </c>
      <c r="H431" s="27">
        <v>46154</v>
      </c>
      <c r="I431" t="s">
        <v>1239</v>
      </c>
      <c r="J431" t="s">
        <v>440</v>
      </c>
    </row>
    <row r="432" spans="1:10" ht="15" customHeight="1" x14ac:dyDescent="0.25">
      <c r="A432" t="s">
        <v>1240</v>
      </c>
      <c r="B432" t="s">
        <v>40</v>
      </c>
      <c r="C432" t="s">
        <v>1234</v>
      </c>
      <c r="D432" t="s">
        <v>392</v>
      </c>
      <c r="E432">
        <v>24</v>
      </c>
      <c r="F432" t="s">
        <v>423</v>
      </c>
      <c r="G432" t="s">
        <v>358</v>
      </c>
      <c r="H432" s="27">
        <v>46160</v>
      </c>
      <c r="J432" t="s">
        <v>440</v>
      </c>
    </row>
    <row r="433" spans="1:10" ht="15" customHeight="1" x14ac:dyDescent="0.25">
      <c r="A433" t="s">
        <v>1241</v>
      </c>
      <c r="B433" t="s">
        <v>40</v>
      </c>
      <c r="C433" t="s">
        <v>392</v>
      </c>
      <c r="E433">
        <v>24</v>
      </c>
      <c r="F433" t="s">
        <v>423</v>
      </c>
      <c r="G433" t="s">
        <v>358</v>
      </c>
      <c r="H433" s="27">
        <v>46161</v>
      </c>
      <c r="J433" t="s">
        <v>440</v>
      </c>
    </row>
    <row r="434" spans="1:10" ht="15" customHeight="1" x14ac:dyDescent="0.25">
      <c r="A434" t="s">
        <v>1242</v>
      </c>
      <c r="B434" t="s">
        <v>40</v>
      </c>
      <c r="C434" t="s">
        <v>1234</v>
      </c>
      <c r="D434" t="s">
        <v>392</v>
      </c>
      <c r="E434">
        <v>24</v>
      </c>
      <c r="F434" t="s">
        <v>423</v>
      </c>
      <c r="G434" t="s">
        <v>358</v>
      </c>
      <c r="H434" s="27">
        <v>46163</v>
      </c>
      <c r="J434" t="s">
        <v>440</v>
      </c>
    </row>
    <row r="1048576" spans="6:6" ht="15" customHeight="1" x14ac:dyDescent="0.25">
      <c r="F1048576"/>
    </row>
  </sheetData>
  <autoFilter ref="B1:B1048576" xr:uid="{95C0E9D7-1B95-4D4B-B630-3FC9A63F831A}"/>
  <sortState xmlns:xlrd2="http://schemas.microsoft.com/office/spreadsheetml/2017/richdata2" ref="A3:G5">
    <sortCondition ref="A3:A5"/>
  </sortState>
  <phoneticPr fontId="16" type="noConversion"/>
  <hyperlinks>
    <hyperlink ref="K2" r:id="rId1" xr:uid="{2B83091E-D495-411A-B506-686DD2BEE28C}"/>
    <hyperlink ref="K3" r:id="rId2" xr:uid="{0CCD0D73-06FB-4FAF-960C-3FAED3EED14D}"/>
    <hyperlink ref="K4" r:id="rId3" xr:uid="{B05E598A-7D80-4A94-AEBD-498BD1E9A5E3}"/>
    <hyperlink ref="K5" r:id="rId4" xr:uid="{1459EDA1-592E-4A69-A13E-8607FF49DC15}"/>
    <hyperlink ref="K6" r:id="rId5" xr:uid="{80F8F928-E6A0-47C9-9F8E-6E785EAA131D}"/>
    <hyperlink ref="K7" r:id="rId6" xr:uid="{AE8487AC-D2B4-4856-B9DC-7B505BA8E998}"/>
    <hyperlink ref="K8" r:id="rId7" xr:uid="{6BF78574-3FBE-4B7A-97F0-B6EB7EAD906C}"/>
    <hyperlink ref="K9" r:id="rId8" xr:uid="{CE169BCA-C965-4D06-BD92-0124C8F9934A}"/>
    <hyperlink ref="K10" r:id="rId9" xr:uid="{ED655527-C6C8-4D92-9438-0C10F4425C7F}"/>
    <hyperlink ref="K11" r:id="rId10" xr:uid="{B5014F70-B03C-4E32-A613-14A2753A47AD}"/>
    <hyperlink ref="K12" r:id="rId11" xr:uid="{27307CD1-7D75-4FD5-9217-6AEFEF0F5B10}"/>
    <hyperlink ref="K13" r:id="rId12" xr:uid="{65EEE0AE-B8E1-4D91-B4F1-CADF18B51E76}"/>
    <hyperlink ref="K14" r:id="rId13" xr:uid="{A3F94F8C-6FF1-41DE-8CBB-944941EE8729}"/>
    <hyperlink ref="K16" r:id="rId14" xr:uid="{E2256225-0C73-427E-86C9-CB763DCF01EF}"/>
    <hyperlink ref="K15" r:id="rId15" xr:uid="{75786350-980C-42FF-AD69-1B797184E7C0}"/>
    <hyperlink ref="K17" r:id="rId16" xr:uid="{395221EA-783B-4406-96DF-260B6E723DDD}"/>
    <hyperlink ref="K18" r:id="rId17" xr:uid="{E0AD4365-7A6E-43C3-9C56-871122B53183}"/>
    <hyperlink ref="K19" r:id="rId18" xr:uid="{11A7063C-B6F8-40B2-9913-073F5F4FC548}"/>
    <hyperlink ref="K20" r:id="rId19" xr:uid="{C287E39B-BB67-4BD6-8B26-650892272FF9}"/>
    <hyperlink ref="K21" r:id="rId20" xr:uid="{E006D023-A837-4E1A-8BBB-78AB2A74CFBF}"/>
    <hyperlink ref="K22" r:id="rId21" xr:uid="{70D0607F-66A8-4AE4-923A-27B6F6A6AE0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06E37-18CE-40BF-AA02-181B2CF1C679}">
  <dimension ref="A1:R400"/>
  <sheetViews>
    <sheetView tabSelected="1" zoomScale="85" zoomScaleNormal="85" workbookViewId="0">
      <pane ySplit="1" topLeftCell="A256" activePane="bottomLeft" state="frozen"/>
      <selection pane="bottomLeft" activeCell="C268" sqref="C268"/>
    </sheetView>
  </sheetViews>
  <sheetFormatPr defaultRowHeight="15" customHeight="1" x14ac:dyDescent="0.25"/>
  <cols>
    <col min="1" max="1" width="67.7109375" customWidth="1"/>
    <col min="3" max="3" width="13.7109375" bestFit="1" customWidth="1"/>
    <col min="4" max="4" width="19.42578125" customWidth="1"/>
    <col min="5" max="5" width="13" bestFit="1" customWidth="1"/>
    <col min="6" max="6" width="36.28515625" style="31" bestFit="1" customWidth="1"/>
    <col min="7" max="7" width="14.42578125" bestFit="1" customWidth="1"/>
    <col min="8" max="8" width="18.7109375" style="27" customWidth="1"/>
    <col min="9" max="9" width="51.7109375" customWidth="1"/>
    <col min="10" max="10" width="20.28515625" customWidth="1"/>
    <col min="11" max="11" width="72.28515625" bestFit="1" customWidth="1"/>
  </cols>
  <sheetData>
    <row r="1" spans="1:18" ht="15.75" thickBot="1" x14ac:dyDescent="0.3">
      <c r="A1" s="6" t="s">
        <v>28</v>
      </c>
      <c r="B1" s="7" t="s">
        <v>29</v>
      </c>
      <c r="C1" s="7" t="s">
        <v>30</v>
      </c>
      <c r="D1" s="7" t="s">
        <v>31</v>
      </c>
      <c r="E1" s="7" t="s">
        <v>32</v>
      </c>
      <c r="F1" s="7" t="s">
        <v>33</v>
      </c>
      <c r="G1" s="7" t="s">
        <v>34</v>
      </c>
      <c r="H1" s="5" t="s">
        <v>35</v>
      </c>
      <c r="I1" s="8" t="s">
        <v>36</v>
      </c>
      <c r="J1" s="96" t="s">
        <v>1243</v>
      </c>
      <c r="K1" s="5" t="s">
        <v>38</v>
      </c>
    </row>
    <row r="2" spans="1:18" x14ac:dyDescent="0.25">
      <c r="A2" t="s">
        <v>1244</v>
      </c>
      <c r="B2" t="s">
        <v>40</v>
      </c>
      <c r="E2">
        <v>1000</v>
      </c>
      <c r="F2" s="31" t="s">
        <v>64</v>
      </c>
      <c r="G2" t="s">
        <v>34</v>
      </c>
      <c r="H2" s="30">
        <v>45570</v>
      </c>
      <c r="I2" t="s">
        <v>1245</v>
      </c>
      <c r="J2" t="s">
        <v>58</v>
      </c>
      <c r="K2" s="42" t="s">
        <v>1246</v>
      </c>
    </row>
    <row r="3" spans="1:18" x14ac:dyDescent="0.25">
      <c r="A3" t="s">
        <v>1247</v>
      </c>
      <c r="B3" t="s">
        <v>40</v>
      </c>
      <c r="E3">
        <v>1000</v>
      </c>
      <c r="F3" s="31" t="s">
        <v>64</v>
      </c>
      <c r="G3" t="s">
        <v>52</v>
      </c>
      <c r="H3" s="30">
        <v>45570</v>
      </c>
      <c r="I3" t="s">
        <v>1245</v>
      </c>
      <c r="J3" t="s">
        <v>58</v>
      </c>
      <c r="K3" s="42" t="s">
        <v>1248</v>
      </c>
    </row>
    <row r="4" spans="1:18" ht="15" customHeight="1" x14ac:dyDescent="0.25">
      <c r="A4" s="1" t="s">
        <v>1249</v>
      </c>
      <c r="B4" t="s">
        <v>40</v>
      </c>
      <c r="E4">
        <v>1000</v>
      </c>
      <c r="F4" s="31" t="s">
        <v>64</v>
      </c>
      <c r="G4" t="s">
        <v>52</v>
      </c>
      <c r="H4" s="30">
        <v>45570</v>
      </c>
      <c r="I4" t="s">
        <v>1250</v>
      </c>
      <c r="J4" t="s">
        <v>58</v>
      </c>
      <c r="K4" s="42" t="s">
        <v>1251</v>
      </c>
    </row>
    <row r="5" spans="1:18" x14ac:dyDescent="0.25">
      <c r="A5" s="1" t="s">
        <v>1252</v>
      </c>
      <c r="B5" t="s">
        <v>40</v>
      </c>
      <c r="E5">
        <v>168</v>
      </c>
      <c r="F5" s="31" t="s">
        <v>41</v>
      </c>
      <c r="G5" t="s">
        <v>52</v>
      </c>
      <c r="H5" s="30" t="s">
        <v>1253</v>
      </c>
      <c r="J5" t="s">
        <v>58</v>
      </c>
      <c r="K5" s="42" t="s">
        <v>1254</v>
      </c>
    </row>
    <row r="6" spans="1:18" x14ac:dyDescent="0.25">
      <c r="A6" s="2" t="s">
        <v>1255</v>
      </c>
      <c r="B6" t="s">
        <v>40</v>
      </c>
      <c r="E6">
        <v>168</v>
      </c>
      <c r="F6" s="31" t="s">
        <v>41</v>
      </c>
      <c r="G6" t="s">
        <v>52</v>
      </c>
      <c r="H6" s="30" t="s">
        <v>1256</v>
      </c>
      <c r="I6" t="s">
        <v>1257</v>
      </c>
      <c r="J6" t="s">
        <v>58</v>
      </c>
      <c r="K6" s="42" t="s">
        <v>1258</v>
      </c>
      <c r="R6" t="s">
        <v>1259</v>
      </c>
    </row>
    <row r="7" spans="1:18" x14ac:dyDescent="0.25">
      <c r="A7" s="1" t="s">
        <v>1260</v>
      </c>
      <c r="B7" t="s">
        <v>40</v>
      </c>
      <c r="E7">
        <v>168</v>
      </c>
      <c r="F7" s="31" t="s">
        <v>41</v>
      </c>
      <c r="G7" t="s">
        <v>52</v>
      </c>
      <c r="H7" s="30" t="s">
        <v>1256</v>
      </c>
      <c r="I7" t="s">
        <v>1261</v>
      </c>
      <c r="J7" t="s">
        <v>58</v>
      </c>
      <c r="K7" s="42" t="s">
        <v>1262</v>
      </c>
    </row>
    <row r="8" spans="1:18" x14ac:dyDescent="0.25">
      <c r="A8" t="s">
        <v>1263</v>
      </c>
      <c r="B8" t="s">
        <v>105</v>
      </c>
      <c r="E8">
        <v>168</v>
      </c>
      <c r="F8" s="31" t="s">
        <v>41</v>
      </c>
      <c r="G8" t="s">
        <v>52</v>
      </c>
      <c r="H8" s="30"/>
      <c r="I8" t="s">
        <v>1264</v>
      </c>
      <c r="J8" t="s">
        <v>58</v>
      </c>
      <c r="K8" t="s">
        <v>1265</v>
      </c>
    </row>
    <row r="9" spans="1:18" x14ac:dyDescent="0.25">
      <c r="A9" t="s">
        <v>1266</v>
      </c>
      <c r="B9" t="s">
        <v>40</v>
      </c>
      <c r="E9">
        <v>168</v>
      </c>
      <c r="F9" s="31" t="s">
        <v>41</v>
      </c>
      <c r="G9" t="s">
        <v>52</v>
      </c>
      <c r="H9" s="30"/>
      <c r="I9" t="s">
        <v>1267</v>
      </c>
      <c r="J9" t="s">
        <v>58</v>
      </c>
      <c r="K9" s="26" t="s">
        <v>1268</v>
      </c>
    </row>
    <row r="10" spans="1:18" x14ac:dyDescent="0.25">
      <c r="A10" t="s">
        <v>1269</v>
      </c>
      <c r="B10" t="s">
        <v>105</v>
      </c>
      <c r="E10">
        <v>168</v>
      </c>
      <c r="F10" s="31" t="s">
        <v>41</v>
      </c>
      <c r="G10" t="s">
        <v>52</v>
      </c>
      <c r="H10" s="30" t="s">
        <v>42</v>
      </c>
      <c r="I10" s="1" t="s">
        <v>1270</v>
      </c>
      <c r="J10" t="s">
        <v>58</v>
      </c>
      <c r="K10" s="42" t="s">
        <v>1271</v>
      </c>
    </row>
    <row r="11" spans="1:18" x14ac:dyDescent="0.25">
      <c r="A11" t="s">
        <v>1272</v>
      </c>
      <c r="B11" t="s">
        <v>105</v>
      </c>
      <c r="E11">
        <v>168</v>
      </c>
      <c r="F11" s="31" t="s">
        <v>41</v>
      </c>
      <c r="G11" t="s">
        <v>52</v>
      </c>
      <c r="H11" s="30" t="s">
        <v>1273</v>
      </c>
      <c r="I11" t="s">
        <v>1274</v>
      </c>
      <c r="J11" t="s">
        <v>43</v>
      </c>
      <c r="K11" s="42" t="s">
        <v>1275</v>
      </c>
    </row>
    <row r="12" spans="1:18" x14ac:dyDescent="0.25">
      <c r="A12" t="s">
        <v>1276</v>
      </c>
      <c r="B12" t="s">
        <v>105</v>
      </c>
      <c r="E12">
        <v>168</v>
      </c>
      <c r="F12" s="31" t="s">
        <v>41</v>
      </c>
      <c r="G12" t="s">
        <v>52</v>
      </c>
      <c r="H12" s="30" t="s">
        <v>1273</v>
      </c>
      <c r="J12" t="s">
        <v>43</v>
      </c>
      <c r="K12" s="42" t="s">
        <v>1277</v>
      </c>
    </row>
    <row r="13" spans="1:18" x14ac:dyDescent="0.25">
      <c r="A13" t="s">
        <v>1278</v>
      </c>
      <c r="B13" t="s">
        <v>105</v>
      </c>
      <c r="E13">
        <v>168</v>
      </c>
      <c r="F13" s="31" t="s">
        <v>41</v>
      </c>
      <c r="G13" t="s">
        <v>52</v>
      </c>
      <c r="H13" s="30" t="s">
        <v>1279</v>
      </c>
      <c r="I13" t="s">
        <v>1280</v>
      </c>
      <c r="J13" t="s">
        <v>43</v>
      </c>
      <c r="K13" s="42" t="s">
        <v>1281</v>
      </c>
    </row>
    <row r="14" spans="1:18" x14ac:dyDescent="0.25">
      <c r="A14" t="s">
        <v>1282</v>
      </c>
      <c r="B14" t="s">
        <v>105</v>
      </c>
      <c r="E14">
        <v>168</v>
      </c>
      <c r="F14" s="31" t="s">
        <v>41</v>
      </c>
      <c r="G14" t="s">
        <v>52</v>
      </c>
      <c r="H14" s="30" t="s">
        <v>1279</v>
      </c>
      <c r="J14" t="s">
        <v>43</v>
      </c>
      <c r="K14" s="42" t="s">
        <v>1283</v>
      </c>
    </row>
    <row r="15" spans="1:18" x14ac:dyDescent="0.25">
      <c r="A15" t="s">
        <v>1284</v>
      </c>
      <c r="B15" t="s">
        <v>105</v>
      </c>
      <c r="E15">
        <v>168</v>
      </c>
      <c r="F15" s="31" t="s">
        <v>41</v>
      </c>
      <c r="G15" t="s">
        <v>52</v>
      </c>
      <c r="H15" s="30" t="s">
        <v>1279</v>
      </c>
      <c r="I15" t="s">
        <v>1285</v>
      </c>
      <c r="J15" t="s">
        <v>43</v>
      </c>
      <c r="K15" s="42" t="s">
        <v>1286</v>
      </c>
    </row>
    <row r="16" spans="1:18" x14ac:dyDescent="0.25">
      <c r="A16" t="s">
        <v>1287</v>
      </c>
      <c r="B16" t="s">
        <v>105</v>
      </c>
      <c r="E16">
        <v>171</v>
      </c>
      <c r="F16" s="31" t="s">
        <v>48</v>
      </c>
      <c r="G16" t="s">
        <v>52</v>
      </c>
      <c r="H16" s="17" t="s">
        <v>1279</v>
      </c>
      <c r="I16" t="s">
        <v>1288</v>
      </c>
      <c r="J16" t="s">
        <v>43</v>
      </c>
      <c r="K16" s="42" t="s">
        <v>1289</v>
      </c>
    </row>
    <row r="17" spans="1:11" x14ac:dyDescent="0.25">
      <c r="A17" s="1" t="s">
        <v>1290</v>
      </c>
      <c r="B17" t="s">
        <v>105</v>
      </c>
      <c r="E17">
        <v>168</v>
      </c>
      <c r="F17" s="31" t="s">
        <v>41</v>
      </c>
      <c r="G17" t="s">
        <v>52</v>
      </c>
      <c r="H17" s="17" t="s">
        <v>1291</v>
      </c>
      <c r="J17" t="s">
        <v>43</v>
      </c>
      <c r="K17" s="42" t="s">
        <v>1292</v>
      </c>
    </row>
    <row r="18" spans="1:11" x14ac:dyDescent="0.25">
      <c r="A18" t="s">
        <v>1293</v>
      </c>
      <c r="B18" t="s">
        <v>105</v>
      </c>
      <c r="E18">
        <v>168</v>
      </c>
      <c r="F18" s="31" t="s">
        <v>41</v>
      </c>
      <c r="G18" t="s">
        <v>52</v>
      </c>
      <c r="H18" s="17" t="s">
        <v>1291</v>
      </c>
      <c r="J18" t="s">
        <v>43</v>
      </c>
      <c r="K18" s="42" t="s">
        <v>1294</v>
      </c>
    </row>
    <row r="19" spans="1:11" x14ac:dyDescent="0.25">
      <c r="A19" t="s">
        <v>1295</v>
      </c>
      <c r="B19" t="s">
        <v>105</v>
      </c>
      <c r="E19">
        <v>168</v>
      </c>
      <c r="F19" s="31" t="s">
        <v>41</v>
      </c>
      <c r="G19" t="s">
        <v>52</v>
      </c>
      <c r="H19" s="17">
        <v>45324</v>
      </c>
      <c r="I19" t="s">
        <v>1296</v>
      </c>
      <c r="J19" t="s">
        <v>43</v>
      </c>
      <c r="K19" s="42" t="s">
        <v>1297</v>
      </c>
    </row>
    <row r="20" spans="1:11" x14ac:dyDescent="0.25">
      <c r="A20" t="s">
        <v>1298</v>
      </c>
      <c r="B20" t="s">
        <v>105</v>
      </c>
      <c r="E20">
        <v>168</v>
      </c>
      <c r="F20" s="31" t="s">
        <v>41</v>
      </c>
      <c r="G20" t="s">
        <v>52</v>
      </c>
      <c r="H20" s="17"/>
      <c r="J20" t="s">
        <v>43</v>
      </c>
      <c r="K20" s="42" t="s">
        <v>1299</v>
      </c>
    </row>
    <row r="21" spans="1:11" x14ac:dyDescent="0.25">
      <c r="A21" t="s">
        <v>1300</v>
      </c>
      <c r="B21" t="s">
        <v>105</v>
      </c>
      <c r="E21">
        <v>168</v>
      </c>
      <c r="F21" s="31" t="s">
        <v>41</v>
      </c>
      <c r="G21" t="s">
        <v>52</v>
      </c>
      <c r="H21" s="17">
        <v>45635</v>
      </c>
      <c r="J21" t="s">
        <v>43</v>
      </c>
      <c r="K21" s="42" t="s">
        <v>1301</v>
      </c>
    </row>
    <row r="22" spans="1:11" x14ac:dyDescent="0.25">
      <c r="A22" t="s">
        <v>1302</v>
      </c>
      <c r="B22" t="s">
        <v>105</v>
      </c>
      <c r="E22">
        <v>168</v>
      </c>
      <c r="F22" s="31" t="s">
        <v>41</v>
      </c>
      <c r="G22" t="s">
        <v>52</v>
      </c>
      <c r="H22" s="17">
        <v>45635</v>
      </c>
      <c r="J22" t="s">
        <v>43</v>
      </c>
      <c r="K22" s="42" t="s">
        <v>1303</v>
      </c>
    </row>
    <row r="23" spans="1:11" x14ac:dyDescent="0.25">
      <c r="A23" t="s">
        <v>1304</v>
      </c>
      <c r="B23" t="s">
        <v>105</v>
      </c>
      <c r="E23">
        <v>168</v>
      </c>
      <c r="F23" s="31" t="s">
        <v>41</v>
      </c>
      <c r="G23" t="s">
        <v>52</v>
      </c>
      <c r="H23" s="17">
        <v>45635</v>
      </c>
      <c r="J23" t="s">
        <v>43</v>
      </c>
      <c r="K23" s="42" t="s">
        <v>1305</v>
      </c>
    </row>
    <row r="24" spans="1:11" x14ac:dyDescent="0.25">
      <c r="A24" t="s">
        <v>1306</v>
      </c>
      <c r="B24" t="s">
        <v>105</v>
      </c>
      <c r="E24">
        <v>168</v>
      </c>
      <c r="F24" s="31" t="s">
        <v>41</v>
      </c>
      <c r="G24" t="s">
        <v>52</v>
      </c>
      <c r="H24" s="17">
        <v>45635</v>
      </c>
      <c r="J24" t="s">
        <v>43</v>
      </c>
      <c r="K24" s="42" t="s">
        <v>1307</v>
      </c>
    </row>
    <row r="25" spans="1:11" x14ac:dyDescent="0.25">
      <c r="A25" t="s">
        <v>1308</v>
      </c>
      <c r="B25" t="s">
        <v>521</v>
      </c>
      <c r="E25">
        <v>146</v>
      </c>
      <c r="F25" s="31" t="s">
        <v>56</v>
      </c>
      <c r="G25" t="s">
        <v>52</v>
      </c>
      <c r="H25" s="17">
        <v>45660</v>
      </c>
      <c r="I25" t="s">
        <v>1309</v>
      </c>
      <c r="J25" t="s">
        <v>1310</v>
      </c>
    </row>
    <row r="26" spans="1:11" ht="15" customHeight="1" x14ac:dyDescent="0.25">
      <c r="A26" t="s">
        <v>1311</v>
      </c>
      <c r="B26" t="s">
        <v>40</v>
      </c>
      <c r="D26" t="s">
        <v>194</v>
      </c>
      <c r="E26">
        <v>70</v>
      </c>
      <c r="F26" s="32" t="s">
        <v>1312</v>
      </c>
      <c r="G26" t="s">
        <v>52</v>
      </c>
      <c r="H26" s="27">
        <v>45694</v>
      </c>
      <c r="I26" t="s">
        <v>1313</v>
      </c>
      <c r="J26" t="s">
        <v>43</v>
      </c>
      <c r="K26" s="42" t="s">
        <v>1314</v>
      </c>
    </row>
    <row r="27" spans="1:11" ht="15" customHeight="1" x14ac:dyDescent="0.25">
      <c r="A27" t="s">
        <v>1315</v>
      </c>
      <c r="B27" t="s">
        <v>40</v>
      </c>
      <c r="D27" t="s">
        <v>194</v>
      </c>
      <c r="E27">
        <v>70</v>
      </c>
      <c r="F27" s="32" t="s">
        <v>1312</v>
      </c>
      <c r="G27" t="s">
        <v>52</v>
      </c>
      <c r="H27" s="27">
        <v>45694</v>
      </c>
      <c r="I27" t="s">
        <v>1313</v>
      </c>
      <c r="J27" t="s">
        <v>43</v>
      </c>
      <c r="K27" s="42" t="s">
        <v>1316</v>
      </c>
    </row>
    <row r="28" spans="1:11" ht="30" x14ac:dyDescent="0.25">
      <c r="A28" t="s">
        <v>1317</v>
      </c>
      <c r="B28" t="s">
        <v>40</v>
      </c>
      <c r="D28" t="s">
        <v>155</v>
      </c>
      <c r="E28">
        <v>70</v>
      </c>
      <c r="F28" s="32" t="s">
        <v>1312</v>
      </c>
      <c r="G28" t="s">
        <v>52</v>
      </c>
      <c r="H28" s="27">
        <v>45695</v>
      </c>
      <c r="I28" s="13" t="s">
        <v>1318</v>
      </c>
      <c r="J28" t="s">
        <v>43</v>
      </c>
      <c r="K28" s="42" t="s">
        <v>1319</v>
      </c>
    </row>
    <row r="29" spans="1:11" ht="30" x14ac:dyDescent="0.25">
      <c r="A29" t="s">
        <v>1320</v>
      </c>
      <c r="B29" t="s">
        <v>40</v>
      </c>
      <c r="D29" t="s">
        <v>155</v>
      </c>
      <c r="E29">
        <v>70</v>
      </c>
      <c r="F29" s="32" t="s">
        <v>1312</v>
      </c>
      <c r="G29" t="s">
        <v>52</v>
      </c>
      <c r="H29" s="27">
        <v>45695</v>
      </c>
      <c r="I29" s="13" t="s">
        <v>1318</v>
      </c>
      <c r="J29" t="s">
        <v>43</v>
      </c>
      <c r="K29" s="42" t="s">
        <v>1321</v>
      </c>
    </row>
    <row r="30" spans="1:11" ht="45" x14ac:dyDescent="0.25">
      <c r="A30" t="s">
        <v>1322</v>
      </c>
      <c r="B30" t="s">
        <v>40</v>
      </c>
      <c r="D30" t="s">
        <v>155</v>
      </c>
      <c r="E30">
        <v>168</v>
      </c>
      <c r="F30" s="31" t="s">
        <v>48</v>
      </c>
      <c r="G30" t="s">
        <v>52</v>
      </c>
      <c r="H30" s="27">
        <v>45695</v>
      </c>
      <c r="I30" s="13" t="s">
        <v>1323</v>
      </c>
      <c r="J30" t="s">
        <v>43</v>
      </c>
      <c r="K30" s="25" t="s">
        <v>1324</v>
      </c>
    </row>
    <row r="31" spans="1:11" ht="45" x14ac:dyDescent="0.25">
      <c r="A31" t="s">
        <v>1325</v>
      </c>
      <c r="B31" t="s">
        <v>40</v>
      </c>
      <c r="D31" t="s">
        <v>155</v>
      </c>
      <c r="E31">
        <v>168</v>
      </c>
      <c r="F31" s="31" t="s">
        <v>48</v>
      </c>
      <c r="G31" t="s">
        <v>52</v>
      </c>
      <c r="H31" s="27">
        <v>45695</v>
      </c>
      <c r="I31" s="13" t="s">
        <v>1323</v>
      </c>
      <c r="J31" t="s">
        <v>43</v>
      </c>
      <c r="K31" s="25" t="s">
        <v>1326</v>
      </c>
    </row>
    <row r="32" spans="1:11" ht="15" customHeight="1" x14ac:dyDescent="0.25">
      <c r="A32" t="s">
        <v>1327</v>
      </c>
      <c r="B32" t="s">
        <v>40</v>
      </c>
      <c r="D32" t="s">
        <v>155</v>
      </c>
      <c r="E32">
        <v>70</v>
      </c>
      <c r="F32" s="32" t="s">
        <v>1312</v>
      </c>
      <c r="G32" t="s">
        <v>52</v>
      </c>
      <c r="H32" s="27">
        <v>45695</v>
      </c>
      <c r="I32" t="s">
        <v>1328</v>
      </c>
      <c r="J32" t="s">
        <v>43</v>
      </c>
      <c r="K32" s="42" t="s">
        <v>1329</v>
      </c>
    </row>
    <row r="33" spans="1:11" ht="60" x14ac:dyDescent="0.25">
      <c r="A33" t="s">
        <v>1330</v>
      </c>
      <c r="B33" t="s">
        <v>40</v>
      </c>
      <c r="D33" t="s">
        <v>155</v>
      </c>
      <c r="E33">
        <v>168</v>
      </c>
      <c r="F33" s="31" t="s">
        <v>48</v>
      </c>
      <c r="G33" t="s">
        <v>52</v>
      </c>
      <c r="H33" s="27">
        <v>45695</v>
      </c>
      <c r="I33" s="13" t="s">
        <v>1331</v>
      </c>
      <c r="J33" t="s">
        <v>43</v>
      </c>
      <c r="K33" s="25" t="s">
        <v>1332</v>
      </c>
    </row>
    <row r="34" spans="1:11" ht="15" customHeight="1" x14ac:dyDescent="0.25">
      <c r="A34" t="s">
        <v>1333</v>
      </c>
      <c r="B34" t="s">
        <v>40</v>
      </c>
      <c r="C34" t="s">
        <v>194</v>
      </c>
      <c r="D34" t="s">
        <v>194</v>
      </c>
      <c r="E34">
        <v>168</v>
      </c>
      <c r="F34" s="31" t="s">
        <v>48</v>
      </c>
      <c r="G34" t="s">
        <v>52</v>
      </c>
      <c r="H34" s="27">
        <v>45698</v>
      </c>
      <c r="I34" t="s">
        <v>48</v>
      </c>
      <c r="J34" t="s">
        <v>43</v>
      </c>
      <c r="K34" s="25" t="s">
        <v>1334</v>
      </c>
    </row>
    <row r="35" spans="1:11" ht="15" customHeight="1" x14ac:dyDescent="0.25">
      <c r="A35" t="s">
        <v>1335</v>
      </c>
      <c r="B35" t="s">
        <v>40</v>
      </c>
      <c r="C35" t="s">
        <v>194</v>
      </c>
      <c r="D35" t="s">
        <v>194</v>
      </c>
      <c r="E35">
        <v>168</v>
      </c>
      <c r="F35" s="31" t="s">
        <v>48</v>
      </c>
      <c r="G35" t="s">
        <v>52</v>
      </c>
      <c r="H35" s="27">
        <v>45698</v>
      </c>
      <c r="I35" s="13" t="s">
        <v>1336</v>
      </c>
      <c r="J35" t="s">
        <v>43</v>
      </c>
      <c r="K35" s="25" t="s">
        <v>1337</v>
      </c>
    </row>
    <row r="36" spans="1:11" ht="15" customHeight="1" x14ac:dyDescent="0.25">
      <c r="A36" t="s">
        <v>1338</v>
      </c>
      <c r="B36" t="s">
        <v>40</v>
      </c>
      <c r="C36" t="s">
        <v>155</v>
      </c>
      <c r="D36" t="s">
        <v>178</v>
      </c>
      <c r="E36">
        <v>48</v>
      </c>
      <c r="F36" s="33" t="s">
        <v>186</v>
      </c>
      <c r="G36" t="s">
        <v>52</v>
      </c>
      <c r="H36" s="27">
        <v>45714</v>
      </c>
      <c r="I36" t="s">
        <v>1339</v>
      </c>
      <c r="J36" t="s">
        <v>43</v>
      </c>
      <c r="K36" s="42" t="s">
        <v>1340</v>
      </c>
    </row>
    <row r="37" spans="1:11" ht="15" customHeight="1" x14ac:dyDescent="0.25">
      <c r="A37" t="s">
        <v>1341</v>
      </c>
      <c r="B37" t="s">
        <v>40</v>
      </c>
      <c r="C37" t="s">
        <v>155</v>
      </c>
      <c r="D37" t="s">
        <v>178</v>
      </c>
      <c r="E37">
        <v>48</v>
      </c>
      <c r="F37" s="31" t="s">
        <v>186</v>
      </c>
      <c r="G37" t="s">
        <v>52</v>
      </c>
      <c r="H37" s="27">
        <v>45714</v>
      </c>
      <c r="I37" t="s">
        <v>1339</v>
      </c>
      <c r="J37" t="s">
        <v>43</v>
      </c>
      <c r="K37" s="42" t="s">
        <v>1342</v>
      </c>
    </row>
    <row r="38" spans="1:11" ht="15" customHeight="1" x14ac:dyDescent="0.25">
      <c r="A38" t="s">
        <v>1343</v>
      </c>
      <c r="B38" t="s">
        <v>40</v>
      </c>
      <c r="C38" t="s">
        <v>155</v>
      </c>
      <c r="D38" t="s">
        <v>178</v>
      </c>
      <c r="E38">
        <v>48</v>
      </c>
      <c r="F38" s="31" t="s">
        <v>186</v>
      </c>
      <c r="G38" t="s">
        <v>52</v>
      </c>
      <c r="H38" s="27">
        <v>45714</v>
      </c>
      <c r="I38" t="s">
        <v>1339</v>
      </c>
      <c r="J38" t="s">
        <v>43</v>
      </c>
      <c r="K38" s="42" t="s">
        <v>1344</v>
      </c>
    </row>
    <row r="39" spans="1:11" ht="15" customHeight="1" x14ac:dyDescent="0.25">
      <c r="A39" t="s">
        <v>1345</v>
      </c>
      <c r="B39" t="s">
        <v>40</v>
      </c>
      <c r="C39" t="s">
        <v>155</v>
      </c>
      <c r="D39" t="s">
        <v>178</v>
      </c>
      <c r="E39">
        <v>48</v>
      </c>
      <c r="F39" s="31" t="s">
        <v>186</v>
      </c>
      <c r="G39" t="s">
        <v>52</v>
      </c>
      <c r="H39" s="27">
        <v>45714</v>
      </c>
      <c r="I39" t="s">
        <v>1339</v>
      </c>
      <c r="J39" t="s">
        <v>43</v>
      </c>
      <c r="K39" s="42" t="s">
        <v>1346</v>
      </c>
    </row>
    <row r="40" spans="1:11" ht="15" customHeight="1" x14ac:dyDescent="0.25">
      <c r="A40" t="s">
        <v>1347</v>
      </c>
      <c r="B40" t="s">
        <v>40</v>
      </c>
      <c r="I40" t="s">
        <v>1348</v>
      </c>
      <c r="J40" t="s">
        <v>43</v>
      </c>
    </row>
    <row r="41" spans="1:11" ht="15" customHeight="1" x14ac:dyDescent="0.25">
      <c r="A41" t="s">
        <v>1349</v>
      </c>
      <c r="B41" t="s">
        <v>40</v>
      </c>
      <c r="C41" t="s">
        <v>155</v>
      </c>
      <c r="D41" t="s">
        <v>155</v>
      </c>
      <c r="E41">
        <v>168</v>
      </c>
      <c r="F41" s="31" t="s">
        <v>48</v>
      </c>
      <c r="G41" t="s">
        <v>52</v>
      </c>
      <c r="H41" s="27">
        <v>45719</v>
      </c>
      <c r="J41" t="s">
        <v>43</v>
      </c>
      <c r="K41" s="42" t="s">
        <v>1350</v>
      </c>
    </row>
    <row r="42" spans="1:11" ht="15" customHeight="1" x14ac:dyDescent="0.25">
      <c r="A42" t="s">
        <v>1351</v>
      </c>
      <c r="B42" t="s">
        <v>40</v>
      </c>
      <c r="C42" t="s">
        <v>203</v>
      </c>
      <c r="D42" t="s">
        <v>178</v>
      </c>
      <c r="E42" s="13">
        <v>15.5</v>
      </c>
      <c r="F42" s="32" t="s">
        <v>1352</v>
      </c>
      <c r="G42" t="s">
        <v>52</v>
      </c>
      <c r="H42" s="27">
        <v>45721</v>
      </c>
      <c r="I42" s="13" t="s">
        <v>1353</v>
      </c>
      <c r="J42" s="13"/>
    </row>
    <row r="43" spans="1:11" ht="15" customHeight="1" x14ac:dyDescent="0.25">
      <c r="A43" t="s">
        <v>1354</v>
      </c>
      <c r="B43" t="s">
        <v>40</v>
      </c>
      <c r="C43" t="s">
        <v>203</v>
      </c>
      <c r="D43" t="s">
        <v>178</v>
      </c>
      <c r="E43">
        <v>24</v>
      </c>
      <c r="F43" s="32" t="s">
        <v>1352</v>
      </c>
      <c r="G43" t="s">
        <v>52</v>
      </c>
      <c r="H43" s="27">
        <v>45722</v>
      </c>
      <c r="I43" s="13" t="s">
        <v>1355</v>
      </c>
      <c r="J43" t="s">
        <v>43</v>
      </c>
      <c r="K43" s="42" t="s">
        <v>1356</v>
      </c>
    </row>
    <row r="44" spans="1:11" ht="15" customHeight="1" x14ac:dyDescent="0.25">
      <c r="A44" t="s">
        <v>1357</v>
      </c>
      <c r="B44" t="s">
        <v>40</v>
      </c>
      <c r="C44" t="s">
        <v>203</v>
      </c>
      <c r="D44" t="s">
        <v>178</v>
      </c>
      <c r="E44">
        <v>24</v>
      </c>
      <c r="F44" s="32" t="s">
        <v>1352</v>
      </c>
      <c r="G44" t="s">
        <v>52</v>
      </c>
      <c r="H44" s="27">
        <v>45722</v>
      </c>
      <c r="I44" s="13" t="s">
        <v>1355</v>
      </c>
      <c r="J44" t="s">
        <v>43</v>
      </c>
      <c r="K44" s="42" t="s">
        <v>1358</v>
      </c>
    </row>
    <row r="45" spans="1:11" ht="30" x14ac:dyDescent="0.25">
      <c r="A45" t="s">
        <v>1359</v>
      </c>
      <c r="B45" t="s">
        <v>40</v>
      </c>
      <c r="C45" t="s">
        <v>178</v>
      </c>
      <c r="D45" t="s">
        <v>155</v>
      </c>
      <c r="E45">
        <v>24</v>
      </c>
      <c r="F45" s="32" t="s">
        <v>1352</v>
      </c>
      <c r="G45" t="s">
        <v>52</v>
      </c>
      <c r="H45" s="27">
        <v>45723</v>
      </c>
      <c r="I45" s="13" t="s">
        <v>1360</v>
      </c>
      <c r="J45" t="s">
        <v>43</v>
      </c>
      <c r="K45" s="42" t="s">
        <v>1361</v>
      </c>
    </row>
    <row r="46" spans="1:11" ht="15" customHeight="1" x14ac:dyDescent="0.25">
      <c r="A46" t="s">
        <v>1362</v>
      </c>
      <c r="B46" t="s">
        <v>40</v>
      </c>
      <c r="C46" t="s">
        <v>178</v>
      </c>
      <c r="D46" t="s">
        <v>178</v>
      </c>
      <c r="E46">
        <v>24</v>
      </c>
      <c r="F46" s="32" t="s">
        <v>1352</v>
      </c>
      <c r="G46" t="s">
        <v>52</v>
      </c>
      <c r="H46" s="27">
        <v>45728</v>
      </c>
      <c r="I46" s="13" t="s">
        <v>1363</v>
      </c>
      <c r="J46" t="s">
        <v>196</v>
      </c>
      <c r="K46" s="42" t="s">
        <v>1364</v>
      </c>
    </row>
    <row r="47" spans="1:11" ht="15" customHeight="1" x14ac:dyDescent="0.25">
      <c r="A47" t="s">
        <v>1365</v>
      </c>
      <c r="B47" t="s">
        <v>40</v>
      </c>
      <c r="C47" t="s">
        <v>178</v>
      </c>
      <c r="D47" t="s">
        <v>178</v>
      </c>
      <c r="E47">
        <v>24</v>
      </c>
      <c r="F47" s="32" t="s">
        <v>1352</v>
      </c>
      <c r="G47" t="s">
        <v>52</v>
      </c>
      <c r="H47" s="27">
        <v>45728</v>
      </c>
      <c r="I47" s="13" t="s">
        <v>1366</v>
      </c>
      <c r="J47" t="s">
        <v>196</v>
      </c>
      <c r="K47" s="42" t="s">
        <v>1367</v>
      </c>
    </row>
    <row r="48" spans="1:11" ht="15" customHeight="1" x14ac:dyDescent="0.25">
      <c r="A48" t="s">
        <v>1368</v>
      </c>
      <c r="B48" t="s">
        <v>40</v>
      </c>
      <c r="C48" t="s">
        <v>566</v>
      </c>
      <c r="D48" t="s">
        <v>584</v>
      </c>
      <c r="E48">
        <v>168</v>
      </c>
      <c r="F48" s="31" t="s">
        <v>48</v>
      </c>
      <c r="G48" t="s">
        <v>358</v>
      </c>
      <c r="H48" s="27">
        <v>45853</v>
      </c>
      <c r="I48" t="s">
        <v>1369</v>
      </c>
      <c r="J48" t="s">
        <v>360</v>
      </c>
    </row>
    <row r="49" spans="1:10" ht="15" customHeight="1" x14ac:dyDescent="0.25">
      <c r="A49" t="s">
        <v>1370</v>
      </c>
      <c r="B49" t="s">
        <v>40</v>
      </c>
      <c r="C49" t="s">
        <v>566</v>
      </c>
      <c r="D49" t="s">
        <v>584</v>
      </c>
      <c r="E49">
        <v>168</v>
      </c>
      <c r="F49" s="31" t="s">
        <v>48</v>
      </c>
      <c r="G49" t="s">
        <v>358</v>
      </c>
      <c r="H49" s="27">
        <v>45853</v>
      </c>
      <c r="I49" t="s">
        <v>1371</v>
      </c>
      <c r="J49" t="s">
        <v>360</v>
      </c>
    </row>
    <row r="50" spans="1:10" ht="15" customHeight="1" x14ac:dyDescent="0.25">
      <c r="A50" t="s">
        <v>1372</v>
      </c>
      <c r="B50" t="s">
        <v>40</v>
      </c>
      <c r="C50" t="s">
        <v>584</v>
      </c>
      <c r="D50" t="s">
        <v>714</v>
      </c>
      <c r="E50">
        <v>168</v>
      </c>
      <c r="F50" s="31" t="s">
        <v>48</v>
      </c>
      <c r="G50" t="s">
        <v>715</v>
      </c>
      <c r="H50" s="27">
        <v>45854</v>
      </c>
      <c r="I50" t="s">
        <v>1373</v>
      </c>
    </row>
    <row r="51" spans="1:10" ht="15" customHeight="1" x14ac:dyDescent="0.25">
      <c r="A51" t="s">
        <v>1374</v>
      </c>
      <c r="B51" t="s">
        <v>40</v>
      </c>
      <c r="C51" t="s">
        <v>257</v>
      </c>
      <c r="D51" t="s">
        <v>1375</v>
      </c>
      <c r="E51">
        <v>168</v>
      </c>
      <c r="F51" s="31" t="s">
        <v>48</v>
      </c>
      <c r="G51" t="s">
        <v>715</v>
      </c>
      <c r="H51" s="27">
        <v>45856</v>
      </c>
      <c r="I51" t="s">
        <v>1376</v>
      </c>
      <c r="J51" t="s">
        <v>360</v>
      </c>
    </row>
    <row r="52" spans="1:10" ht="15" customHeight="1" x14ac:dyDescent="0.25">
      <c r="A52" t="s">
        <v>1377</v>
      </c>
      <c r="B52" t="s">
        <v>40</v>
      </c>
      <c r="C52" t="s">
        <v>363</v>
      </c>
      <c r="D52" t="s">
        <v>1375</v>
      </c>
      <c r="E52" s="58">
        <v>48</v>
      </c>
      <c r="F52" s="31" t="s">
        <v>730</v>
      </c>
      <c r="G52" t="s">
        <v>358</v>
      </c>
      <c r="H52" s="27">
        <v>45857</v>
      </c>
      <c r="I52" t="s">
        <v>1378</v>
      </c>
    </row>
    <row r="53" spans="1:10" ht="15" customHeight="1" x14ac:dyDescent="0.25">
      <c r="A53" t="s">
        <v>1379</v>
      </c>
      <c r="B53" t="s">
        <v>40</v>
      </c>
      <c r="C53" t="s">
        <v>363</v>
      </c>
      <c r="D53" t="s">
        <v>1375</v>
      </c>
      <c r="E53" s="58">
        <v>48</v>
      </c>
      <c r="F53" s="31" t="s">
        <v>730</v>
      </c>
      <c r="G53" t="s">
        <v>358</v>
      </c>
      <c r="H53" s="27">
        <v>45857</v>
      </c>
      <c r="I53" t="s">
        <v>1378</v>
      </c>
      <c r="J53" t="s">
        <v>360</v>
      </c>
    </row>
    <row r="54" spans="1:10" ht="15" customHeight="1" x14ac:dyDescent="0.25">
      <c r="A54" t="s">
        <v>1380</v>
      </c>
      <c r="B54" t="s">
        <v>40</v>
      </c>
      <c r="C54" t="s">
        <v>363</v>
      </c>
      <c r="D54" t="s">
        <v>1375</v>
      </c>
      <c r="E54" s="58">
        <v>48</v>
      </c>
      <c r="F54" s="31" t="s">
        <v>730</v>
      </c>
      <c r="G54" t="s">
        <v>358</v>
      </c>
      <c r="H54" s="27">
        <v>45857</v>
      </c>
      <c r="I54" t="s">
        <v>1378</v>
      </c>
      <c r="J54" t="s">
        <v>360</v>
      </c>
    </row>
    <row r="55" spans="1:10" ht="15" customHeight="1" x14ac:dyDescent="0.25">
      <c r="A55" t="s">
        <v>1381</v>
      </c>
      <c r="B55" t="s">
        <v>40</v>
      </c>
      <c r="C55" t="s">
        <v>363</v>
      </c>
      <c r="D55" t="s">
        <v>1375</v>
      </c>
      <c r="E55" s="58">
        <v>48</v>
      </c>
      <c r="F55" s="31" t="s">
        <v>730</v>
      </c>
      <c r="G55" t="s">
        <v>358</v>
      </c>
      <c r="H55" s="27">
        <v>45857</v>
      </c>
      <c r="I55" s="13" t="s">
        <v>1382</v>
      </c>
      <c r="J55" t="s">
        <v>360</v>
      </c>
    </row>
    <row r="56" spans="1:10" ht="15" customHeight="1" x14ac:dyDescent="0.25">
      <c r="A56" t="s">
        <v>1383</v>
      </c>
      <c r="B56" t="s">
        <v>40</v>
      </c>
      <c r="C56" t="s">
        <v>363</v>
      </c>
      <c r="D56" t="s">
        <v>377</v>
      </c>
      <c r="E56" s="58">
        <v>48</v>
      </c>
      <c r="F56" s="31" t="s">
        <v>730</v>
      </c>
      <c r="G56" t="s">
        <v>358</v>
      </c>
      <c r="H56" s="27">
        <v>45868</v>
      </c>
      <c r="I56" s="13" t="s">
        <v>1384</v>
      </c>
      <c r="J56" t="s">
        <v>360</v>
      </c>
    </row>
    <row r="57" spans="1:10" ht="15" customHeight="1" x14ac:dyDescent="0.25">
      <c r="A57" t="s">
        <v>1385</v>
      </c>
      <c r="B57" t="s">
        <v>40</v>
      </c>
      <c r="C57" t="s">
        <v>363</v>
      </c>
      <c r="D57" t="s">
        <v>377</v>
      </c>
      <c r="E57" s="58">
        <v>48</v>
      </c>
      <c r="F57" s="31" t="s">
        <v>730</v>
      </c>
      <c r="G57" t="s">
        <v>358</v>
      </c>
      <c r="H57" s="27">
        <v>45868</v>
      </c>
      <c r="I57" s="13" t="s">
        <v>1384</v>
      </c>
      <c r="J57" t="s">
        <v>360</v>
      </c>
    </row>
    <row r="58" spans="1:10" ht="15" customHeight="1" x14ac:dyDescent="0.25">
      <c r="A58" t="s">
        <v>1386</v>
      </c>
      <c r="B58" t="s">
        <v>40</v>
      </c>
      <c r="C58" t="s">
        <v>363</v>
      </c>
      <c r="D58" t="s">
        <v>377</v>
      </c>
      <c r="E58" s="58">
        <v>48</v>
      </c>
      <c r="F58" s="31" t="s">
        <v>730</v>
      </c>
      <c r="G58" t="s">
        <v>358</v>
      </c>
      <c r="H58" s="27">
        <v>45868</v>
      </c>
      <c r="I58" s="13" t="s">
        <v>1384</v>
      </c>
      <c r="J58" t="s">
        <v>360</v>
      </c>
    </row>
    <row r="59" spans="1:10" ht="15" customHeight="1" x14ac:dyDescent="0.25">
      <c r="A59" t="s">
        <v>1387</v>
      </c>
      <c r="B59" t="s">
        <v>40</v>
      </c>
      <c r="C59" t="s">
        <v>363</v>
      </c>
      <c r="D59" t="s">
        <v>377</v>
      </c>
      <c r="E59" s="58">
        <v>48</v>
      </c>
      <c r="F59" s="31" t="s">
        <v>730</v>
      </c>
      <c r="G59" t="s">
        <v>358</v>
      </c>
      <c r="H59" s="27">
        <v>45868</v>
      </c>
      <c r="I59" s="13" t="s">
        <v>1384</v>
      </c>
      <c r="J59" t="s">
        <v>360</v>
      </c>
    </row>
    <row r="60" spans="1:10" ht="15" customHeight="1" x14ac:dyDescent="0.25">
      <c r="A60" t="s">
        <v>1388</v>
      </c>
      <c r="B60" t="s">
        <v>40</v>
      </c>
      <c r="C60" t="s">
        <v>363</v>
      </c>
      <c r="D60" t="s">
        <v>245</v>
      </c>
      <c r="E60" s="58">
        <v>48</v>
      </c>
      <c r="F60" s="31" t="s">
        <v>730</v>
      </c>
      <c r="G60" t="s">
        <v>358</v>
      </c>
      <c r="H60" s="27">
        <v>45870</v>
      </c>
      <c r="I60" t="s">
        <v>751</v>
      </c>
      <c r="J60" t="s">
        <v>360</v>
      </c>
    </row>
    <row r="61" spans="1:10" ht="15" customHeight="1" x14ac:dyDescent="0.25">
      <c r="A61" t="s">
        <v>1389</v>
      </c>
      <c r="B61" t="s">
        <v>40</v>
      </c>
      <c r="C61" t="s">
        <v>363</v>
      </c>
      <c r="D61" t="s">
        <v>245</v>
      </c>
      <c r="E61" s="58">
        <v>48</v>
      </c>
      <c r="F61" s="31" t="s">
        <v>730</v>
      </c>
      <c r="G61" t="s">
        <v>358</v>
      </c>
      <c r="H61" s="27">
        <v>45870</v>
      </c>
      <c r="I61" t="s">
        <v>751</v>
      </c>
      <c r="J61" t="s">
        <v>360</v>
      </c>
    </row>
    <row r="62" spans="1:10" ht="15" customHeight="1" x14ac:dyDescent="0.25">
      <c r="A62" t="s">
        <v>1390</v>
      </c>
      <c r="B62" t="s">
        <v>40</v>
      </c>
      <c r="C62" t="s">
        <v>363</v>
      </c>
      <c r="D62" t="s">
        <v>245</v>
      </c>
      <c r="E62" s="58">
        <v>48</v>
      </c>
      <c r="F62" s="31" t="s">
        <v>730</v>
      </c>
      <c r="G62" t="s">
        <v>358</v>
      </c>
      <c r="H62" s="27">
        <v>45870</v>
      </c>
      <c r="I62" t="s">
        <v>751</v>
      </c>
      <c r="J62" t="s">
        <v>360</v>
      </c>
    </row>
    <row r="63" spans="1:10" ht="15" customHeight="1" x14ac:dyDescent="0.25">
      <c r="A63" t="s">
        <v>1391</v>
      </c>
      <c r="B63" t="s">
        <v>40</v>
      </c>
      <c r="C63" t="s">
        <v>363</v>
      </c>
      <c r="D63" t="s">
        <v>245</v>
      </c>
      <c r="E63" s="58">
        <v>48</v>
      </c>
      <c r="F63" s="31" t="s">
        <v>730</v>
      </c>
      <c r="G63" t="s">
        <v>358</v>
      </c>
      <c r="H63" s="27">
        <v>45870</v>
      </c>
      <c r="I63" t="s">
        <v>751</v>
      </c>
      <c r="J63" t="s">
        <v>360</v>
      </c>
    </row>
    <row r="64" spans="1:10" ht="15" customHeight="1" x14ac:dyDescent="0.25">
      <c r="A64" t="s">
        <v>1392</v>
      </c>
      <c r="B64" t="s">
        <v>40</v>
      </c>
      <c r="C64" t="s">
        <v>363</v>
      </c>
      <c r="D64" t="s">
        <v>245</v>
      </c>
      <c r="E64" s="58">
        <v>48</v>
      </c>
      <c r="F64" s="31" t="s">
        <v>730</v>
      </c>
      <c r="G64" t="s">
        <v>358</v>
      </c>
      <c r="H64" s="27">
        <v>45870</v>
      </c>
      <c r="I64" t="s">
        <v>751</v>
      </c>
      <c r="J64" t="s">
        <v>360</v>
      </c>
    </row>
    <row r="65" spans="1:10" ht="15" customHeight="1" x14ac:dyDescent="0.25">
      <c r="A65" t="s">
        <v>1393</v>
      </c>
      <c r="B65" t="s">
        <v>40</v>
      </c>
      <c r="C65" t="s">
        <v>363</v>
      </c>
      <c r="D65" t="s">
        <v>245</v>
      </c>
      <c r="E65" s="58">
        <v>48</v>
      </c>
      <c r="F65" s="31" t="s">
        <v>730</v>
      </c>
      <c r="G65" t="s">
        <v>358</v>
      </c>
      <c r="H65" s="27">
        <v>45870</v>
      </c>
      <c r="I65" t="s">
        <v>751</v>
      </c>
    </row>
    <row r="66" spans="1:10" ht="15" customHeight="1" x14ac:dyDescent="0.25">
      <c r="A66" t="s">
        <v>1394</v>
      </c>
      <c r="B66" t="s">
        <v>40</v>
      </c>
      <c r="C66" t="s">
        <v>584</v>
      </c>
      <c r="D66" t="s">
        <v>363</v>
      </c>
      <c r="E66" s="58">
        <v>48</v>
      </c>
      <c r="F66" s="23" t="s">
        <v>730</v>
      </c>
      <c r="G66" t="s">
        <v>358</v>
      </c>
      <c r="H66" s="27">
        <v>45870</v>
      </c>
      <c r="J66" t="s">
        <v>360</v>
      </c>
    </row>
    <row r="67" spans="1:10" ht="15" customHeight="1" x14ac:dyDescent="0.25">
      <c r="A67" t="s">
        <v>1395</v>
      </c>
      <c r="B67" t="s">
        <v>40</v>
      </c>
      <c r="C67" t="s">
        <v>363</v>
      </c>
      <c r="D67" t="s">
        <v>378</v>
      </c>
      <c r="E67">
        <v>168</v>
      </c>
      <c r="F67" s="31" t="s">
        <v>271</v>
      </c>
      <c r="G67" t="s">
        <v>358</v>
      </c>
      <c r="H67" s="27">
        <v>45874</v>
      </c>
      <c r="I67" s="3" t="s">
        <v>1396</v>
      </c>
      <c r="J67" t="s">
        <v>360</v>
      </c>
    </row>
    <row r="68" spans="1:10" ht="15" customHeight="1" x14ac:dyDescent="0.25">
      <c r="A68" t="s">
        <v>1397</v>
      </c>
      <c r="B68" t="s">
        <v>40</v>
      </c>
      <c r="C68" t="s">
        <v>363</v>
      </c>
      <c r="D68" t="s">
        <v>378</v>
      </c>
      <c r="E68">
        <v>168</v>
      </c>
      <c r="F68" s="31" t="s">
        <v>271</v>
      </c>
      <c r="G68" t="s">
        <v>358</v>
      </c>
      <c r="H68" s="27">
        <v>45874</v>
      </c>
      <c r="J68" t="s">
        <v>360</v>
      </c>
    </row>
    <row r="69" spans="1:10" ht="15" customHeight="1" x14ac:dyDescent="0.25">
      <c r="A69" t="s">
        <v>1398</v>
      </c>
      <c r="B69" t="s">
        <v>40</v>
      </c>
      <c r="C69" t="s">
        <v>363</v>
      </c>
      <c r="D69" t="s">
        <v>378</v>
      </c>
      <c r="E69">
        <v>48</v>
      </c>
      <c r="F69" s="31" t="s">
        <v>730</v>
      </c>
      <c r="G69" t="s">
        <v>358</v>
      </c>
      <c r="H69" s="27">
        <v>45875</v>
      </c>
      <c r="I69" t="s">
        <v>735</v>
      </c>
      <c r="J69" t="s">
        <v>360</v>
      </c>
    </row>
    <row r="70" spans="1:10" ht="15" customHeight="1" x14ac:dyDescent="0.25">
      <c r="A70" t="s">
        <v>1399</v>
      </c>
      <c r="B70" t="s">
        <v>40</v>
      </c>
      <c r="C70" t="s">
        <v>363</v>
      </c>
      <c r="D70" t="s">
        <v>378</v>
      </c>
      <c r="E70">
        <v>48</v>
      </c>
      <c r="F70" s="31" t="s">
        <v>730</v>
      </c>
      <c r="G70" t="s">
        <v>358</v>
      </c>
      <c r="H70" s="27">
        <v>45875</v>
      </c>
      <c r="I70" t="s">
        <v>735</v>
      </c>
      <c r="J70" t="s">
        <v>360</v>
      </c>
    </row>
    <row r="71" spans="1:10" ht="15" customHeight="1" x14ac:dyDescent="0.25">
      <c r="A71" s="13" t="s">
        <v>1400</v>
      </c>
      <c r="B71" t="s">
        <v>40</v>
      </c>
      <c r="C71" t="s">
        <v>363</v>
      </c>
      <c r="D71" t="s">
        <v>378</v>
      </c>
      <c r="E71">
        <v>48</v>
      </c>
      <c r="F71" s="31" t="s">
        <v>730</v>
      </c>
      <c r="G71" t="s">
        <v>358</v>
      </c>
      <c r="H71" s="27">
        <v>45875</v>
      </c>
      <c r="I71" t="s">
        <v>735</v>
      </c>
      <c r="J71" t="s">
        <v>360</v>
      </c>
    </row>
    <row r="72" spans="1:10" ht="15" customHeight="1" x14ac:dyDescent="0.25">
      <c r="A72" t="s">
        <v>1401</v>
      </c>
      <c r="B72" t="s">
        <v>40</v>
      </c>
      <c r="C72" t="s">
        <v>363</v>
      </c>
      <c r="D72" t="s">
        <v>378</v>
      </c>
      <c r="E72">
        <v>48</v>
      </c>
      <c r="F72" s="31" t="s">
        <v>730</v>
      </c>
      <c r="G72" t="s">
        <v>358</v>
      </c>
      <c r="H72" s="27">
        <v>45875</v>
      </c>
      <c r="I72" t="s">
        <v>735</v>
      </c>
      <c r="J72" t="s">
        <v>360</v>
      </c>
    </row>
    <row r="73" spans="1:10" ht="15" customHeight="1" x14ac:dyDescent="0.25">
      <c r="A73" t="s">
        <v>1402</v>
      </c>
      <c r="B73" t="s">
        <v>40</v>
      </c>
      <c r="C73" t="s">
        <v>363</v>
      </c>
      <c r="D73" t="s">
        <v>378</v>
      </c>
      <c r="E73">
        <v>48</v>
      </c>
      <c r="F73" s="31" t="s">
        <v>730</v>
      </c>
      <c r="G73" t="s">
        <v>358</v>
      </c>
      <c r="H73" s="27">
        <v>45875</v>
      </c>
      <c r="I73" t="s">
        <v>735</v>
      </c>
      <c r="J73" t="s">
        <v>360</v>
      </c>
    </row>
    <row r="74" spans="1:10" ht="15" customHeight="1" x14ac:dyDescent="0.25">
      <c r="A74" t="s">
        <v>1403</v>
      </c>
      <c r="B74" t="s">
        <v>40</v>
      </c>
      <c r="C74" t="s">
        <v>363</v>
      </c>
      <c r="D74" t="s">
        <v>378</v>
      </c>
      <c r="E74">
        <v>168</v>
      </c>
      <c r="F74" s="31" t="s">
        <v>271</v>
      </c>
      <c r="G74" t="s">
        <v>358</v>
      </c>
      <c r="H74" s="27">
        <v>45882</v>
      </c>
      <c r="I74" s="1" t="s">
        <v>1404</v>
      </c>
      <c r="J74" t="s">
        <v>360</v>
      </c>
    </row>
    <row r="75" spans="1:10" ht="15" customHeight="1" x14ac:dyDescent="0.25">
      <c r="A75" t="s">
        <v>1405</v>
      </c>
      <c r="B75" t="s">
        <v>40</v>
      </c>
      <c r="C75" t="s">
        <v>363</v>
      </c>
      <c r="D75" t="s">
        <v>378</v>
      </c>
      <c r="E75">
        <v>168</v>
      </c>
      <c r="F75" s="31" t="s">
        <v>271</v>
      </c>
      <c r="G75" t="s">
        <v>358</v>
      </c>
      <c r="H75" s="27">
        <v>45882</v>
      </c>
      <c r="I75" t="s">
        <v>1406</v>
      </c>
      <c r="J75" t="s">
        <v>360</v>
      </c>
    </row>
    <row r="76" spans="1:10" ht="15" customHeight="1" x14ac:dyDescent="0.25">
      <c r="A76" t="s">
        <v>1407</v>
      </c>
      <c r="B76" t="s">
        <v>40</v>
      </c>
      <c r="C76" t="s">
        <v>378</v>
      </c>
      <c r="D76" t="s">
        <v>378</v>
      </c>
      <c r="E76">
        <v>48</v>
      </c>
      <c r="F76" s="31" t="s">
        <v>730</v>
      </c>
      <c r="G76" t="s">
        <v>358</v>
      </c>
      <c r="H76" s="27">
        <v>45890</v>
      </c>
      <c r="J76" t="s">
        <v>360</v>
      </c>
    </row>
    <row r="77" spans="1:10" ht="15" customHeight="1" x14ac:dyDescent="0.25">
      <c r="A77" t="s">
        <v>1408</v>
      </c>
      <c r="B77" t="s">
        <v>40</v>
      </c>
      <c r="C77" t="s">
        <v>378</v>
      </c>
      <c r="D77" t="s">
        <v>378</v>
      </c>
      <c r="E77">
        <v>48</v>
      </c>
      <c r="F77" s="31" t="s">
        <v>730</v>
      </c>
      <c r="G77" t="s">
        <v>358</v>
      </c>
      <c r="H77" s="27">
        <v>45890</v>
      </c>
    </row>
    <row r="78" spans="1:10" ht="15" customHeight="1" x14ac:dyDescent="0.25">
      <c r="A78" t="s">
        <v>1409</v>
      </c>
      <c r="B78" t="s">
        <v>40</v>
      </c>
      <c r="C78" t="s">
        <v>378</v>
      </c>
      <c r="D78" t="s">
        <v>378</v>
      </c>
      <c r="E78">
        <v>48</v>
      </c>
      <c r="F78" s="31" t="s">
        <v>730</v>
      </c>
      <c r="G78" t="s">
        <v>358</v>
      </c>
      <c r="H78" s="27">
        <v>45890</v>
      </c>
      <c r="J78" t="s">
        <v>360</v>
      </c>
    </row>
    <row r="79" spans="1:10" ht="15" customHeight="1" x14ac:dyDescent="0.25">
      <c r="A79" t="s">
        <v>1410</v>
      </c>
      <c r="B79" t="s">
        <v>40</v>
      </c>
      <c r="C79" t="s">
        <v>257</v>
      </c>
      <c r="D79" t="s">
        <v>378</v>
      </c>
      <c r="E79">
        <v>48</v>
      </c>
      <c r="F79" s="31" t="s">
        <v>730</v>
      </c>
      <c r="G79" t="s">
        <v>358</v>
      </c>
      <c r="H79" s="27">
        <v>45890</v>
      </c>
      <c r="J79" t="s">
        <v>360</v>
      </c>
    </row>
    <row r="80" spans="1:10" ht="15" customHeight="1" x14ac:dyDescent="0.25">
      <c r="A80" t="s">
        <v>1411</v>
      </c>
      <c r="B80" t="s">
        <v>40</v>
      </c>
      <c r="C80" t="s">
        <v>378</v>
      </c>
      <c r="D80" t="s">
        <v>378</v>
      </c>
      <c r="E80">
        <v>48</v>
      </c>
      <c r="F80" s="31" t="s">
        <v>730</v>
      </c>
      <c r="G80" t="s">
        <v>246</v>
      </c>
      <c r="H80" s="27">
        <v>45894</v>
      </c>
      <c r="J80" t="s">
        <v>360</v>
      </c>
    </row>
    <row r="81" spans="1:10" ht="15" customHeight="1" x14ac:dyDescent="0.25">
      <c r="A81" t="s">
        <v>1412</v>
      </c>
      <c r="B81" t="s">
        <v>40</v>
      </c>
      <c r="C81" t="s">
        <v>378</v>
      </c>
      <c r="D81" t="s">
        <v>378</v>
      </c>
      <c r="E81">
        <v>48</v>
      </c>
      <c r="F81" s="31" t="s">
        <v>730</v>
      </c>
      <c r="G81" t="s">
        <v>246</v>
      </c>
      <c r="H81" s="27">
        <v>45894</v>
      </c>
      <c r="J81" t="s">
        <v>360</v>
      </c>
    </row>
    <row r="82" spans="1:10" ht="15" customHeight="1" x14ac:dyDescent="0.25">
      <c r="A82" t="s">
        <v>1413</v>
      </c>
      <c r="B82" t="s">
        <v>40</v>
      </c>
      <c r="C82" t="s">
        <v>377</v>
      </c>
      <c r="D82" t="s">
        <v>378</v>
      </c>
      <c r="E82">
        <v>48</v>
      </c>
      <c r="F82" s="31" t="s">
        <v>730</v>
      </c>
      <c r="G82" t="s">
        <v>246</v>
      </c>
      <c r="H82" s="27">
        <v>45894</v>
      </c>
      <c r="J82" t="s">
        <v>360</v>
      </c>
    </row>
    <row r="83" spans="1:10" ht="15" customHeight="1" x14ac:dyDescent="0.25">
      <c r="A83" t="s">
        <v>1414</v>
      </c>
      <c r="B83" t="s">
        <v>40</v>
      </c>
      <c r="C83" t="s">
        <v>378</v>
      </c>
      <c r="D83" t="s">
        <v>378</v>
      </c>
      <c r="E83">
        <v>48</v>
      </c>
      <c r="F83" s="31" t="s">
        <v>730</v>
      </c>
      <c r="G83" t="s">
        <v>246</v>
      </c>
      <c r="H83" s="27">
        <v>45894</v>
      </c>
      <c r="J83" t="s">
        <v>360</v>
      </c>
    </row>
    <row r="84" spans="1:10" ht="15" customHeight="1" x14ac:dyDescent="0.25">
      <c r="A84" t="s">
        <v>1415</v>
      </c>
      <c r="B84" t="s">
        <v>40</v>
      </c>
      <c r="C84" t="s">
        <v>378</v>
      </c>
      <c r="D84" t="s">
        <v>363</v>
      </c>
      <c r="E84">
        <v>48</v>
      </c>
      <c r="F84" s="31" t="s">
        <v>730</v>
      </c>
      <c r="G84" t="s">
        <v>246</v>
      </c>
      <c r="H84" s="27">
        <v>45895</v>
      </c>
      <c r="I84" t="s">
        <v>773</v>
      </c>
      <c r="J84" t="s">
        <v>360</v>
      </c>
    </row>
    <row r="85" spans="1:10" ht="15" customHeight="1" x14ac:dyDescent="0.25">
      <c r="A85" s="13" t="s">
        <v>1416</v>
      </c>
      <c r="B85" t="s">
        <v>40</v>
      </c>
      <c r="C85" t="s">
        <v>378</v>
      </c>
      <c r="D85" t="s">
        <v>363</v>
      </c>
      <c r="E85">
        <v>48</v>
      </c>
      <c r="F85" s="31" t="s">
        <v>730</v>
      </c>
      <c r="G85" t="s">
        <v>246</v>
      </c>
      <c r="H85" s="27">
        <v>45895</v>
      </c>
      <c r="I85" t="s">
        <v>751</v>
      </c>
      <c r="J85" t="s">
        <v>360</v>
      </c>
    </row>
    <row r="86" spans="1:10" ht="15" customHeight="1" x14ac:dyDescent="0.25">
      <c r="A86" t="s">
        <v>1417</v>
      </c>
      <c r="B86" t="s">
        <v>40</v>
      </c>
      <c r="C86" t="s">
        <v>363</v>
      </c>
      <c r="D86" t="s">
        <v>257</v>
      </c>
      <c r="E86">
        <v>48</v>
      </c>
      <c r="F86" s="31" t="s">
        <v>730</v>
      </c>
      <c r="G86" t="s">
        <v>246</v>
      </c>
      <c r="H86" s="27">
        <v>45901</v>
      </c>
      <c r="I86" t="s">
        <v>779</v>
      </c>
      <c r="J86" t="s">
        <v>360</v>
      </c>
    </row>
    <row r="87" spans="1:10" ht="15" customHeight="1" x14ac:dyDescent="0.25">
      <c r="A87" t="s">
        <v>1418</v>
      </c>
      <c r="B87" t="s">
        <v>40</v>
      </c>
      <c r="C87" t="s">
        <v>363</v>
      </c>
      <c r="D87" t="s">
        <v>257</v>
      </c>
      <c r="E87">
        <v>48</v>
      </c>
      <c r="F87" s="31" t="s">
        <v>730</v>
      </c>
      <c r="G87" t="s">
        <v>246</v>
      </c>
      <c r="H87" s="27">
        <v>45901</v>
      </c>
      <c r="I87" t="s">
        <v>779</v>
      </c>
      <c r="J87" t="s">
        <v>360</v>
      </c>
    </row>
    <row r="88" spans="1:10" ht="15" customHeight="1" x14ac:dyDescent="0.25">
      <c r="A88" t="s">
        <v>1419</v>
      </c>
      <c r="B88" t="s">
        <v>40</v>
      </c>
      <c r="C88" t="s">
        <v>566</v>
      </c>
      <c r="D88" t="s">
        <v>378</v>
      </c>
      <c r="E88">
        <v>48</v>
      </c>
      <c r="F88" s="31" t="s">
        <v>730</v>
      </c>
      <c r="G88" t="s">
        <v>246</v>
      </c>
      <c r="H88" s="27">
        <v>45918</v>
      </c>
      <c r="J88" t="s">
        <v>375</v>
      </c>
    </row>
    <row r="89" spans="1:10" ht="15" customHeight="1" x14ac:dyDescent="0.25">
      <c r="A89" t="s">
        <v>1420</v>
      </c>
      <c r="B89" t="s">
        <v>40</v>
      </c>
      <c r="C89" t="s">
        <v>566</v>
      </c>
      <c r="D89" t="s">
        <v>378</v>
      </c>
      <c r="E89">
        <v>48</v>
      </c>
      <c r="F89" s="31" t="s">
        <v>730</v>
      </c>
      <c r="G89" t="s">
        <v>246</v>
      </c>
      <c r="H89" s="27">
        <v>45918</v>
      </c>
      <c r="J89" t="s">
        <v>375</v>
      </c>
    </row>
    <row r="90" spans="1:10" ht="15" customHeight="1" x14ac:dyDescent="0.25">
      <c r="A90" t="s">
        <v>1421</v>
      </c>
      <c r="B90" t="s">
        <v>40</v>
      </c>
      <c r="C90" t="s">
        <v>566</v>
      </c>
      <c r="D90" t="s">
        <v>378</v>
      </c>
      <c r="E90">
        <v>48</v>
      </c>
      <c r="F90" s="31" t="s">
        <v>730</v>
      </c>
      <c r="G90" t="s">
        <v>246</v>
      </c>
      <c r="H90" s="27">
        <v>45918</v>
      </c>
      <c r="J90" t="s">
        <v>375</v>
      </c>
    </row>
    <row r="91" spans="1:10" ht="15" customHeight="1" x14ac:dyDescent="0.25">
      <c r="A91" t="s">
        <v>1422</v>
      </c>
      <c r="B91" t="s">
        <v>40</v>
      </c>
      <c r="C91" t="s">
        <v>257</v>
      </c>
      <c r="D91" t="s">
        <v>378</v>
      </c>
      <c r="E91">
        <v>48</v>
      </c>
      <c r="F91" s="31" t="s">
        <v>730</v>
      </c>
      <c r="G91" t="s">
        <v>246</v>
      </c>
      <c r="H91" s="27">
        <v>45918</v>
      </c>
      <c r="J91" t="s">
        <v>375</v>
      </c>
    </row>
    <row r="92" spans="1:10" ht="15" customHeight="1" x14ac:dyDescent="0.25">
      <c r="A92" t="s">
        <v>1423</v>
      </c>
      <c r="B92" t="s">
        <v>40</v>
      </c>
      <c r="C92" t="s">
        <v>257</v>
      </c>
      <c r="D92" t="s">
        <v>378</v>
      </c>
      <c r="E92">
        <v>48</v>
      </c>
      <c r="F92" s="31" t="s">
        <v>730</v>
      </c>
      <c r="G92" t="s">
        <v>246</v>
      </c>
      <c r="H92" s="27">
        <v>45918</v>
      </c>
      <c r="J92" t="s">
        <v>375</v>
      </c>
    </row>
    <row r="93" spans="1:10" ht="15" customHeight="1" x14ac:dyDescent="0.25">
      <c r="A93" t="s">
        <v>1424</v>
      </c>
      <c r="B93" t="s">
        <v>40</v>
      </c>
      <c r="C93" t="s">
        <v>377</v>
      </c>
      <c r="D93" t="s">
        <v>810</v>
      </c>
      <c r="E93">
        <v>48</v>
      </c>
      <c r="F93" s="31" t="s">
        <v>730</v>
      </c>
      <c r="G93" t="s">
        <v>246</v>
      </c>
      <c r="H93" s="27">
        <v>45925</v>
      </c>
      <c r="I93" t="s">
        <v>1425</v>
      </c>
      <c r="J93" t="s">
        <v>375</v>
      </c>
    </row>
    <row r="94" spans="1:10" ht="15" customHeight="1" x14ac:dyDescent="0.25">
      <c r="A94" s="13" t="s">
        <v>1426</v>
      </c>
      <c r="B94" t="s">
        <v>40</v>
      </c>
      <c r="C94" t="s">
        <v>566</v>
      </c>
      <c r="D94" t="s">
        <v>810</v>
      </c>
      <c r="E94">
        <v>48</v>
      </c>
      <c r="F94" s="31" t="s">
        <v>730</v>
      </c>
      <c r="G94" t="s">
        <v>246</v>
      </c>
      <c r="H94" s="27">
        <v>45925</v>
      </c>
      <c r="I94" t="s">
        <v>1427</v>
      </c>
      <c r="J94" t="s">
        <v>375</v>
      </c>
    </row>
    <row r="95" spans="1:10" ht="15" customHeight="1" x14ac:dyDescent="0.25">
      <c r="A95" t="s">
        <v>1428</v>
      </c>
      <c r="B95" t="s">
        <v>40</v>
      </c>
      <c r="C95" t="s">
        <v>584</v>
      </c>
      <c r="D95" t="s">
        <v>377</v>
      </c>
      <c r="E95">
        <v>48</v>
      </c>
      <c r="F95" s="31" t="s">
        <v>730</v>
      </c>
      <c r="G95" t="s">
        <v>246</v>
      </c>
      <c r="H95" s="27">
        <v>45926</v>
      </c>
      <c r="I95" t="s">
        <v>1429</v>
      </c>
      <c r="J95" t="s">
        <v>375</v>
      </c>
    </row>
    <row r="96" spans="1:10" ht="15" customHeight="1" x14ac:dyDescent="0.25">
      <c r="A96" t="s">
        <v>1430</v>
      </c>
      <c r="B96" t="s">
        <v>40</v>
      </c>
      <c r="C96" t="s">
        <v>363</v>
      </c>
      <c r="D96" t="s">
        <v>257</v>
      </c>
      <c r="E96">
        <v>48</v>
      </c>
      <c r="F96" s="31" t="s">
        <v>730</v>
      </c>
      <c r="G96" t="s">
        <v>246</v>
      </c>
      <c r="H96" s="27">
        <v>45929</v>
      </c>
      <c r="I96" t="s">
        <v>1431</v>
      </c>
      <c r="J96" t="s">
        <v>375</v>
      </c>
    </row>
    <row r="97" spans="1:10" ht="15" customHeight="1" x14ac:dyDescent="0.25">
      <c r="A97" t="s">
        <v>1432</v>
      </c>
      <c r="B97" t="s">
        <v>40</v>
      </c>
      <c r="C97" t="s">
        <v>363</v>
      </c>
      <c r="D97" t="s">
        <v>257</v>
      </c>
      <c r="E97">
        <v>48</v>
      </c>
      <c r="F97" s="31" t="s">
        <v>730</v>
      </c>
      <c r="G97" t="s">
        <v>246</v>
      </c>
      <c r="H97" s="27">
        <v>45929</v>
      </c>
      <c r="I97" t="s">
        <v>1433</v>
      </c>
      <c r="J97" t="s">
        <v>375</v>
      </c>
    </row>
    <row r="98" spans="1:10" ht="15" customHeight="1" x14ac:dyDescent="0.25">
      <c r="A98" t="s">
        <v>1434</v>
      </c>
      <c r="B98" t="s">
        <v>40</v>
      </c>
      <c r="C98" t="s">
        <v>377</v>
      </c>
      <c r="D98" t="s">
        <v>257</v>
      </c>
      <c r="E98">
        <v>48</v>
      </c>
      <c r="F98" s="31" t="s">
        <v>730</v>
      </c>
      <c r="G98" t="s">
        <v>246</v>
      </c>
      <c r="H98" s="27">
        <v>45929</v>
      </c>
      <c r="I98" t="s">
        <v>1435</v>
      </c>
      <c r="J98" t="s">
        <v>375</v>
      </c>
    </row>
    <row r="99" spans="1:10" ht="15" customHeight="1" x14ac:dyDescent="0.25">
      <c r="A99" t="s">
        <v>1436</v>
      </c>
      <c r="B99" t="s">
        <v>40</v>
      </c>
      <c r="C99" t="s">
        <v>377</v>
      </c>
      <c r="D99" t="s">
        <v>562</v>
      </c>
      <c r="E99">
        <v>48</v>
      </c>
      <c r="F99" s="31" t="s">
        <v>730</v>
      </c>
      <c r="G99" t="s">
        <v>246</v>
      </c>
      <c r="H99" s="27">
        <v>45931</v>
      </c>
      <c r="I99" s="13" t="s">
        <v>1437</v>
      </c>
      <c r="J99" t="s">
        <v>375</v>
      </c>
    </row>
    <row r="100" spans="1:10" ht="15" customHeight="1" x14ac:dyDescent="0.25">
      <c r="A100" s="13" t="s">
        <v>1438</v>
      </c>
      <c r="B100" t="s">
        <v>40</v>
      </c>
      <c r="C100" t="s">
        <v>378</v>
      </c>
      <c r="D100" t="s">
        <v>562</v>
      </c>
      <c r="E100">
        <v>48</v>
      </c>
      <c r="F100" s="31" t="s">
        <v>730</v>
      </c>
      <c r="G100" t="s">
        <v>246</v>
      </c>
      <c r="H100" s="27">
        <v>45931</v>
      </c>
      <c r="I100" s="13" t="s">
        <v>1437</v>
      </c>
      <c r="J100" t="s">
        <v>375</v>
      </c>
    </row>
    <row r="101" spans="1:10" ht="15" customHeight="1" x14ac:dyDescent="0.25">
      <c r="A101" t="s">
        <v>1439</v>
      </c>
      <c r="B101" t="s">
        <v>40</v>
      </c>
      <c r="C101" t="s">
        <v>378</v>
      </c>
      <c r="D101" t="s">
        <v>562</v>
      </c>
      <c r="E101">
        <v>48</v>
      </c>
      <c r="F101" s="31" t="s">
        <v>730</v>
      </c>
      <c r="G101" t="s">
        <v>246</v>
      </c>
      <c r="H101" s="27">
        <v>45931</v>
      </c>
      <c r="J101" t="s">
        <v>375</v>
      </c>
    </row>
    <row r="102" spans="1:10" ht="15" customHeight="1" x14ac:dyDescent="0.25">
      <c r="A102" s="13" t="s">
        <v>1440</v>
      </c>
      <c r="B102" t="s">
        <v>40</v>
      </c>
      <c r="C102" t="s">
        <v>377</v>
      </c>
      <c r="D102" t="s">
        <v>562</v>
      </c>
      <c r="E102">
        <v>48</v>
      </c>
      <c r="F102" s="31" t="s">
        <v>730</v>
      </c>
      <c r="G102" t="s">
        <v>246</v>
      </c>
      <c r="H102" s="27">
        <v>45931</v>
      </c>
      <c r="J102" t="s">
        <v>375</v>
      </c>
    </row>
    <row r="103" spans="1:10" ht="15" customHeight="1" x14ac:dyDescent="0.25">
      <c r="A103" s="13" t="s">
        <v>1441</v>
      </c>
      <c r="B103" t="s">
        <v>40</v>
      </c>
      <c r="C103" t="s">
        <v>378</v>
      </c>
      <c r="D103" t="s">
        <v>562</v>
      </c>
      <c r="E103">
        <v>48</v>
      </c>
      <c r="F103" s="31" t="s">
        <v>730</v>
      </c>
      <c r="G103" t="s">
        <v>246</v>
      </c>
      <c r="H103" s="27">
        <v>45931</v>
      </c>
      <c r="J103" t="s">
        <v>375</v>
      </c>
    </row>
    <row r="104" spans="1:10" ht="15" customHeight="1" x14ac:dyDescent="0.25">
      <c r="A104" t="s">
        <v>1442</v>
      </c>
      <c r="B104" t="s">
        <v>40</v>
      </c>
      <c r="C104" t="s">
        <v>562</v>
      </c>
      <c r="D104" t="s">
        <v>378</v>
      </c>
      <c r="E104">
        <v>48</v>
      </c>
      <c r="F104" s="31" t="s">
        <v>730</v>
      </c>
      <c r="G104" t="s">
        <v>246</v>
      </c>
      <c r="H104" s="27">
        <v>45936</v>
      </c>
      <c r="J104" t="s">
        <v>375</v>
      </c>
    </row>
    <row r="105" spans="1:10" ht="15" customHeight="1" x14ac:dyDescent="0.25">
      <c r="A105" t="s">
        <v>1443</v>
      </c>
      <c r="B105" t="s">
        <v>40</v>
      </c>
      <c r="C105" t="s">
        <v>363</v>
      </c>
      <c r="D105" t="s">
        <v>378</v>
      </c>
      <c r="E105">
        <v>48</v>
      </c>
      <c r="F105" s="31" t="s">
        <v>730</v>
      </c>
      <c r="G105" t="s">
        <v>246</v>
      </c>
      <c r="H105" s="27">
        <v>45936</v>
      </c>
      <c r="J105" t="s">
        <v>375</v>
      </c>
    </row>
    <row r="106" spans="1:10" ht="15" customHeight="1" x14ac:dyDescent="0.25">
      <c r="A106" t="s">
        <v>1444</v>
      </c>
      <c r="B106" t="s">
        <v>40</v>
      </c>
      <c r="C106" t="s">
        <v>363</v>
      </c>
      <c r="D106" t="s">
        <v>378</v>
      </c>
      <c r="E106">
        <v>48</v>
      </c>
      <c r="F106" s="31" t="s">
        <v>730</v>
      </c>
      <c r="G106" t="s">
        <v>246</v>
      </c>
      <c r="H106" s="27">
        <v>45936</v>
      </c>
      <c r="J106" t="s">
        <v>375</v>
      </c>
    </row>
    <row r="107" spans="1:10" ht="15" customHeight="1" x14ac:dyDescent="0.25">
      <c r="A107" t="s">
        <v>1445</v>
      </c>
      <c r="B107" t="s">
        <v>40</v>
      </c>
      <c r="C107" t="s">
        <v>584</v>
      </c>
      <c r="D107" t="s">
        <v>377</v>
      </c>
      <c r="E107">
        <v>48</v>
      </c>
      <c r="F107" s="31" t="s">
        <v>730</v>
      </c>
      <c r="G107" t="s">
        <v>246</v>
      </c>
      <c r="H107" s="27">
        <v>45940</v>
      </c>
      <c r="I107" t="s">
        <v>735</v>
      </c>
      <c r="J107" t="s">
        <v>375</v>
      </c>
    </row>
    <row r="108" spans="1:10" ht="15" customHeight="1" x14ac:dyDescent="0.25">
      <c r="A108" t="s">
        <v>1446</v>
      </c>
      <c r="B108" t="s">
        <v>40</v>
      </c>
      <c r="C108" t="s">
        <v>584</v>
      </c>
      <c r="D108" t="s">
        <v>377</v>
      </c>
      <c r="E108">
        <v>48</v>
      </c>
      <c r="F108" s="31" t="s">
        <v>730</v>
      </c>
      <c r="G108" t="s">
        <v>246</v>
      </c>
      <c r="H108" s="27">
        <v>45940</v>
      </c>
      <c r="I108" t="s">
        <v>735</v>
      </c>
      <c r="J108" t="s">
        <v>375</v>
      </c>
    </row>
    <row r="109" spans="1:10" ht="15" customHeight="1" x14ac:dyDescent="0.25">
      <c r="A109" t="s">
        <v>1447</v>
      </c>
      <c r="B109" t="s">
        <v>40</v>
      </c>
      <c r="C109" t="s">
        <v>584</v>
      </c>
      <c r="D109" t="s">
        <v>377</v>
      </c>
      <c r="E109">
        <v>48</v>
      </c>
      <c r="F109" s="31" t="s">
        <v>730</v>
      </c>
      <c r="G109" t="s">
        <v>246</v>
      </c>
      <c r="H109" s="27">
        <v>45940</v>
      </c>
      <c r="I109" t="s">
        <v>735</v>
      </c>
      <c r="J109" t="s">
        <v>375</v>
      </c>
    </row>
    <row r="110" spans="1:10" ht="15" customHeight="1" x14ac:dyDescent="0.25">
      <c r="A110" t="s">
        <v>1448</v>
      </c>
      <c r="B110" t="s">
        <v>40</v>
      </c>
      <c r="C110" t="s">
        <v>363</v>
      </c>
      <c r="D110" t="s">
        <v>257</v>
      </c>
      <c r="E110">
        <v>48</v>
      </c>
      <c r="F110" s="31" t="s">
        <v>730</v>
      </c>
      <c r="G110" t="s">
        <v>246</v>
      </c>
      <c r="H110" s="27">
        <v>45950</v>
      </c>
      <c r="I110" t="s">
        <v>838</v>
      </c>
      <c r="J110" t="s">
        <v>375</v>
      </c>
    </row>
    <row r="111" spans="1:10" ht="15" customHeight="1" x14ac:dyDescent="0.25">
      <c r="A111" t="s">
        <v>1449</v>
      </c>
      <c r="B111" t="s">
        <v>40</v>
      </c>
      <c r="C111" t="s">
        <v>377</v>
      </c>
      <c r="D111" t="s">
        <v>257</v>
      </c>
      <c r="E111">
        <v>48</v>
      </c>
      <c r="F111" s="31" t="s">
        <v>730</v>
      </c>
      <c r="G111" t="s">
        <v>246</v>
      </c>
      <c r="H111" s="27">
        <v>45943</v>
      </c>
      <c r="J111" t="s">
        <v>375</v>
      </c>
    </row>
    <row r="112" spans="1:10" ht="15" customHeight="1" x14ac:dyDescent="0.25">
      <c r="A112" t="s">
        <v>1450</v>
      </c>
      <c r="B112" t="s">
        <v>40</v>
      </c>
      <c r="C112" t="s">
        <v>257</v>
      </c>
      <c r="E112">
        <v>48</v>
      </c>
      <c r="F112" s="31" t="s">
        <v>730</v>
      </c>
      <c r="G112" t="s">
        <v>246</v>
      </c>
      <c r="H112" s="27">
        <v>45946</v>
      </c>
      <c r="I112" t="s">
        <v>832</v>
      </c>
      <c r="J112" t="s">
        <v>375</v>
      </c>
    </row>
    <row r="113" spans="1:10" ht="15" customHeight="1" x14ac:dyDescent="0.25">
      <c r="A113" t="s">
        <v>1451</v>
      </c>
      <c r="B113" t="s">
        <v>40</v>
      </c>
      <c r="C113" t="s">
        <v>257</v>
      </c>
      <c r="E113">
        <v>48</v>
      </c>
      <c r="F113" s="31" t="s">
        <v>730</v>
      </c>
      <c r="G113" t="s">
        <v>246</v>
      </c>
      <c r="H113" s="27">
        <v>45946</v>
      </c>
      <c r="I113" t="s">
        <v>832</v>
      </c>
      <c r="J113" t="s">
        <v>375</v>
      </c>
    </row>
    <row r="114" spans="1:10" ht="15" customHeight="1" x14ac:dyDescent="0.25">
      <c r="A114" t="s">
        <v>1452</v>
      </c>
      <c r="B114" t="s">
        <v>40</v>
      </c>
      <c r="C114" t="s">
        <v>257</v>
      </c>
      <c r="E114">
        <v>48</v>
      </c>
      <c r="F114" s="31" t="s">
        <v>730</v>
      </c>
      <c r="G114" t="s">
        <v>246</v>
      </c>
      <c r="H114" s="27">
        <v>45946</v>
      </c>
      <c r="I114" t="s">
        <v>1453</v>
      </c>
      <c r="J114" t="s">
        <v>375</v>
      </c>
    </row>
    <row r="115" spans="1:10" ht="15" customHeight="1" x14ac:dyDescent="0.25">
      <c r="A115" t="s">
        <v>1454</v>
      </c>
      <c r="B115" t="s">
        <v>40</v>
      </c>
      <c r="C115" t="s">
        <v>257</v>
      </c>
      <c r="E115">
        <v>48</v>
      </c>
      <c r="F115" s="31" t="s">
        <v>730</v>
      </c>
      <c r="G115" t="s">
        <v>246</v>
      </c>
      <c r="H115" s="27">
        <v>45946</v>
      </c>
      <c r="I115" t="s">
        <v>832</v>
      </c>
      <c r="J115" t="s">
        <v>375</v>
      </c>
    </row>
    <row r="116" spans="1:10" ht="15" customHeight="1" x14ac:dyDescent="0.25">
      <c r="A116" s="13" t="s">
        <v>1455</v>
      </c>
      <c r="B116" t="s">
        <v>40</v>
      </c>
      <c r="C116" t="s">
        <v>363</v>
      </c>
      <c r="D116" t="s">
        <v>562</v>
      </c>
      <c r="E116">
        <v>48</v>
      </c>
      <c r="F116" s="31" t="s">
        <v>730</v>
      </c>
      <c r="G116" t="s">
        <v>358</v>
      </c>
      <c r="H116" s="27">
        <v>45953</v>
      </c>
      <c r="I116" t="s">
        <v>1456</v>
      </c>
      <c r="J116" t="s">
        <v>375</v>
      </c>
    </row>
    <row r="117" spans="1:10" ht="15" customHeight="1" x14ac:dyDescent="0.25">
      <c r="A117" s="13" t="s">
        <v>1457</v>
      </c>
      <c r="B117" t="s">
        <v>40</v>
      </c>
      <c r="C117" t="s">
        <v>363</v>
      </c>
      <c r="D117" t="s">
        <v>562</v>
      </c>
      <c r="E117">
        <v>48</v>
      </c>
      <c r="F117" s="31" t="s">
        <v>730</v>
      </c>
      <c r="G117" t="s">
        <v>358</v>
      </c>
      <c r="H117" s="27">
        <v>45953</v>
      </c>
      <c r="I117" t="s">
        <v>1456</v>
      </c>
      <c r="J117" t="s">
        <v>375</v>
      </c>
    </row>
    <row r="118" spans="1:10" ht="15" customHeight="1" x14ac:dyDescent="0.25">
      <c r="A118" t="s">
        <v>1458</v>
      </c>
      <c r="B118" t="s">
        <v>40</v>
      </c>
      <c r="C118" t="s">
        <v>562</v>
      </c>
      <c r="D118" t="s">
        <v>378</v>
      </c>
      <c r="E118">
        <v>48</v>
      </c>
      <c r="F118" s="31" t="s">
        <v>730</v>
      </c>
      <c r="G118" t="s">
        <v>358</v>
      </c>
      <c r="H118" s="27">
        <v>45954</v>
      </c>
      <c r="I118" t="s">
        <v>1459</v>
      </c>
      <c r="J118" t="s">
        <v>375</v>
      </c>
    </row>
    <row r="119" spans="1:10" ht="15" customHeight="1" x14ac:dyDescent="0.25">
      <c r="A119" t="s">
        <v>1460</v>
      </c>
      <c r="B119" t="s">
        <v>40</v>
      </c>
      <c r="C119" t="s">
        <v>562</v>
      </c>
      <c r="D119" t="s">
        <v>378</v>
      </c>
      <c r="E119">
        <v>48</v>
      </c>
      <c r="F119" s="31" t="s">
        <v>730</v>
      </c>
      <c r="G119" t="s">
        <v>358</v>
      </c>
      <c r="H119" s="27">
        <v>45954</v>
      </c>
      <c r="J119" t="s">
        <v>375</v>
      </c>
    </row>
    <row r="120" spans="1:10" ht="15" customHeight="1" x14ac:dyDescent="0.25">
      <c r="A120" t="s">
        <v>1461</v>
      </c>
      <c r="B120" t="s">
        <v>40</v>
      </c>
      <c r="C120" t="s">
        <v>377</v>
      </c>
      <c r="D120" t="s">
        <v>378</v>
      </c>
      <c r="E120">
        <v>48</v>
      </c>
      <c r="F120" s="31" t="s">
        <v>730</v>
      </c>
      <c r="G120" t="s">
        <v>358</v>
      </c>
      <c r="H120" s="27">
        <v>45954</v>
      </c>
      <c r="I120" t="s">
        <v>1462</v>
      </c>
      <c r="J120" t="s">
        <v>380</v>
      </c>
    </row>
    <row r="121" spans="1:10" ht="15" customHeight="1" x14ac:dyDescent="0.25">
      <c r="A121" t="s">
        <v>1463</v>
      </c>
      <c r="B121" t="s">
        <v>40</v>
      </c>
      <c r="C121" t="s">
        <v>378</v>
      </c>
      <c r="D121" t="s">
        <v>257</v>
      </c>
      <c r="E121">
        <v>48</v>
      </c>
      <c r="F121" s="31" t="s">
        <v>730</v>
      </c>
      <c r="G121" t="s">
        <v>358</v>
      </c>
      <c r="H121" s="27">
        <v>45957</v>
      </c>
      <c r="J121" t="s">
        <v>380</v>
      </c>
    </row>
    <row r="122" spans="1:10" ht="15" customHeight="1" x14ac:dyDescent="0.25">
      <c r="A122" t="s">
        <v>1464</v>
      </c>
      <c r="B122" t="s">
        <v>40</v>
      </c>
      <c r="C122" t="s">
        <v>378</v>
      </c>
      <c r="D122" t="s">
        <v>257</v>
      </c>
      <c r="E122">
        <v>48</v>
      </c>
      <c r="F122" s="31" t="s">
        <v>730</v>
      </c>
      <c r="G122" t="s">
        <v>358</v>
      </c>
      <c r="H122" s="27">
        <v>45957</v>
      </c>
      <c r="J122" t="s">
        <v>380</v>
      </c>
    </row>
    <row r="123" spans="1:10" ht="15" customHeight="1" x14ac:dyDescent="0.25">
      <c r="A123" t="s">
        <v>1465</v>
      </c>
      <c r="B123" t="s">
        <v>40</v>
      </c>
      <c r="C123" t="s">
        <v>363</v>
      </c>
      <c r="D123" t="s">
        <v>378</v>
      </c>
      <c r="E123">
        <v>48</v>
      </c>
      <c r="F123" s="31" t="s">
        <v>730</v>
      </c>
      <c r="G123" t="s">
        <v>358</v>
      </c>
      <c r="H123" s="27">
        <v>45957</v>
      </c>
      <c r="J123" t="s">
        <v>380</v>
      </c>
    </row>
    <row r="124" spans="1:10" ht="15" customHeight="1" x14ac:dyDescent="0.25">
      <c r="A124" t="s">
        <v>1466</v>
      </c>
      <c r="B124" t="s">
        <v>40</v>
      </c>
      <c r="C124" t="s">
        <v>363</v>
      </c>
      <c r="D124" t="s">
        <v>378</v>
      </c>
      <c r="E124">
        <v>48</v>
      </c>
      <c r="F124" s="31" t="s">
        <v>730</v>
      </c>
      <c r="G124" t="s">
        <v>358</v>
      </c>
      <c r="H124" s="27">
        <v>45957</v>
      </c>
      <c r="J124" t="s">
        <v>380</v>
      </c>
    </row>
    <row r="125" spans="1:10" ht="15" customHeight="1" x14ac:dyDescent="0.25">
      <c r="A125" t="s">
        <v>1467</v>
      </c>
      <c r="B125" t="s">
        <v>40</v>
      </c>
      <c r="C125" t="s">
        <v>378</v>
      </c>
      <c r="D125" t="s">
        <v>257</v>
      </c>
      <c r="E125">
        <v>48</v>
      </c>
      <c r="F125" s="31" t="s">
        <v>730</v>
      </c>
      <c r="G125" t="s">
        <v>358</v>
      </c>
      <c r="H125" s="27">
        <v>45957</v>
      </c>
      <c r="J125" t="s">
        <v>380</v>
      </c>
    </row>
    <row r="126" spans="1:10" ht="15" customHeight="1" x14ac:dyDescent="0.25">
      <c r="A126" s="1" t="s">
        <v>1468</v>
      </c>
      <c r="B126" t="s">
        <v>40</v>
      </c>
      <c r="C126" t="s">
        <v>378</v>
      </c>
      <c r="D126" t="s">
        <v>378</v>
      </c>
      <c r="E126">
        <v>48</v>
      </c>
      <c r="F126" s="31" t="s">
        <v>730</v>
      </c>
      <c r="G126" t="s">
        <v>358</v>
      </c>
      <c r="H126" s="27">
        <v>45958</v>
      </c>
      <c r="I126" t="s">
        <v>1469</v>
      </c>
      <c r="J126" t="s">
        <v>380</v>
      </c>
    </row>
    <row r="127" spans="1:10" ht="15" customHeight="1" x14ac:dyDescent="0.25">
      <c r="A127" t="s">
        <v>1470</v>
      </c>
      <c r="B127" t="s">
        <v>40</v>
      </c>
      <c r="C127" t="s">
        <v>378</v>
      </c>
      <c r="D127" t="s">
        <v>378</v>
      </c>
      <c r="E127">
        <v>48</v>
      </c>
      <c r="F127" s="31" t="s">
        <v>730</v>
      </c>
      <c r="G127" t="s">
        <v>358</v>
      </c>
      <c r="H127" s="27">
        <v>45958</v>
      </c>
      <c r="I127" t="s">
        <v>862</v>
      </c>
      <c r="J127" t="s">
        <v>380</v>
      </c>
    </row>
    <row r="128" spans="1:10" ht="15" customHeight="1" x14ac:dyDescent="0.25">
      <c r="A128" s="2" t="s">
        <v>1471</v>
      </c>
      <c r="B128" t="s">
        <v>40</v>
      </c>
      <c r="C128" t="s">
        <v>566</v>
      </c>
      <c r="D128" t="s">
        <v>377</v>
      </c>
      <c r="E128">
        <v>48</v>
      </c>
      <c r="F128" s="31" t="s">
        <v>730</v>
      </c>
      <c r="G128" t="s">
        <v>358</v>
      </c>
      <c r="H128" s="27">
        <v>45964</v>
      </c>
      <c r="J128" t="s">
        <v>380</v>
      </c>
    </row>
    <row r="129" spans="1:11" ht="15" customHeight="1" x14ac:dyDescent="0.25">
      <c r="A129" t="s">
        <v>1472</v>
      </c>
      <c r="B129" t="s">
        <v>40</v>
      </c>
      <c r="C129" t="s">
        <v>566</v>
      </c>
      <c r="D129" t="s">
        <v>377</v>
      </c>
      <c r="E129">
        <v>48</v>
      </c>
      <c r="F129" s="31" t="s">
        <v>730</v>
      </c>
      <c r="G129" t="s">
        <v>358</v>
      </c>
      <c r="H129" s="27">
        <v>45964</v>
      </c>
      <c r="J129" t="s">
        <v>380</v>
      </c>
    </row>
    <row r="130" spans="1:11" ht="15" customHeight="1" x14ac:dyDescent="0.25">
      <c r="A130" t="s">
        <v>1473</v>
      </c>
      <c r="B130" t="s">
        <v>40</v>
      </c>
      <c r="C130" t="s">
        <v>377</v>
      </c>
      <c r="D130" t="s">
        <v>377</v>
      </c>
      <c r="E130">
        <v>48</v>
      </c>
      <c r="F130" s="31" t="s">
        <v>730</v>
      </c>
      <c r="G130" t="s">
        <v>358</v>
      </c>
      <c r="H130" s="27">
        <v>45964</v>
      </c>
      <c r="J130" t="s">
        <v>380</v>
      </c>
    </row>
    <row r="131" spans="1:11" ht="15" customHeight="1" x14ac:dyDescent="0.25">
      <c r="A131" s="13" t="s">
        <v>1474</v>
      </c>
      <c r="B131" t="s">
        <v>40</v>
      </c>
      <c r="C131" t="s">
        <v>378</v>
      </c>
      <c r="D131" t="s">
        <v>377</v>
      </c>
      <c r="E131">
        <v>48</v>
      </c>
      <c r="F131" s="31" t="s">
        <v>730</v>
      </c>
      <c r="G131" t="s">
        <v>358</v>
      </c>
      <c r="H131" s="27">
        <v>45964</v>
      </c>
      <c r="J131" t="s">
        <v>380</v>
      </c>
    </row>
    <row r="132" spans="1:11" ht="15" customHeight="1" x14ac:dyDescent="0.25">
      <c r="A132" t="s">
        <v>1475</v>
      </c>
      <c r="B132" t="s">
        <v>40</v>
      </c>
      <c r="C132" t="s">
        <v>377</v>
      </c>
      <c r="D132" t="s">
        <v>377</v>
      </c>
      <c r="E132">
        <v>48</v>
      </c>
      <c r="F132" s="31" t="s">
        <v>730</v>
      </c>
      <c r="G132" t="s">
        <v>358</v>
      </c>
      <c r="H132" s="27">
        <v>45964</v>
      </c>
      <c r="J132" t="s">
        <v>380</v>
      </c>
    </row>
    <row r="133" spans="1:11" ht="15" customHeight="1" x14ac:dyDescent="0.25">
      <c r="A133" t="s">
        <v>1476</v>
      </c>
      <c r="B133" t="s">
        <v>40</v>
      </c>
      <c r="C133" t="s">
        <v>566</v>
      </c>
      <c r="D133" t="s">
        <v>377</v>
      </c>
      <c r="E133">
        <v>48</v>
      </c>
      <c r="F133" s="31" t="s">
        <v>730</v>
      </c>
      <c r="G133" t="s">
        <v>358</v>
      </c>
      <c r="H133" s="27">
        <v>45964</v>
      </c>
      <c r="I133" s="45" t="s">
        <v>1477</v>
      </c>
      <c r="J133" t="s">
        <v>380</v>
      </c>
    </row>
    <row r="134" spans="1:11" ht="15" customHeight="1" x14ac:dyDescent="0.25">
      <c r="A134" t="s">
        <v>1478</v>
      </c>
      <c r="B134" t="s">
        <v>40</v>
      </c>
      <c r="C134" t="s">
        <v>377</v>
      </c>
      <c r="D134" t="s">
        <v>377</v>
      </c>
      <c r="E134">
        <v>48</v>
      </c>
      <c r="F134" s="31" t="s">
        <v>730</v>
      </c>
      <c r="G134" t="s">
        <v>358</v>
      </c>
      <c r="H134" s="27">
        <v>45964</v>
      </c>
      <c r="I134" s="45" t="s">
        <v>1477</v>
      </c>
      <c r="J134" t="s">
        <v>380</v>
      </c>
      <c r="K134" s="13"/>
    </row>
    <row r="135" spans="1:11" ht="15" customHeight="1" x14ac:dyDescent="0.25">
      <c r="A135" t="s">
        <v>1479</v>
      </c>
      <c r="B135" t="s">
        <v>40</v>
      </c>
      <c r="C135" t="s">
        <v>378</v>
      </c>
      <c r="D135" t="s">
        <v>363</v>
      </c>
      <c r="E135">
        <v>48</v>
      </c>
      <c r="F135" s="31" t="s">
        <v>730</v>
      </c>
      <c r="G135" t="s">
        <v>358</v>
      </c>
      <c r="H135" s="27">
        <v>45967</v>
      </c>
      <c r="J135" t="s">
        <v>380</v>
      </c>
    </row>
    <row r="136" spans="1:11" ht="15" customHeight="1" x14ac:dyDescent="0.25">
      <c r="A136" s="13" t="s">
        <v>1480</v>
      </c>
      <c r="B136" t="s">
        <v>40</v>
      </c>
      <c r="C136" t="s">
        <v>378</v>
      </c>
      <c r="D136" t="s">
        <v>363</v>
      </c>
      <c r="E136">
        <v>48</v>
      </c>
      <c r="F136" s="31" t="s">
        <v>730</v>
      </c>
      <c r="G136" t="s">
        <v>358</v>
      </c>
      <c r="H136" s="27">
        <v>45967</v>
      </c>
      <c r="J136" t="s">
        <v>380</v>
      </c>
    </row>
    <row r="137" spans="1:11" ht="15" customHeight="1" x14ac:dyDescent="0.25">
      <c r="A137" t="s">
        <v>1481</v>
      </c>
      <c r="B137" t="s">
        <v>40</v>
      </c>
      <c r="C137" t="s">
        <v>378</v>
      </c>
      <c r="D137" t="s">
        <v>363</v>
      </c>
      <c r="E137">
        <v>48</v>
      </c>
      <c r="F137" s="31" t="s">
        <v>730</v>
      </c>
      <c r="G137" t="s">
        <v>358</v>
      </c>
      <c r="H137" s="27">
        <v>45967</v>
      </c>
      <c r="J137" t="s">
        <v>380</v>
      </c>
    </row>
    <row r="138" spans="1:11" ht="15" customHeight="1" x14ac:dyDescent="0.25">
      <c r="A138" s="13" t="s">
        <v>1482</v>
      </c>
      <c r="B138" t="s">
        <v>40</v>
      </c>
      <c r="C138" t="s">
        <v>584</v>
      </c>
      <c r="D138" t="s">
        <v>584</v>
      </c>
      <c r="E138">
        <v>48</v>
      </c>
      <c r="F138" s="31" t="s">
        <v>730</v>
      </c>
      <c r="G138" t="s">
        <v>358</v>
      </c>
      <c r="H138" s="27">
        <v>45968</v>
      </c>
      <c r="I138" t="s">
        <v>1483</v>
      </c>
      <c r="J138" t="s">
        <v>380</v>
      </c>
    </row>
    <row r="139" spans="1:11" ht="15" customHeight="1" x14ac:dyDescent="0.25">
      <c r="A139" s="13" t="s">
        <v>1484</v>
      </c>
      <c r="B139" t="s">
        <v>40</v>
      </c>
      <c r="C139" t="s">
        <v>584</v>
      </c>
      <c r="D139" t="s">
        <v>584</v>
      </c>
      <c r="E139">
        <v>48</v>
      </c>
      <c r="F139" s="31" t="s">
        <v>730</v>
      </c>
      <c r="G139" t="s">
        <v>358</v>
      </c>
      <c r="H139" s="27">
        <v>45968</v>
      </c>
      <c r="I139" t="s">
        <v>1483</v>
      </c>
      <c r="J139" t="s">
        <v>380</v>
      </c>
    </row>
    <row r="140" spans="1:11" ht="15" customHeight="1" x14ac:dyDescent="0.25">
      <c r="A140" t="s">
        <v>1485</v>
      </c>
      <c r="B140" t="s">
        <v>40</v>
      </c>
      <c r="C140" t="s">
        <v>363</v>
      </c>
      <c r="D140" t="s">
        <v>378</v>
      </c>
      <c r="E140">
        <v>48</v>
      </c>
      <c r="F140" s="31" t="s">
        <v>730</v>
      </c>
      <c r="G140" t="s">
        <v>358</v>
      </c>
      <c r="H140" s="27">
        <v>45971</v>
      </c>
      <c r="I140" s="47" t="s">
        <v>1486</v>
      </c>
      <c r="J140" t="s">
        <v>380</v>
      </c>
    </row>
    <row r="141" spans="1:11" ht="15" customHeight="1" x14ac:dyDescent="0.25">
      <c r="A141" t="s">
        <v>1487</v>
      </c>
      <c r="B141" t="s">
        <v>40</v>
      </c>
      <c r="C141" t="s">
        <v>363</v>
      </c>
      <c r="D141" t="s">
        <v>378</v>
      </c>
      <c r="E141">
        <v>48</v>
      </c>
      <c r="F141" s="31" t="s">
        <v>730</v>
      </c>
      <c r="G141" t="s">
        <v>358</v>
      </c>
      <c r="H141" s="27">
        <v>45971</v>
      </c>
      <c r="I141" s="47" t="s">
        <v>1486</v>
      </c>
      <c r="J141" t="s">
        <v>380</v>
      </c>
    </row>
    <row r="142" spans="1:11" ht="15" customHeight="1" x14ac:dyDescent="0.25">
      <c r="A142" t="s">
        <v>1488</v>
      </c>
      <c r="B142" t="s">
        <v>40</v>
      </c>
      <c r="C142" t="s">
        <v>257</v>
      </c>
      <c r="D142" t="s">
        <v>245</v>
      </c>
      <c r="E142">
        <v>48</v>
      </c>
      <c r="F142" s="31" t="s">
        <v>730</v>
      </c>
      <c r="G142" t="s">
        <v>358</v>
      </c>
      <c r="H142" s="27">
        <v>45973</v>
      </c>
      <c r="I142" s="47" t="s">
        <v>1486</v>
      </c>
      <c r="J142" t="s">
        <v>380</v>
      </c>
    </row>
    <row r="143" spans="1:11" ht="15" customHeight="1" x14ac:dyDescent="0.25">
      <c r="A143" t="s">
        <v>1489</v>
      </c>
      <c r="B143" t="s">
        <v>40</v>
      </c>
      <c r="C143" t="s">
        <v>257</v>
      </c>
      <c r="D143" t="s">
        <v>245</v>
      </c>
      <c r="E143">
        <v>48</v>
      </c>
      <c r="F143" s="31" t="s">
        <v>730</v>
      </c>
      <c r="G143" t="s">
        <v>358</v>
      </c>
      <c r="H143" s="27">
        <v>45973</v>
      </c>
      <c r="I143" s="47" t="s">
        <v>1486</v>
      </c>
      <c r="J143" t="s">
        <v>380</v>
      </c>
    </row>
    <row r="144" spans="1:11" ht="15" customHeight="1" x14ac:dyDescent="0.25">
      <c r="A144" t="s">
        <v>1490</v>
      </c>
      <c r="B144" t="s">
        <v>40</v>
      </c>
      <c r="C144" t="s">
        <v>257</v>
      </c>
      <c r="D144" t="s">
        <v>378</v>
      </c>
      <c r="E144">
        <v>48</v>
      </c>
      <c r="F144" s="31" t="s">
        <v>730</v>
      </c>
      <c r="G144" t="s">
        <v>358</v>
      </c>
      <c r="H144" s="27">
        <v>45974</v>
      </c>
      <c r="I144" s="47" t="s">
        <v>1486</v>
      </c>
      <c r="J144" t="s">
        <v>380</v>
      </c>
    </row>
    <row r="145" spans="1:10" ht="15" customHeight="1" x14ac:dyDescent="0.25">
      <c r="A145" t="s">
        <v>1491</v>
      </c>
      <c r="B145" t="s">
        <v>40</v>
      </c>
      <c r="C145" t="s">
        <v>257</v>
      </c>
      <c r="D145" t="s">
        <v>378</v>
      </c>
      <c r="E145">
        <v>48</v>
      </c>
      <c r="F145" s="31" t="s">
        <v>730</v>
      </c>
      <c r="G145" t="s">
        <v>358</v>
      </c>
      <c r="H145" s="27">
        <v>45974</v>
      </c>
      <c r="I145" s="47" t="s">
        <v>1486</v>
      </c>
      <c r="J145" t="s">
        <v>380</v>
      </c>
    </row>
    <row r="146" spans="1:10" ht="15" customHeight="1" x14ac:dyDescent="0.25">
      <c r="A146" t="s">
        <v>1492</v>
      </c>
      <c r="B146" t="s">
        <v>40</v>
      </c>
      <c r="C146" t="s">
        <v>257</v>
      </c>
      <c r="D146" t="s">
        <v>245</v>
      </c>
      <c r="E146">
        <v>48</v>
      </c>
      <c r="F146" s="31" t="s">
        <v>730</v>
      </c>
      <c r="G146" t="s">
        <v>358</v>
      </c>
      <c r="H146" s="27">
        <v>45975</v>
      </c>
      <c r="I146" s="47" t="s">
        <v>1493</v>
      </c>
      <c r="J146" t="s">
        <v>380</v>
      </c>
    </row>
    <row r="147" spans="1:10" ht="15" customHeight="1" x14ac:dyDescent="0.25">
      <c r="A147" t="s">
        <v>1494</v>
      </c>
      <c r="B147" t="s">
        <v>40</v>
      </c>
      <c r="C147" t="s">
        <v>363</v>
      </c>
      <c r="D147" t="s">
        <v>257</v>
      </c>
      <c r="E147">
        <v>48</v>
      </c>
      <c r="F147" s="31" t="s">
        <v>730</v>
      </c>
      <c r="G147" t="s">
        <v>358</v>
      </c>
      <c r="H147" s="27">
        <v>45978</v>
      </c>
      <c r="I147" t="s">
        <v>1493</v>
      </c>
      <c r="J147" t="s">
        <v>380</v>
      </c>
    </row>
    <row r="148" spans="1:10" ht="15" customHeight="1" x14ac:dyDescent="0.25">
      <c r="A148" t="s">
        <v>1495</v>
      </c>
      <c r="B148" t="s">
        <v>40</v>
      </c>
      <c r="C148" t="s">
        <v>378</v>
      </c>
      <c r="D148" t="s">
        <v>257</v>
      </c>
      <c r="E148">
        <v>48</v>
      </c>
      <c r="F148" s="31" t="s">
        <v>730</v>
      </c>
      <c r="G148" t="s">
        <v>358</v>
      </c>
      <c r="H148" s="27">
        <v>45978</v>
      </c>
      <c r="J148" t="s">
        <v>380</v>
      </c>
    </row>
    <row r="149" spans="1:10" ht="15" customHeight="1" x14ac:dyDescent="0.25">
      <c r="A149" t="s">
        <v>1496</v>
      </c>
      <c r="B149" t="s">
        <v>40</v>
      </c>
      <c r="C149" t="s">
        <v>584</v>
      </c>
      <c r="D149" t="s">
        <v>257</v>
      </c>
      <c r="E149">
        <v>48</v>
      </c>
      <c r="F149" s="31" t="s">
        <v>730</v>
      </c>
      <c r="G149" t="s">
        <v>358</v>
      </c>
      <c r="H149" s="27">
        <v>45978</v>
      </c>
      <c r="I149" s="3" t="s">
        <v>980</v>
      </c>
      <c r="J149" t="s">
        <v>380</v>
      </c>
    </row>
    <row r="150" spans="1:10" ht="15" customHeight="1" x14ac:dyDescent="0.25">
      <c r="A150" t="s">
        <v>1497</v>
      </c>
      <c r="B150" t="s">
        <v>40</v>
      </c>
      <c r="C150" t="s">
        <v>363</v>
      </c>
      <c r="D150" t="s">
        <v>257</v>
      </c>
      <c r="E150">
        <v>48</v>
      </c>
      <c r="F150" s="31" t="s">
        <v>730</v>
      </c>
      <c r="G150" t="s">
        <v>358</v>
      </c>
      <c r="H150" s="27">
        <v>45978</v>
      </c>
      <c r="I150" t="s">
        <v>1498</v>
      </c>
      <c r="J150" t="s">
        <v>380</v>
      </c>
    </row>
    <row r="151" spans="1:10" ht="15" customHeight="1" x14ac:dyDescent="0.25">
      <c r="A151" t="s">
        <v>1499</v>
      </c>
      <c r="B151" t="s">
        <v>40</v>
      </c>
      <c r="C151" t="s">
        <v>378</v>
      </c>
      <c r="D151" t="s">
        <v>245</v>
      </c>
      <c r="E151">
        <v>48</v>
      </c>
      <c r="F151" s="31" t="s">
        <v>730</v>
      </c>
      <c r="G151" t="s">
        <v>358</v>
      </c>
      <c r="H151" s="27">
        <v>45980</v>
      </c>
      <c r="I151" t="s">
        <v>1500</v>
      </c>
      <c r="J151" t="s">
        <v>380</v>
      </c>
    </row>
    <row r="152" spans="1:10" ht="15" customHeight="1" x14ac:dyDescent="0.25">
      <c r="A152" t="s">
        <v>1501</v>
      </c>
      <c r="B152" t="s">
        <v>40</v>
      </c>
      <c r="C152" t="s">
        <v>378</v>
      </c>
      <c r="D152" t="s">
        <v>377</v>
      </c>
      <c r="E152">
        <v>48</v>
      </c>
      <c r="F152" s="31" t="s">
        <v>730</v>
      </c>
      <c r="G152" t="s">
        <v>358</v>
      </c>
      <c r="H152" s="27">
        <v>45980</v>
      </c>
      <c r="I152" t="s">
        <v>1500</v>
      </c>
      <c r="J152" t="s">
        <v>380</v>
      </c>
    </row>
    <row r="153" spans="1:10" ht="15" customHeight="1" x14ac:dyDescent="0.25">
      <c r="A153" s="13" t="s">
        <v>1502</v>
      </c>
      <c r="B153" t="s">
        <v>40</v>
      </c>
      <c r="C153" t="s">
        <v>363</v>
      </c>
      <c r="D153" t="s">
        <v>363</v>
      </c>
      <c r="E153">
        <v>48</v>
      </c>
      <c r="F153" s="31" t="s">
        <v>730</v>
      </c>
      <c r="G153" t="s">
        <v>358</v>
      </c>
      <c r="H153" s="27">
        <v>45981</v>
      </c>
      <c r="I153" t="s">
        <v>1503</v>
      </c>
      <c r="J153" t="s">
        <v>380</v>
      </c>
    </row>
    <row r="154" spans="1:10" ht="15" customHeight="1" x14ac:dyDescent="0.25">
      <c r="A154" s="13" t="s">
        <v>1504</v>
      </c>
      <c r="B154" t="s">
        <v>40</v>
      </c>
      <c r="C154" t="s">
        <v>257</v>
      </c>
      <c r="D154" t="s">
        <v>363</v>
      </c>
      <c r="E154">
        <v>48</v>
      </c>
      <c r="F154" s="31" t="s">
        <v>730</v>
      </c>
      <c r="G154" t="s">
        <v>358</v>
      </c>
      <c r="H154" s="27">
        <v>45981</v>
      </c>
      <c r="I154" t="s">
        <v>1505</v>
      </c>
      <c r="J154" t="s">
        <v>380</v>
      </c>
    </row>
    <row r="155" spans="1:10" ht="15" customHeight="1" x14ac:dyDescent="0.25">
      <c r="A155" t="s">
        <v>1506</v>
      </c>
      <c r="B155" t="s">
        <v>40</v>
      </c>
      <c r="C155" t="s">
        <v>363</v>
      </c>
      <c r="D155" t="s">
        <v>378</v>
      </c>
      <c r="E155">
        <v>48</v>
      </c>
      <c r="F155" s="31" t="s">
        <v>730</v>
      </c>
      <c r="G155" t="s">
        <v>358</v>
      </c>
      <c r="H155" s="27">
        <v>45985</v>
      </c>
      <c r="I155" t="s">
        <v>916</v>
      </c>
      <c r="J155" t="s">
        <v>380</v>
      </c>
    </row>
    <row r="156" spans="1:10" ht="15" customHeight="1" x14ac:dyDescent="0.25">
      <c r="A156" t="s">
        <v>1507</v>
      </c>
      <c r="B156" t="s">
        <v>40</v>
      </c>
      <c r="C156" t="s">
        <v>363</v>
      </c>
      <c r="D156" t="s">
        <v>378</v>
      </c>
      <c r="E156">
        <v>48</v>
      </c>
      <c r="F156" s="31" t="s">
        <v>730</v>
      </c>
      <c r="G156" t="s">
        <v>358</v>
      </c>
      <c r="H156" s="27">
        <v>45985</v>
      </c>
      <c r="I156" t="s">
        <v>916</v>
      </c>
      <c r="J156" t="s">
        <v>380</v>
      </c>
    </row>
    <row r="157" spans="1:10" ht="15" customHeight="1" x14ac:dyDescent="0.25">
      <c r="A157" t="s">
        <v>1508</v>
      </c>
      <c r="B157" t="s">
        <v>40</v>
      </c>
      <c r="C157" t="s">
        <v>363</v>
      </c>
      <c r="D157" t="s">
        <v>378</v>
      </c>
      <c r="E157">
        <v>48</v>
      </c>
      <c r="F157" s="31" t="s">
        <v>730</v>
      </c>
      <c r="G157" t="s">
        <v>358</v>
      </c>
      <c r="H157" s="27">
        <v>45985</v>
      </c>
      <c r="I157" t="s">
        <v>916</v>
      </c>
      <c r="J157" t="s">
        <v>380</v>
      </c>
    </row>
    <row r="158" spans="1:10" ht="15" customHeight="1" x14ac:dyDescent="0.25">
      <c r="A158" t="s">
        <v>1509</v>
      </c>
      <c r="B158" t="s">
        <v>40</v>
      </c>
      <c r="C158" t="s">
        <v>363</v>
      </c>
      <c r="D158" t="s">
        <v>378</v>
      </c>
      <c r="E158">
        <v>48</v>
      </c>
      <c r="F158" s="31" t="s">
        <v>730</v>
      </c>
      <c r="G158" t="s">
        <v>358</v>
      </c>
      <c r="H158" s="27">
        <v>45985</v>
      </c>
      <c r="I158" t="s">
        <v>916</v>
      </c>
      <c r="J158" t="s">
        <v>380</v>
      </c>
    </row>
    <row r="159" spans="1:10" ht="15" customHeight="1" x14ac:dyDescent="0.25">
      <c r="A159" t="s">
        <v>1510</v>
      </c>
      <c r="B159" t="s">
        <v>40</v>
      </c>
      <c r="C159" t="s">
        <v>363</v>
      </c>
      <c r="D159" t="s">
        <v>377</v>
      </c>
      <c r="E159">
        <v>48</v>
      </c>
      <c r="F159" s="31" t="s">
        <v>730</v>
      </c>
      <c r="G159" t="s">
        <v>358</v>
      </c>
      <c r="H159" s="27">
        <v>45992</v>
      </c>
      <c r="I159" t="s">
        <v>1511</v>
      </c>
      <c r="J159" t="s">
        <v>380</v>
      </c>
    </row>
    <row r="160" spans="1:10" ht="15" customHeight="1" x14ac:dyDescent="0.25">
      <c r="A160" t="s">
        <v>1512</v>
      </c>
      <c r="B160" t="s">
        <v>40</v>
      </c>
      <c r="C160" t="s">
        <v>363</v>
      </c>
      <c r="D160" t="s">
        <v>377</v>
      </c>
      <c r="E160">
        <v>48</v>
      </c>
      <c r="F160" s="31" t="s">
        <v>730</v>
      </c>
      <c r="G160" t="s">
        <v>358</v>
      </c>
      <c r="H160" s="27">
        <v>45992</v>
      </c>
      <c r="I160" t="s">
        <v>1511</v>
      </c>
      <c r="J160" t="s">
        <v>380</v>
      </c>
    </row>
    <row r="161" spans="1:10" ht="15" customHeight="1" x14ac:dyDescent="0.25">
      <c r="A161" t="s">
        <v>1513</v>
      </c>
      <c r="B161" t="s">
        <v>40</v>
      </c>
      <c r="C161" t="s">
        <v>562</v>
      </c>
      <c r="D161" t="s">
        <v>377</v>
      </c>
      <c r="E161">
        <v>48</v>
      </c>
      <c r="F161" s="31" t="s">
        <v>730</v>
      </c>
      <c r="G161" t="s">
        <v>358</v>
      </c>
      <c r="H161" s="27">
        <v>45992</v>
      </c>
      <c r="I161" t="s">
        <v>1511</v>
      </c>
      <c r="J161" t="s">
        <v>380</v>
      </c>
    </row>
    <row r="162" spans="1:10" ht="15" customHeight="1" x14ac:dyDescent="0.25">
      <c r="A162" t="s">
        <v>1514</v>
      </c>
      <c r="B162" t="s">
        <v>40</v>
      </c>
      <c r="C162" t="s">
        <v>363</v>
      </c>
      <c r="D162" t="s">
        <v>377</v>
      </c>
      <c r="E162">
        <v>48</v>
      </c>
      <c r="F162" s="31" t="s">
        <v>730</v>
      </c>
      <c r="G162" t="s">
        <v>358</v>
      </c>
      <c r="H162" s="27">
        <v>45992</v>
      </c>
      <c r="I162" t="s">
        <v>1511</v>
      </c>
      <c r="J162" t="s">
        <v>380</v>
      </c>
    </row>
    <row r="163" spans="1:10" ht="15" customHeight="1" x14ac:dyDescent="0.25">
      <c r="A163" t="s">
        <v>1515</v>
      </c>
      <c r="B163" t="s">
        <v>40</v>
      </c>
      <c r="C163" t="s">
        <v>363</v>
      </c>
      <c r="D163" t="s">
        <v>377</v>
      </c>
      <c r="E163">
        <v>48</v>
      </c>
      <c r="F163" s="31" t="s">
        <v>730</v>
      </c>
      <c r="G163" t="s">
        <v>358</v>
      </c>
      <c r="H163" s="27">
        <v>45992</v>
      </c>
      <c r="I163" t="s">
        <v>1516</v>
      </c>
      <c r="J163" t="s">
        <v>380</v>
      </c>
    </row>
    <row r="164" spans="1:10" ht="15" customHeight="1" x14ac:dyDescent="0.25">
      <c r="A164" t="s">
        <v>1517</v>
      </c>
      <c r="B164" t="s">
        <v>40</v>
      </c>
      <c r="C164" t="s">
        <v>584</v>
      </c>
      <c r="D164" t="s">
        <v>377</v>
      </c>
      <c r="E164">
        <v>48</v>
      </c>
      <c r="F164" s="31" t="s">
        <v>730</v>
      </c>
      <c r="G164" t="s">
        <v>358</v>
      </c>
      <c r="H164" s="27">
        <v>45992</v>
      </c>
      <c r="I164" t="s">
        <v>1511</v>
      </c>
      <c r="J164" t="s">
        <v>380</v>
      </c>
    </row>
    <row r="165" spans="1:10" ht="15" customHeight="1" x14ac:dyDescent="0.25">
      <c r="A165" t="s">
        <v>1518</v>
      </c>
      <c r="B165" t="s">
        <v>40</v>
      </c>
      <c r="C165" t="s">
        <v>363</v>
      </c>
      <c r="D165" t="s">
        <v>377</v>
      </c>
      <c r="E165">
        <v>48</v>
      </c>
      <c r="F165" s="31" t="s">
        <v>730</v>
      </c>
      <c r="G165" t="s">
        <v>358</v>
      </c>
      <c r="H165" s="27">
        <v>45992</v>
      </c>
      <c r="I165" t="s">
        <v>1511</v>
      </c>
      <c r="J165" t="s">
        <v>380</v>
      </c>
    </row>
    <row r="166" spans="1:10" ht="15" customHeight="1" x14ac:dyDescent="0.25">
      <c r="A166" t="s">
        <v>1519</v>
      </c>
      <c r="B166" t="s">
        <v>40</v>
      </c>
      <c r="C166" t="s">
        <v>584</v>
      </c>
      <c r="D166" t="s">
        <v>377</v>
      </c>
      <c r="E166">
        <v>48</v>
      </c>
      <c r="F166" s="31" t="s">
        <v>730</v>
      </c>
      <c r="G166" t="s">
        <v>358</v>
      </c>
      <c r="H166" s="27">
        <v>45992</v>
      </c>
      <c r="I166" t="s">
        <v>1511</v>
      </c>
      <c r="J166" t="s">
        <v>380</v>
      </c>
    </row>
    <row r="167" spans="1:10" ht="15" customHeight="1" x14ac:dyDescent="0.25">
      <c r="A167" t="s">
        <v>1520</v>
      </c>
      <c r="B167" t="s">
        <v>40</v>
      </c>
      <c r="C167" t="s">
        <v>378</v>
      </c>
      <c r="D167" t="s">
        <v>245</v>
      </c>
      <c r="E167">
        <v>48</v>
      </c>
      <c r="F167" s="31" t="s">
        <v>730</v>
      </c>
      <c r="G167" t="s">
        <v>358</v>
      </c>
      <c r="H167" s="27">
        <v>45994</v>
      </c>
      <c r="J167" t="s">
        <v>380</v>
      </c>
    </row>
    <row r="168" spans="1:10" ht="15" customHeight="1" x14ac:dyDescent="0.25">
      <c r="A168" t="s">
        <v>1521</v>
      </c>
      <c r="B168" t="s">
        <v>40</v>
      </c>
      <c r="C168" t="s">
        <v>378</v>
      </c>
      <c r="D168" t="s">
        <v>245</v>
      </c>
      <c r="E168">
        <v>48</v>
      </c>
      <c r="F168" s="31" t="s">
        <v>730</v>
      </c>
      <c r="G168" t="s">
        <v>358</v>
      </c>
      <c r="H168" s="27">
        <v>45994</v>
      </c>
      <c r="J168" t="s">
        <v>380</v>
      </c>
    </row>
    <row r="169" spans="1:10" ht="15" customHeight="1" x14ac:dyDescent="0.25">
      <c r="A169" t="s">
        <v>1522</v>
      </c>
      <c r="B169" t="s">
        <v>40</v>
      </c>
      <c r="C169" t="s">
        <v>378</v>
      </c>
      <c r="D169" t="s">
        <v>245</v>
      </c>
      <c r="E169">
        <v>48</v>
      </c>
      <c r="F169" s="31" t="s">
        <v>730</v>
      </c>
      <c r="G169" t="s">
        <v>358</v>
      </c>
      <c r="H169" s="27">
        <v>45994</v>
      </c>
      <c r="J169" t="s">
        <v>380</v>
      </c>
    </row>
    <row r="170" spans="1:10" ht="15" customHeight="1" x14ac:dyDescent="0.25">
      <c r="A170" t="s">
        <v>1523</v>
      </c>
      <c r="B170" t="s">
        <v>40</v>
      </c>
      <c r="C170" t="s">
        <v>377</v>
      </c>
      <c r="D170" t="s">
        <v>377</v>
      </c>
      <c r="E170">
        <v>48</v>
      </c>
      <c r="F170" s="31" t="s">
        <v>730</v>
      </c>
      <c r="G170" t="s">
        <v>358</v>
      </c>
      <c r="H170" s="27">
        <v>45994</v>
      </c>
      <c r="J170" t="s">
        <v>380</v>
      </c>
    </row>
    <row r="171" spans="1:10" ht="15" customHeight="1" x14ac:dyDescent="0.25">
      <c r="A171" t="s">
        <v>1524</v>
      </c>
      <c r="B171" t="s">
        <v>40</v>
      </c>
      <c r="C171" t="s">
        <v>378</v>
      </c>
      <c r="D171" t="s">
        <v>377</v>
      </c>
      <c r="E171">
        <v>48</v>
      </c>
      <c r="F171" s="31" t="s">
        <v>730</v>
      </c>
      <c r="G171" t="s">
        <v>358</v>
      </c>
      <c r="H171" s="27">
        <v>45994</v>
      </c>
      <c r="J171" t="s">
        <v>380</v>
      </c>
    </row>
    <row r="172" spans="1:10" ht="15" customHeight="1" x14ac:dyDescent="0.25">
      <c r="A172" t="s">
        <v>1525</v>
      </c>
      <c r="B172" t="s">
        <v>40</v>
      </c>
      <c r="C172" t="s">
        <v>377</v>
      </c>
      <c r="D172" t="s">
        <v>245</v>
      </c>
      <c r="E172">
        <v>24</v>
      </c>
      <c r="F172" s="31" t="s">
        <v>927</v>
      </c>
      <c r="G172" t="s">
        <v>358</v>
      </c>
      <c r="H172" s="27">
        <v>45995</v>
      </c>
      <c r="I172" t="s">
        <v>1526</v>
      </c>
      <c r="J172" t="s">
        <v>380</v>
      </c>
    </row>
    <row r="173" spans="1:10" ht="15" customHeight="1" x14ac:dyDescent="0.25">
      <c r="A173" t="s">
        <v>1527</v>
      </c>
      <c r="B173" t="s">
        <v>40</v>
      </c>
      <c r="C173" t="s">
        <v>377</v>
      </c>
      <c r="D173" t="s">
        <v>363</v>
      </c>
      <c r="E173">
        <v>24</v>
      </c>
      <c r="F173" s="31" t="s">
        <v>927</v>
      </c>
      <c r="G173" t="s">
        <v>358</v>
      </c>
      <c r="H173" s="27">
        <v>45995</v>
      </c>
      <c r="I173" t="s">
        <v>1526</v>
      </c>
      <c r="J173" t="s">
        <v>380</v>
      </c>
    </row>
    <row r="174" spans="1:10" ht="15" customHeight="1" x14ac:dyDescent="0.25">
      <c r="A174" t="s">
        <v>1528</v>
      </c>
      <c r="B174" t="s">
        <v>40</v>
      </c>
      <c r="C174" t="s">
        <v>245</v>
      </c>
      <c r="D174" t="s">
        <v>363</v>
      </c>
      <c r="E174">
        <v>48</v>
      </c>
      <c r="F174" s="31" t="s">
        <v>730</v>
      </c>
      <c r="G174" t="s">
        <v>358</v>
      </c>
      <c r="H174" s="27">
        <v>45996</v>
      </c>
      <c r="J174" t="s">
        <v>383</v>
      </c>
    </row>
    <row r="175" spans="1:10" ht="15" customHeight="1" x14ac:dyDescent="0.25">
      <c r="A175" t="s">
        <v>1529</v>
      </c>
      <c r="B175" t="s">
        <v>40</v>
      </c>
      <c r="C175" t="s">
        <v>245</v>
      </c>
      <c r="D175" t="s">
        <v>363</v>
      </c>
      <c r="E175">
        <v>48</v>
      </c>
      <c r="F175" s="31" t="s">
        <v>730</v>
      </c>
      <c r="G175" t="s">
        <v>358</v>
      </c>
      <c r="H175" s="27">
        <v>45996</v>
      </c>
      <c r="J175" t="s">
        <v>383</v>
      </c>
    </row>
    <row r="176" spans="1:10" ht="15" customHeight="1" x14ac:dyDescent="0.25">
      <c r="A176" t="s">
        <v>1530</v>
      </c>
      <c r="B176" t="s">
        <v>40</v>
      </c>
      <c r="C176" t="s">
        <v>245</v>
      </c>
      <c r="D176" t="s">
        <v>363</v>
      </c>
      <c r="E176">
        <v>48</v>
      </c>
      <c r="F176" s="31" t="s">
        <v>730</v>
      </c>
      <c r="G176" t="s">
        <v>358</v>
      </c>
      <c r="H176" s="27">
        <v>45996</v>
      </c>
      <c r="J176" t="s">
        <v>1531</v>
      </c>
    </row>
    <row r="177" spans="1:10" ht="15" customHeight="1" x14ac:dyDescent="0.25">
      <c r="A177" t="s">
        <v>1532</v>
      </c>
      <c r="B177" t="s">
        <v>40</v>
      </c>
      <c r="C177" t="s">
        <v>378</v>
      </c>
      <c r="D177" t="s">
        <v>378</v>
      </c>
      <c r="E177">
        <v>48</v>
      </c>
      <c r="F177" s="31" t="s">
        <v>730</v>
      </c>
      <c r="G177" t="s">
        <v>358</v>
      </c>
      <c r="H177" s="27">
        <v>45999</v>
      </c>
      <c r="J177" t="s">
        <v>383</v>
      </c>
    </row>
    <row r="178" spans="1:10" ht="15" customHeight="1" x14ac:dyDescent="0.25">
      <c r="A178" t="s">
        <v>1533</v>
      </c>
      <c r="B178" t="s">
        <v>40</v>
      </c>
      <c r="C178" t="s">
        <v>378</v>
      </c>
      <c r="D178" t="s">
        <v>245</v>
      </c>
      <c r="E178">
        <v>48</v>
      </c>
      <c r="F178" s="31" t="s">
        <v>730</v>
      </c>
      <c r="G178" t="s">
        <v>358</v>
      </c>
      <c r="H178" s="27">
        <v>46001</v>
      </c>
      <c r="J178" t="s">
        <v>383</v>
      </c>
    </row>
    <row r="179" spans="1:10" ht="15" customHeight="1" x14ac:dyDescent="0.25">
      <c r="A179" t="s">
        <v>1534</v>
      </c>
      <c r="B179" t="s">
        <v>40</v>
      </c>
      <c r="C179" t="s">
        <v>378</v>
      </c>
      <c r="D179" t="s">
        <v>245</v>
      </c>
      <c r="E179">
        <v>48</v>
      </c>
      <c r="F179" s="31" t="s">
        <v>730</v>
      </c>
      <c r="G179" t="s">
        <v>358</v>
      </c>
      <c r="H179" s="27">
        <v>46001</v>
      </c>
      <c r="J179" t="s">
        <v>383</v>
      </c>
    </row>
    <row r="180" spans="1:10" ht="15" customHeight="1" x14ac:dyDescent="0.25">
      <c r="A180" t="s">
        <v>1535</v>
      </c>
      <c r="B180" t="s">
        <v>40</v>
      </c>
      <c r="C180" t="s">
        <v>378</v>
      </c>
      <c r="D180" t="s">
        <v>245</v>
      </c>
      <c r="E180">
        <v>48</v>
      </c>
      <c r="F180" s="31" t="s">
        <v>730</v>
      </c>
      <c r="G180" t="s">
        <v>358</v>
      </c>
      <c r="H180" s="27">
        <v>46001</v>
      </c>
      <c r="J180" t="s">
        <v>383</v>
      </c>
    </row>
    <row r="181" spans="1:10" ht="15" customHeight="1" x14ac:dyDescent="0.25">
      <c r="A181" t="s">
        <v>1536</v>
      </c>
      <c r="B181" t="s">
        <v>40</v>
      </c>
      <c r="C181" t="s">
        <v>377</v>
      </c>
      <c r="D181" t="s">
        <v>245</v>
      </c>
      <c r="E181">
        <v>48</v>
      </c>
      <c r="F181" s="31" t="s">
        <v>730</v>
      </c>
      <c r="G181" t="s">
        <v>358</v>
      </c>
      <c r="H181" s="27">
        <v>46002</v>
      </c>
      <c r="J181" t="s">
        <v>383</v>
      </c>
    </row>
    <row r="182" spans="1:10" ht="15" customHeight="1" x14ac:dyDescent="0.25">
      <c r="A182" t="s">
        <v>1537</v>
      </c>
      <c r="B182" t="s">
        <v>40</v>
      </c>
      <c r="C182" t="s">
        <v>257</v>
      </c>
      <c r="D182" t="s">
        <v>245</v>
      </c>
      <c r="E182">
        <v>48</v>
      </c>
      <c r="F182" s="31" t="s">
        <v>730</v>
      </c>
      <c r="G182" t="s">
        <v>358</v>
      </c>
      <c r="H182" s="27">
        <v>46002</v>
      </c>
      <c r="I182" s="45" t="s">
        <v>1538</v>
      </c>
      <c r="J182" t="s">
        <v>383</v>
      </c>
    </row>
    <row r="183" spans="1:10" ht="15" customHeight="1" x14ac:dyDescent="0.25">
      <c r="A183" t="s">
        <v>1539</v>
      </c>
      <c r="B183" t="s">
        <v>40</v>
      </c>
      <c r="C183" t="s">
        <v>245</v>
      </c>
      <c r="D183" t="s">
        <v>257</v>
      </c>
      <c r="E183">
        <v>48</v>
      </c>
      <c r="F183" s="31" t="s">
        <v>730</v>
      </c>
      <c r="G183" t="s">
        <v>358</v>
      </c>
      <c r="H183" s="27">
        <v>46003</v>
      </c>
      <c r="J183" t="s">
        <v>383</v>
      </c>
    </row>
    <row r="184" spans="1:10" ht="15" customHeight="1" x14ac:dyDescent="0.25">
      <c r="A184" t="s">
        <v>1540</v>
      </c>
      <c r="B184" t="s">
        <v>40</v>
      </c>
      <c r="C184" t="s">
        <v>245</v>
      </c>
      <c r="D184" t="s">
        <v>257</v>
      </c>
      <c r="E184">
        <v>48</v>
      </c>
      <c r="F184" s="23" t="s">
        <v>730</v>
      </c>
      <c r="G184" t="s">
        <v>358</v>
      </c>
      <c r="H184" s="27">
        <v>46006</v>
      </c>
      <c r="I184" t="s">
        <v>1541</v>
      </c>
      <c r="J184" t="s">
        <v>383</v>
      </c>
    </row>
    <row r="185" spans="1:10" ht="15" customHeight="1" x14ac:dyDescent="0.25">
      <c r="A185" t="s">
        <v>1542</v>
      </c>
      <c r="B185" t="s">
        <v>40</v>
      </c>
      <c r="C185" t="s">
        <v>245</v>
      </c>
      <c r="D185" t="s">
        <v>257</v>
      </c>
      <c r="E185">
        <v>48</v>
      </c>
      <c r="F185" s="23" t="s">
        <v>730</v>
      </c>
      <c r="G185" t="s">
        <v>358</v>
      </c>
      <c r="H185" s="27">
        <v>46006</v>
      </c>
      <c r="I185" t="s">
        <v>1543</v>
      </c>
      <c r="J185" t="s">
        <v>383</v>
      </c>
    </row>
    <row r="186" spans="1:10" ht="15" customHeight="1" x14ac:dyDescent="0.25">
      <c r="A186" t="s">
        <v>1544</v>
      </c>
      <c r="B186" t="s">
        <v>40</v>
      </c>
      <c r="C186" t="s">
        <v>377</v>
      </c>
      <c r="D186" t="s">
        <v>245</v>
      </c>
      <c r="E186">
        <v>48</v>
      </c>
      <c r="F186" s="23" t="s">
        <v>730</v>
      </c>
      <c r="G186" t="s">
        <v>358</v>
      </c>
      <c r="H186" s="27">
        <v>46006</v>
      </c>
      <c r="J186" t="s">
        <v>383</v>
      </c>
    </row>
    <row r="187" spans="1:10" ht="15" customHeight="1" x14ac:dyDescent="0.25">
      <c r="A187" t="s">
        <v>1545</v>
      </c>
      <c r="B187" t="s">
        <v>40</v>
      </c>
      <c r="C187" t="s">
        <v>377</v>
      </c>
      <c r="D187" t="s">
        <v>257</v>
      </c>
      <c r="E187">
        <v>48</v>
      </c>
      <c r="F187" s="23" t="s">
        <v>730</v>
      </c>
      <c r="G187" t="s">
        <v>358</v>
      </c>
      <c r="H187" s="27">
        <v>46006</v>
      </c>
      <c r="J187" t="s">
        <v>383</v>
      </c>
    </row>
    <row r="188" spans="1:10" ht="15" customHeight="1" x14ac:dyDescent="0.25">
      <c r="A188" t="s">
        <v>1546</v>
      </c>
      <c r="B188" t="s">
        <v>40</v>
      </c>
      <c r="C188" t="s">
        <v>363</v>
      </c>
      <c r="D188" t="s">
        <v>257</v>
      </c>
      <c r="E188">
        <v>48</v>
      </c>
      <c r="F188" s="23" t="s">
        <v>730</v>
      </c>
      <c r="G188" t="s">
        <v>358</v>
      </c>
      <c r="H188" s="27">
        <v>46009</v>
      </c>
      <c r="I188" t="s">
        <v>1547</v>
      </c>
      <c r="J188" t="s">
        <v>383</v>
      </c>
    </row>
    <row r="189" spans="1:10" ht="15" customHeight="1" x14ac:dyDescent="0.25">
      <c r="A189" t="s">
        <v>1548</v>
      </c>
      <c r="B189" t="s">
        <v>40</v>
      </c>
      <c r="C189" t="s">
        <v>363</v>
      </c>
      <c r="D189" t="s">
        <v>257</v>
      </c>
      <c r="E189">
        <v>48</v>
      </c>
      <c r="F189" s="23" t="s">
        <v>730</v>
      </c>
      <c r="G189" t="s">
        <v>358</v>
      </c>
      <c r="H189" s="27">
        <v>46009</v>
      </c>
      <c r="I189" t="s">
        <v>1547</v>
      </c>
      <c r="J189" t="s">
        <v>383</v>
      </c>
    </row>
    <row r="190" spans="1:10" ht="15" customHeight="1" x14ac:dyDescent="0.25">
      <c r="A190" t="s">
        <v>1549</v>
      </c>
      <c r="B190" t="s">
        <v>40</v>
      </c>
      <c r="C190" t="s">
        <v>363</v>
      </c>
      <c r="D190" t="s">
        <v>257</v>
      </c>
      <c r="E190">
        <v>48</v>
      </c>
      <c r="F190" s="23" t="s">
        <v>730</v>
      </c>
      <c r="G190" t="s">
        <v>358</v>
      </c>
      <c r="H190" s="27">
        <v>46009</v>
      </c>
      <c r="I190" t="s">
        <v>1547</v>
      </c>
      <c r="J190" t="s">
        <v>383</v>
      </c>
    </row>
    <row r="191" spans="1:10" ht="15" customHeight="1" x14ac:dyDescent="0.25">
      <c r="A191" t="s">
        <v>1550</v>
      </c>
      <c r="B191" t="s">
        <v>40</v>
      </c>
      <c r="C191" t="s">
        <v>363</v>
      </c>
      <c r="D191" t="s">
        <v>257</v>
      </c>
      <c r="E191">
        <v>48</v>
      </c>
      <c r="F191" s="23" t="s">
        <v>730</v>
      </c>
      <c r="G191" t="s">
        <v>358</v>
      </c>
      <c r="H191" s="27">
        <v>46009</v>
      </c>
      <c r="I191" t="s">
        <v>1547</v>
      </c>
      <c r="J191" t="s">
        <v>383</v>
      </c>
    </row>
    <row r="192" spans="1:10" ht="15" customHeight="1" x14ac:dyDescent="0.25">
      <c r="A192" t="s">
        <v>1551</v>
      </c>
      <c r="B192" t="s">
        <v>40</v>
      </c>
      <c r="C192" t="s">
        <v>363</v>
      </c>
      <c r="D192" t="s">
        <v>257</v>
      </c>
      <c r="E192">
        <v>48</v>
      </c>
      <c r="F192" s="23" t="s">
        <v>730</v>
      </c>
      <c r="G192" t="s">
        <v>358</v>
      </c>
      <c r="H192" s="27">
        <v>46009</v>
      </c>
      <c r="I192" t="s">
        <v>1547</v>
      </c>
      <c r="J192" t="s">
        <v>383</v>
      </c>
    </row>
    <row r="193" spans="1:10" ht="15" customHeight="1" x14ac:dyDescent="0.25">
      <c r="A193" t="s">
        <v>1552</v>
      </c>
      <c r="B193" t="s">
        <v>40</v>
      </c>
      <c r="C193" t="s">
        <v>363</v>
      </c>
      <c r="D193" t="s">
        <v>257</v>
      </c>
      <c r="E193">
        <v>48</v>
      </c>
      <c r="F193" s="23" t="s">
        <v>730</v>
      </c>
      <c r="G193" t="s">
        <v>358</v>
      </c>
      <c r="H193" s="27">
        <v>46009</v>
      </c>
      <c r="I193" t="s">
        <v>1547</v>
      </c>
      <c r="J193" t="s">
        <v>383</v>
      </c>
    </row>
    <row r="194" spans="1:10" ht="15" customHeight="1" x14ac:dyDescent="0.25">
      <c r="A194" t="s">
        <v>1553</v>
      </c>
      <c r="B194" t="s">
        <v>40</v>
      </c>
      <c r="C194" t="s">
        <v>363</v>
      </c>
      <c r="D194" t="s">
        <v>257</v>
      </c>
      <c r="E194">
        <v>48</v>
      </c>
      <c r="F194" s="23" t="s">
        <v>730</v>
      </c>
      <c r="G194" t="s">
        <v>358</v>
      </c>
      <c r="H194" s="27">
        <v>46009</v>
      </c>
      <c r="J194" t="s">
        <v>383</v>
      </c>
    </row>
    <row r="195" spans="1:10" ht="15" customHeight="1" x14ac:dyDescent="0.25">
      <c r="A195" t="s">
        <v>1554</v>
      </c>
      <c r="B195" t="s">
        <v>40</v>
      </c>
      <c r="C195" t="s">
        <v>363</v>
      </c>
      <c r="D195" t="s">
        <v>257</v>
      </c>
      <c r="E195">
        <v>48</v>
      </c>
      <c r="F195" s="23" t="s">
        <v>730</v>
      </c>
      <c r="G195" t="s">
        <v>358</v>
      </c>
      <c r="H195" s="27">
        <v>46009</v>
      </c>
      <c r="J195" t="s">
        <v>383</v>
      </c>
    </row>
    <row r="196" spans="1:10" ht="15" customHeight="1" x14ac:dyDescent="0.25">
      <c r="A196" t="s">
        <v>1555</v>
      </c>
      <c r="B196" t="s">
        <v>40</v>
      </c>
      <c r="C196" t="s">
        <v>378</v>
      </c>
      <c r="D196" t="s">
        <v>257</v>
      </c>
      <c r="E196">
        <v>48</v>
      </c>
      <c r="F196" s="23" t="s">
        <v>730</v>
      </c>
      <c r="G196" t="s">
        <v>358</v>
      </c>
      <c r="H196" s="27">
        <v>46009</v>
      </c>
      <c r="J196" t="s">
        <v>383</v>
      </c>
    </row>
    <row r="197" spans="1:10" ht="15" customHeight="1" x14ac:dyDescent="0.25">
      <c r="A197" t="s">
        <v>1556</v>
      </c>
      <c r="B197" t="s">
        <v>40</v>
      </c>
      <c r="C197" t="s">
        <v>378</v>
      </c>
      <c r="D197" t="s">
        <v>257</v>
      </c>
      <c r="E197">
        <v>48</v>
      </c>
      <c r="F197" s="23" t="s">
        <v>730</v>
      </c>
      <c r="G197" t="s">
        <v>358</v>
      </c>
      <c r="H197" s="27">
        <v>46009</v>
      </c>
      <c r="J197" t="s">
        <v>383</v>
      </c>
    </row>
    <row r="198" spans="1:10" ht="15" customHeight="1" x14ac:dyDescent="0.25">
      <c r="A198" t="s">
        <v>1557</v>
      </c>
      <c r="B198" t="s">
        <v>40</v>
      </c>
      <c r="C198" t="s">
        <v>363</v>
      </c>
      <c r="D198" t="s">
        <v>584</v>
      </c>
      <c r="E198">
        <v>48</v>
      </c>
      <c r="F198" s="23" t="s">
        <v>730</v>
      </c>
      <c r="G198" t="s">
        <v>358</v>
      </c>
      <c r="H198" s="27">
        <v>46010</v>
      </c>
      <c r="J198" t="s">
        <v>383</v>
      </c>
    </row>
    <row r="199" spans="1:10" ht="15" customHeight="1" x14ac:dyDescent="0.25">
      <c r="A199" t="s">
        <v>1558</v>
      </c>
      <c r="B199" t="s">
        <v>40</v>
      </c>
      <c r="C199" t="s">
        <v>363</v>
      </c>
      <c r="D199" t="s">
        <v>584</v>
      </c>
      <c r="E199">
        <v>48</v>
      </c>
      <c r="F199" s="23" t="s">
        <v>730</v>
      </c>
      <c r="G199" t="s">
        <v>358</v>
      </c>
      <c r="H199" s="27">
        <v>46010</v>
      </c>
      <c r="J199" t="s">
        <v>383</v>
      </c>
    </row>
    <row r="200" spans="1:10" ht="15" customHeight="1" x14ac:dyDescent="0.25">
      <c r="A200" t="s">
        <v>1559</v>
      </c>
      <c r="B200" t="s">
        <v>40</v>
      </c>
      <c r="C200" t="s">
        <v>584</v>
      </c>
      <c r="D200" t="s">
        <v>257</v>
      </c>
      <c r="E200">
        <v>48</v>
      </c>
      <c r="F200" s="23" t="s">
        <v>730</v>
      </c>
      <c r="G200" t="s">
        <v>358</v>
      </c>
      <c r="H200" s="27">
        <v>46013</v>
      </c>
      <c r="I200" t="s">
        <v>1560</v>
      </c>
      <c r="J200" t="s">
        <v>383</v>
      </c>
    </row>
    <row r="201" spans="1:10" ht="15" customHeight="1" x14ac:dyDescent="0.25">
      <c r="A201" t="s">
        <v>1561</v>
      </c>
      <c r="B201" t="s">
        <v>40</v>
      </c>
      <c r="C201" t="s">
        <v>257</v>
      </c>
      <c r="E201">
        <v>48</v>
      </c>
      <c r="F201" s="23" t="s">
        <v>730</v>
      </c>
      <c r="G201" t="s">
        <v>358</v>
      </c>
      <c r="H201" s="27">
        <v>46015</v>
      </c>
      <c r="I201" t="s">
        <v>1562</v>
      </c>
      <c r="J201" t="s">
        <v>383</v>
      </c>
    </row>
    <row r="202" spans="1:10" ht="15" customHeight="1" x14ac:dyDescent="0.25">
      <c r="A202" t="s">
        <v>1563</v>
      </c>
      <c r="B202" t="s">
        <v>40</v>
      </c>
      <c r="C202" t="s">
        <v>257</v>
      </c>
      <c r="E202">
        <v>48</v>
      </c>
      <c r="F202" s="23" t="s">
        <v>730</v>
      </c>
      <c r="G202" t="s">
        <v>358</v>
      </c>
      <c r="H202" s="27">
        <v>46015</v>
      </c>
      <c r="I202" t="s">
        <v>1562</v>
      </c>
      <c r="J202" t="s">
        <v>383</v>
      </c>
    </row>
    <row r="203" spans="1:10" ht="15" customHeight="1" x14ac:dyDescent="0.25">
      <c r="A203" t="s">
        <v>1564</v>
      </c>
      <c r="B203" t="s">
        <v>40</v>
      </c>
      <c r="C203" t="s">
        <v>257</v>
      </c>
      <c r="E203">
        <v>48</v>
      </c>
      <c r="F203" s="23" t="s">
        <v>730</v>
      </c>
      <c r="G203" t="s">
        <v>358</v>
      </c>
      <c r="H203" s="27">
        <v>46015</v>
      </c>
      <c r="I203" t="s">
        <v>1565</v>
      </c>
      <c r="J203" t="s">
        <v>383</v>
      </c>
    </row>
    <row r="204" spans="1:10" ht="15" customHeight="1" x14ac:dyDescent="0.25">
      <c r="A204" t="s">
        <v>1566</v>
      </c>
      <c r="B204" t="s">
        <v>40</v>
      </c>
      <c r="C204" t="s">
        <v>257</v>
      </c>
      <c r="E204">
        <v>48</v>
      </c>
      <c r="F204" s="23" t="s">
        <v>730</v>
      </c>
      <c r="G204" t="s">
        <v>358</v>
      </c>
      <c r="H204" s="27">
        <v>46015</v>
      </c>
      <c r="I204" t="s">
        <v>1565</v>
      </c>
      <c r="J204" t="s">
        <v>383</v>
      </c>
    </row>
    <row r="205" spans="1:10" ht="15" customHeight="1" x14ac:dyDescent="0.25">
      <c r="A205" t="s">
        <v>1567</v>
      </c>
      <c r="B205" t="s">
        <v>40</v>
      </c>
      <c r="C205" t="s">
        <v>257</v>
      </c>
      <c r="E205">
        <v>48</v>
      </c>
      <c r="F205" s="23" t="s">
        <v>730</v>
      </c>
      <c r="G205" t="s">
        <v>358</v>
      </c>
      <c r="H205" s="27">
        <v>46015</v>
      </c>
      <c r="I205" t="s">
        <v>1565</v>
      </c>
      <c r="J205" t="s">
        <v>383</v>
      </c>
    </row>
    <row r="206" spans="1:10" ht="15" customHeight="1" x14ac:dyDescent="0.25">
      <c r="A206" t="s">
        <v>1568</v>
      </c>
      <c r="B206" t="s">
        <v>40</v>
      </c>
      <c r="C206" t="s">
        <v>584</v>
      </c>
      <c r="E206">
        <v>48</v>
      </c>
      <c r="F206" s="23" t="s">
        <v>730</v>
      </c>
      <c r="G206" t="s">
        <v>358</v>
      </c>
      <c r="H206" s="27">
        <v>46016</v>
      </c>
      <c r="I206" t="s">
        <v>1569</v>
      </c>
      <c r="J206" t="s">
        <v>383</v>
      </c>
    </row>
    <row r="207" spans="1:10" ht="15" customHeight="1" x14ac:dyDescent="0.25">
      <c r="A207" t="s">
        <v>1570</v>
      </c>
      <c r="B207" t="s">
        <v>40</v>
      </c>
      <c r="C207" t="s">
        <v>584</v>
      </c>
      <c r="E207">
        <v>48</v>
      </c>
      <c r="F207" s="23" t="s">
        <v>730</v>
      </c>
      <c r="G207" t="s">
        <v>358</v>
      </c>
      <c r="H207" s="27">
        <v>46016</v>
      </c>
      <c r="I207" t="s">
        <v>1571</v>
      </c>
      <c r="J207" t="s">
        <v>383</v>
      </c>
    </row>
    <row r="208" spans="1:10" ht="15" customHeight="1" x14ac:dyDescent="0.25">
      <c r="A208" t="s">
        <v>1572</v>
      </c>
      <c r="B208" t="s">
        <v>40</v>
      </c>
      <c r="C208" t="s">
        <v>257</v>
      </c>
      <c r="D208" t="s">
        <v>257</v>
      </c>
      <c r="E208">
        <v>48</v>
      </c>
      <c r="F208" s="23" t="s">
        <v>730</v>
      </c>
      <c r="G208" t="s">
        <v>358</v>
      </c>
      <c r="H208" s="27">
        <v>46022</v>
      </c>
      <c r="I208" t="s">
        <v>1560</v>
      </c>
      <c r="J208" t="s">
        <v>383</v>
      </c>
    </row>
    <row r="209" spans="1:10" ht="15" customHeight="1" x14ac:dyDescent="0.25">
      <c r="A209" t="s">
        <v>1573</v>
      </c>
      <c r="B209" t="s">
        <v>40</v>
      </c>
      <c r="C209" t="s">
        <v>257</v>
      </c>
      <c r="D209" t="s">
        <v>257</v>
      </c>
      <c r="E209">
        <v>48</v>
      </c>
      <c r="F209" s="23" t="s">
        <v>730</v>
      </c>
      <c r="G209" t="s">
        <v>358</v>
      </c>
      <c r="H209" s="27">
        <v>46022</v>
      </c>
      <c r="I209" t="s">
        <v>1565</v>
      </c>
      <c r="J209" t="s">
        <v>383</v>
      </c>
    </row>
    <row r="210" spans="1:10" ht="15" customHeight="1" x14ac:dyDescent="0.25">
      <c r="A210" t="s">
        <v>1574</v>
      </c>
      <c r="B210" t="s">
        <v>40</v>
      </c>
      <c r="C210" t="s">
        <v>257</v>
      </c>
      <c r="D210" t="s">
        <v>257</v>
      </c>
      <c r="E210">
        <v>48</v>
      </c>
      <c r="F210" s="23" t="s">
        <v>730</v>
      </c>
      <c r="G210" t="s">
        <v>358</v>
      </c>
      <c r="H210" s="27">
        <v>46022</v>
      </c>
      <c r="I210" t="s">
        <v>1565</v>
      </c>
      <c r="J210" t="s">
        <v>383</v>
      </c>
    </row>
    <row r="211" spans="1:10" ht="15" customHeight="1" x14ac:dyDescent="0.25">
      <c r="A211" t="s">
        <v>1575</v>
      </c>
      <c r="B211" t="s">
        <v>40</v>
      </c>
      <c r="C211" t="s">
        <v>257</v>
      </c>
      <c r="D211" t="s">
        <v>245</v>
      </c>
      <c r="E211">
        <v>48</v>
      </c>
      <c r="F211" s="23" t="s">
        <v>730</v>
      </c>
      <c r="G211" t="s">
        <v>358</v>
      </c>
      <c r="H211" s="27">
        <v>46029</v>
      </c>
      <c r="I211" t="s">
        <v>1576</v>
      </c>
      <c r="J211" t="s">
        <v>1577</v>
      </c>
    </row>
    <row r="212" spans="1:10" ht="15" customHeight="1" x14ac:dyDescent="0.25">
      <c r="A212" t="s">
        <v>1578</v>
      </c>
      <c r="B212" t="s">
        <v>40</v>
      </c>
      <c r="C212" t="s">
        <v>257</v>
      </c>
      <c r="D212" t="s">
        <v>245</v>
      </c>
      <c r="E212">
        <v>48</v>
      </c>
      <c r="F212" s="23" t="s">
        <v>730</v>
      </c>
      <c r="G212" t="s">
        <v>358</v>
      </c>
      <c r="H212" s="27">
        <v>46029</v>
      </c>
      <c r="I212" t="s">
        <v>1565</v>
      </c>
      <c r="J212" t="s">
        <v>383</v>
      </c>
    </row>
    <row r="213" spans="1:10" ht="15" customHeight="1" x14ac:dyDescent="0.25">
      <c r="A213" t="s">
        <v>1579</v>
      </c>
      <c r="B213" t="s">
        <v>40</v>
      </c>
      <c r="C213" t="s">
        <v>584</v>
      </c>
      <c r="E213">
        <v>48</v>
      </c>
      <c r="F213" s="23" t="s">
        <v>730</v>
      </c>
      <c r="G213" t="s">
        <v>358</v>
      </c>
      <c r="H213" s="27">
        <v>46030</v>
      </c>
      <c r="I213" t="s">
        <v>972</v>
      </c>
      <c r="J213" t="s">
        <v>383</v>
      </c>
    </row>
    <row r="214" spans="1:10" ht="15" customHeight="1" x14ac:dyDescent="0.25">
      <c r="A214" t="s">
        <v>1580</v>
      </c>
      <c r="B214" t="s">
        <v>40</v>
      </c>
      <c r="C214" t="s">
        <v>584</v>
      </c>
      <c r="E214">
        <v>48</v>
      </c>
      <c r="F214" s="23" t="s">
        <v>730</v>
      </c>
      <c r="G214" t="s">
        <v>358</v>
      </c>
      <c r="H214" s="27">
        <v>46030</v>
      </c>
      <c r="I214" t="s">
        <v>972</v>
      </c>
      <c r="J214" t="s">
        <v>383</v>
      </c>
    </row>
    <row r="215" spans="1:10" ht="15" customHeight="1" x14ac:dyDescent="0.25">
      <c r="A215" t="s">
        <v>1581</v>
      </c>
      <c r="B215" t="s">
        <v>40</v>
      </c>
      <c r="C215" t="s">
        <v>584</v>
      </c>
      <c r="E215">
        <v>48</v>
      </c>
      <c r="F215" s="23" t="s">
        <v>730</v>
      </c>
      <c r="G215" t="s">
        <v>358</v>
      </c>
      <c r="H215" s="27">
        <v>46030</v>
      </c>
      <c r="I215" t="s">
        <v>972</v>
      </c>
      <c r="J215" t="s">
        <v>383</v>
      </c>
    </row>
    <row r="216" spans="1:10" ht="15" customHeight="1" x14ac:dyDescent="0.25">
      <c r="A216" t="s">
        <v>1582</v>
      </c>
      <c r="B216" t="s">
        <v>40</v>
      </c>
      <c r="C216" t="s">
        <v>257</v>
      </c>
      <c r="E216">
        <v>48</v>
      </c>
      <c r="F216" s="23" t="s">
        <v>730</v>
      </c>
      <c r="G216" t="s">
        <v>358</v>
      </c>
      <c r="H216" s="27">
        <v>46030</v>
      </c>
      <c r="I216" t="s">
        <v>972</v>
      </c>
      <c r="J216" t="s">
        <v>383</v>
      </c>
    </row>
    <row r="217" spans="1:10" ht="15" customHeight="1" x14ac:dyDescent="0.25">
      <c r="A217" t="s">
        <v>1583</v>
      </c>
      <c r="B217" t="s">
        <v>40</v>
      </c>
      <c r="C217" t="s">
        <v>257</v>
      </c>
      <c r="E217">
        <v>48</v>
      </c>
      <c r="F217" s="23" t="s">
        <v>730</v>
      </c>
      <c r="G217" t="s">
        <v>358</v>
      </c>
      <c r="H217" s="27">
        <v>46030</v>
      </c>
      <c r="I217" t="s">
        <v>972</v>
      </c>
      <c r="J217" t="s">
        <v>383</v>
      </c>
    </row>
    <row r="218" spans="1:10" ht="15" customHeight="1" x14ac:dyDescent="0.25">
      <c r="A218" t="s">
        <v>1584</v>
      </c>
      <c r="B218" t="s">
        <v>40</v>
      </c>
      <c r="C218" t="s">
        <v>257</v>
      </c>
      <c r="E218">
        <v>48</v>
      </c>
      <c r="F218" s="23" t="s">
        <v>730</v>
      </c>
      <c r="G218" t="s">
        <v>358</v>
      </c>
      <c r="H218" s="27">
        <v>46030</v>
      </c>
      <c r="J218" t="s">
        <v>383</v>
      </c>
    </row>
    <row r="219" spans="1:10" ht="15" customHeight="1" x14ac:dyDescent="0.25">
      <c r="A219" t="s">
        <v>1585</v>
      </c>
      <c r="B219" t="s">
        <v>40</v>
      </c>
      <c r="C219" t="s">
        <v>257</v>
      </c>
      <c r="E219">
        <v>48</v>
      </c>
      <c r="F219" s="23" t="s">
        <v>730</v>
      </c>
      <c r="G219" t="s">
        <v>358</v>
      </c>
      <c r="H219" s="27">
        <v>46030</v>
      </c>
      <c r="J219" t="s">
        <v>383</v>
      </c>
    </row>
    <row r="220" spans="1:10" ht="15" customHeight="1" x14ac:dyDescent="0.25">
      <c r="A220" t="s">
        <v>1586</v>
      </c>
      <c r="B220" t="s">
        <v>40</v>
      </c>
      <c r="C220" t="s">
        <v>584</v>
      </c>
      <c r="E220">
        <v>48</v>
      </c>
      <c r="F220" s="23" t="s">
        <v>730</v>
      </c>
      <c r="G220" t="s">
        <v>358</v>
      </c>
      <c r="H220" s="27">
        <v>46030</v>
      </c>
      <c r="I220" t="s">
        <v>972</v>
      </c>
      <c r="J220" t="s">
        <v>383</v>
      </c>
    </row>
    <row r="221" spans="1:10" ht="15" customHeight="1" x14ac:dyDescent="0.25">
      <c r="A221" t="s">
        <v>1587</v>
      </c>
      <c r="B221" t="s">
        <v>40</v>
      </c>
      <c r="C221" t="s">
        <v>584</v>
      </c>
      <c r="D221" t="s">
        <v>363</v>
      </c>
      <c r="E221">
        <v>48</v>
      </c>
      <c r="F221" s="23" t="s">
        <v>730</v>
      </c>
      <c r="G221" t="s">
        <v>358</v>
      </c>
      <c r="H221" s="27">
        <v>46031</v>
      </c>
      <c r="J221" t="s">
        <v>383</v>
      </c>
    </row>
    <row r="222" spans="1:10" ht="15" customHeight="1" x14ac:dyDescent="0.25">
      <c r="A222" t="s">
        <v>1588</v>
      </c>
      <c r="B222" t="s">
        <v>40</v>
      </c>
      <c r="C222" t="s">
        <v>245</v>
      </c>
      <c r="D222" t="s">
        <v>377</v>
      </c>
      <c r="E222">
        <v>48</v>
      </c>
      <c r="F222" s="23" t="s">
        <v>730</v>
      </c>
      <c r="G222" t="s">
        <v>358</v>
      </c>
      <c r="H222" s="27">
        <v>46032</v>
      </c>
      <c r="J222" t="s">
        <v>383</v>
      </c>
    </row>
    <row r="223" spans="1:10" ht="15" customHeight="1" x14ac:dyDescent="0.25">
      <c r="A223" t="s">
        <v>1589</v>
      </c>
      <c r="B223" t="s">
        <v>40</v>
      </c>
      <c r="C223" t="s">
        <v>584</v>
      </c>
      <c r="D223" t="s">
        <v>377</v>
      </c>
      <c r="E223">
        <v>48</v>
      </c>
      <c r="F223" s="23" t="s">
        <v>730</v>
      </c>
      <c r="G223" t="s">
        <v>358</v>
      </c>
      <c r="H223" s="27">
        <v>46032</v>
      </c>
      <c r="J223" t="s">
        <v>383</v>
      </c>
    </row>
    <row r="224" spans="1:10" ht="15" customHeight="1" x14ac:dyDescent="0.25">
      <c r="A224" t="s">
        <v>1590</v>
      </c>
      <c r="B224" t="s">
        <v>40</v>
      </c>
      <c r="C224" t="s">
        <v>584</v>
      </c>
      <c r="D224" t="s">
        <v>377</v>
      </c>
      <c r="E224">
        <v>48</v>
      </c>
      <c r="F224" s="23" t="s">
        <v>730</v>
      </c>
      <c r="G224" t="s">
        <v>358</v>
      </c>
      <c r="H224" s="27">
        <v>46032</v>
      </c>
      <c r="J224" t="s">
        <v>383</v>
      </c>
    </row>
    <row r="225" spans="1:10" ht="15" customHeight="1" x14ac:dyDescent="0.25">
      <c r="A225" t="s">
        <v>1591</v>
      </c>
      <c r="B225" t="s">
        <v>40</v>
      </c>
      <c r="C225" t="s">
        <v>584</v>
      </c>
      <c r="D225" t="s">
        <v>377</v>
      </c>
      <c r="E225">
        <v>48</v>
      </c>
      <c r="F225" s="23" t="s">
        <v>730</v>
      </c>
      <c r="G225" t="s">
        <v>358</v>
      </c>
      <c r="H225" s="27">
        <v>46032</v>
      </c>
      <c r="J225" t="s">
        <v>383</v>
      </c>
    </row>
    <row r="226" spans="1:10" ht="15" customHeight="1" x14ac:dyDescent="0.25">
      <c r="A226" t="s">
        <v>1592</v>
      </c>
      <c r="B226" t="s">
        <v>40</v>
      </c>
      <c r="C226" t="s">
        <v>377</v>
      </c>
      <c r="D226" t="s">
        <v>245</v>
      </c>
      <c r="E226">
        <v>48</v>
      </c>
      <c r="F226" s="23" t="s">
        <v>730</v>
      </c>
      <c r="G226" t="s">
        <v>358</v>
      </c>
      <c r="H226" s="27">
        <v>46033</v>
      </c>
      <c r="J226" t="s">
        <v>383</v>
      </c>
    </row>
    <row r="227" spans="1:10" ht="15" customHeight="1" x14ac:dyDescent="0.25">
      <c r="A227" t="s">
        <v>1593</v>
      </c>
      <c r="B227" t="s">
        <v>40</v>
      </c>
      <c r="C227" t="s">
        <v>377</v>
      </c>
      <c r="D227" t="s">
        <v>245</v>
      </c>
      <c r="E227">
        <v>48</v>
      </c>
      <c r="F227" s="23" t="s">
        <v>730</v>
      </c>
      <c r="G227" t="s">
        <v>358</v>
      </c>
      <c r="H227" s="27">
        <v>46033</v>
      </c>
      <c r="J227" t="s">
        <v>383</v>
      </c>
    </row>
    <row r="228" spans="1:10" ht="15" customHeight="1" x14ac:dyDescent="0.25">
      <c r="A228" t="s">
        <v>1594</v>
      </c>
      <c r="B228" t="s">
        <v>40</v>
      </c>
      <c r="C228" t="s">
        <v>377</v>
      </c>
      <c r="D228" t="s">
        <v>257</v>
      </c>
      <c r="E228">
        <v>48</v>
      </c>
      <c r="F228" s="23" t="s">
        <v>730</v>
      </c>
      <c r="G228" t="s">
        <v>358</v>
      </c>
      <c r="H228" s="27">
        <v>46033</v>
      </c>
      <c r="J228" t="s">
        <v>383</v>
      </c>
    </row>
    <row r="229" spans="1:10" ht="15" customHeight="1" x14ac:dyDescent="0.25">
      <c r="A229" t="s">
        <v>1595</v>
      </c>
      <c r="B229" t="s">
        <v>40</v>
      </c>
      <c r="C229" t="s">
        <v>377</v>
      </c>
      <c r="E229">
        <v>48</v>
      </c>
      <c r="F229" s="23" t="s">
        <v>730</v>
      </c>
      <c r="G229" t="s">
        <v>358</v>
      </c>
      <c r="H229" s="27">
        <v>46034</v>
      </c>
      <c r="J229" t="s">
        <v>383</v>
      </c>
    </row>
    <row r="230" spans="1:10" ht="15" customHeight="1" x14ac:dyDescent="0.25">
      <c r="A230" t="s">
        <v>1596</v>
      </c>
      <c r="B230" t="s">
        <v>40</v>
      </c>
      <c r="C230" t="s">
        <v>377</v>
      </c>
      <c r="E230">
        <v>48</v>
      </c>
      <c r="F230" s="23" t="s">
        <v>730</v>
      </c>
      <c r="G230" t="s">
        <v>358</v>
      </c>
      <c r="H230" s="27">
        <v>46034</v>
      </c>
      <c r="J230" t="s">
        <v>383</v>
      </c>
    </row>
    <row r="231" spans="1:10" ht="15" customHeight="1" x14ac:dyDescent="0.25">
      <c r="A231" t="s">
        <v>1597</v>
      </c>
      <c r="B231" t="s">
        <v>40</v>
      </c>
      <c r="C231" t="s">
        <v>363</v>
      </c>
      <c r="D231" t="s">
        <v>245</v>
      </c>
      <c r="E231">
        <v>20</v>
      </c>
      <c r="F231" s="23" t="s">
        <v>730</v>
      </c>
      <c r="G231" t="s">
        <v>358</v>
      </c>
      <c r="H231" s="27">
        <v>46036</v>
      </c>
      <c r="I231" t="s">
        <v>987</v>
      </c>
      <c r="J231" t="s">
        <v>383</v>
      </c>
    </row>
    <row r="232" spans="1:10" ht="15" customHeight="1" x14ac:dyDescent="0.25">
      <c r="A232" t="s">
        <v>1598</v>
      </c>
      <c r="B232" t="s">
        <v>40</v>
      </c>
      <c r="C232" t="s">
        <v>363</v>
      </c>
      <c r="D232" t="s">
        <v>245</v>
      </c>
      <c r="E232">
        <v>48</v>
      </c>
      <c r="F232" s="23" t="s">
        <v>730</v>
      </c>
      <c r="G232" t="s">
        <v>358</v>
      </c>
      <c r="H232" s="27">
        <v>46036</v>
      </c>
      <c r="J232" t="s">
        <v>383</v>
      </c>
    </row>
    <row r="233" spans="1:10" ht="15" customHeight="1" x14ac:dyDescent="0.25">
      <c r="A233" t="s">
        <v>1599</v>
      </c>
      <c r="B233" t="s">
        <v>40</v>
      </c>
      <c r="C233" t="s">
        <v>363</v>
      </c>
      <c r="D233" t="s">
        <v>377</v>
      </c>
      <c r="E233">
        <v>48</v>
      </c>
      <c r="F233" s="23" t="s">
        <v>730</v>
      </c>
      <c r="G233" t="s">
        <v>358</v>
      </c>
      <c r="H233" s="27">
        <v>46037</v>
      </c>
      <c r="I233" t="s">
        <v>1600</v>
      </c>
      <c r="J233" t="s">
        <v>383</v>
      </c>
    </row>
    <row r="234" spans="1:10" ht="15" customHeight="1" x14ac:dyDescent="0.25">
      <c r="A234" t="s">
        <v>1601</v>
      </c>
      <c r="B234" t="s">
        <v>40</v>
      </c>
      <c r="C234" t="s">
        <v>245</v>
      </c>
      <c r="D234" t="s">
        <v>257</v>
      </c>
      <c r="E234">
        <v>48</v>
      </c>
      <c r="F234" s="23" t="s">
        <v>730</v>
      </c>
      <c r="G234" t="s">
        <v>358</v>
      </c>
      <c r="H234" s="27">
        <v>46039</v>
      </c>
      <c r="J234" t="s">
        <v>383</v>
      </c>
    </row>
    <row r="235" spans="1:10" ht="15" customHeight="1" x14ac:dyDescent="0.25">
      <c r="A235" t="s">
        <v>1602</v>
      </c>
      <c r="B235" t="s">
        <v>40</v>
      </c>
      <c r="C235" t="s">
        <v>363</v>
      </c>
      <c r="D235" t="s">
        <v>257</v>
      </c>
      <c r="E235">
        <v>48</v>
      </c>
      <c r="F235" s="23" t="s">
        <v>730</v>
      </c>
      <c r="G235" t="s">
        <v>358</v>
      </c>
      <c r="H235" s="27">
        <v>46039</v>
      </c>
      <c r="J235" t="s">
        <v>383</v>
      </c>
    </row>
    <row r="236" spans="1:10" ht="15" customHeight="1" x14ac:dyDescent="0.25">
      <c r="A236" t="s">
        <v>1603</v>
      </c>
      <c r="B236" t="s">
        <v>40</v>
      </c>
      <c r="C236" t="s">
        <v>377</v>
      </c>
      <c r="D236" t="s">
        <v>245</v>
      </c>
      <c r="E236">
        <v>48</v>
      </c>
      <c r="F236" s="23" t="s">
        <v>730</v>
      </c>
      <c r="G236" t="s">
        <v>358</v>
      </c>
      <c r="H236" s="27">
        <v>46039</v>
      </c>
      <c r="I236" t="s">
        <v>1604</v>
      </c>
      <c r="J236" t="s">
        <v>586</v>
      </c>
    </row>
    <row r="237" spans="1:10" ht="15" customHeight="1" x14ac:dyDescent="0.25">
      <c r="A237" t="s">
        <v>1605</v>
      </c>
      <c r="B237" t="s">
        <v>40</v>
      </c>
      <c r="C237" t="s">
        <v>257</v>
      </c>
      <c r="D237" t="s">
        <v>378</v>
      </c>
      <c r="E237">
        <v>48</v>
      </c>
      <c r="F237" s="23" t="s">
        <v>730</v>
      </c>
      <c r="G237" t="s">
        <v>358</v>
      </c>
      <c r="H237" s="27">
        <v>46042</v>
      </c>
      <c r="I237" t="s">
        <v>1606</v>
      </c>
      <c r="J237" t="s">
        <v>586</v>
      </c>
    </row>
    <row r="238" spans="1:10" ht="15" customHeight="1" x14ac:dyDescent="0.25">
      <c r="A238" t="s">
        <v>1607</v>
      </c>
      <c r="B238" t="s">
        <v>40</v>
      </c>
      <c r="C238" t="s">
        <v>257</v>
      </c>
      <c r="D238" t="s">
        <v>378</v>
      </c>
      <c r="E238">
        <v>48</v>
      </c>
      <c r="F238" s="23" t="s">
        <v>730</v>
      </c>
      <c r="G238" t="s">
        <v>358</v>
      </c>
      <c r="H238" s="27">
        <v>46042</v>
      </c>
      <c r="I238" t="s">
        <v>1608</v>
      </c>
      <c r="J238" t="s">
        <v>586</v>
      </c>
    </row>
    <row r="239" spans="1:10" ht="15" customHeight="1" x14ac:dyDescent="0.25">
      <c r="A239" t="s">
        <v>1609</v>
      </c>
      <c r="B239" t="s">
        <v>40</v>
      </c>
      <c r="C239" t="s">
        <v>257</v>
      </c>
      <c r="D239" t="s">
        <v>378</v>
      </c>
      <c r="E239">
        <v>48</v>
      </c>
      <c r="F239" s="23" t="s">
        <v>730</v>
      </c>
      <c r="G239" t="s">
        <v>358</v>
      </c>
      <c r="H239" s="27">
        <v>46042</v>
      </c>
      <c r="I239" t="s">
        <v>1610</v>
      </c>
      <c r="J239" t="s">
        <v>586</v>
      </c>
    </row>
    <row r="240" spans="1:10" ht="15" customHeight="1" x14ac:dyDescent="0.25">
      <c r="A240" t="s">
        <v>1611</v>
      </c>
      <c r="B240" t="s">
        <v>40</v>
      </c>
      <c r="C240" t="s">
        <v>245</v>
      </c>
      <c r="D240" t="s">
        <v>245</v>
      </c>
      <c r="E240">
        <v>48</v>
      </c>
      <c r="F240" s="23" t="s">
        <v>730</v>
      </c>
      <c r="G240" t="s">
        <v>358</v>
      </c>
      <c r="H240" s="27">
        <v>46042</v>
      </c>
      <c r="J240" t="s">
        <v>586</v>
      </c>
    </row>
    <row r="241" spans="1:10" ht="15" customHeight="1" x14ac:dyDescent="0.25">
      <c r="A241" t="s">
        <v>1612</v>
      </c>
      <c r="B241" t="s">
        <v>40</v>
      </c>
      <c r="C241" t="s">
        <v>245</v>
      </c>
      <c r="D241" t="s">
        <v>245</v>
      </c>
      <c r="E241">
        <v>48</v>
      </c>
      <c r="F241" s="23" t="s">
        <v>730</v>
      </c>
      <c r="G241" t="s">
        <v>358</v>
      </c>
      <c r="H241" s="27">
        <v>46042</v>
      </c>
      <c r="I241" t="s">
        <v>1009</v>
      </c>
      <c r="J241" t="s">
        <v>586</v>
      </c>
    </row>
    <row r="242" spans="1:10" ht="15" customHeight="1" x14ac:dyDescent="0.25">
      <c r="A242" t="s">
        <v>1613</v>
      </c>
      <c r="B242" t="s">
        <v>40</v>
      </c>
      <c r="C242" t="s">
        <v>245</v>
      </c>
      <c r="D242" t="s">
        <v>245</v>
      </c>
      <c r="E242">
        <v>48</v>
      </c>
      <c r="F242" s="23" t="s">
        <v>730</v>
      </c>
      <c r="G242" t="s">
        <v>358</v>
      </c>
      <c r="H242" s="27">
        <v>46042</v>
      </c>
      <c r="I242" t="s">
        <v>1011</v>
      </c>
      <c r="J242" t="s">
        <v>586</v>
      </c>
    </row>
    <row r="243" spans="1:10" ht="15" customHeight="1" x14ac:dyDescent="0.25">
      <c r="A243" t="s">
        <v>1614</v>
      </c>
      <c r="B243" t="s">
        <v>40</v>
      </c>
      <c r="C243" t="s">
        <v>378</v>
      </c>
      <c r="D243" t="s">
        <v>377</v>
      </c>
      <c r="E243">
        <v>48</v>
      </c>
      <c r="F243" s="23" t="s">
        <v>730</v>
      </c>
      <c r="G243" t="s">
        <v>358</v>
      </c>
      <c r="H243" s="27">
        <v>46044</v>
      </c>
      <c r="J243" t="s">
        <v>586</v>
      </c>
    </row>
    <row r="244" spans="1:10" ht="15" customHeight="1" x14ac:dyDescent="0.25">
      <c r="A244" t="s">
        <v>1615</v>
      </c>
      <c r="B244" t="s">
        <v>40</v>
      </c>
      <c r="C244" t="s">
        <v>245</v>
      </c>
      <c r="D244" t="s">
        <v>584</v>
      </c>
      <c r="E244">
        <v>48</v>
      </c>
      <c r="F244" s="23" t="s">
        <v>730</v>
      </c>
      <c r="G244" t="s">
        <v>358</v>
      </c>
      <c r="H244" s="27">
        <v>46045</v>
      </c>
      <c r="J244" t="s">
        <v>586</v>
      </c>
    </row>
    <row r="245" spans="1:10" ht="15" customHeight="1" x14ac:dyDescent="0.25">
      <c r="A245" t="s">
        <v>1616</v>
      </c>
      <c r="B245" t="s">
        <v>40</v>
      </c>
      <c r="C245" t="s">
        <v>257</v>
      </c>
      <c r="D245" t="s">
        <v>584</v>
      </c>
      <c r="E245">
        <v>48</v>
      </c>
      <c r="F245" s="23" t="s">
        <v>730</v>
      </c>
      <c r="G245" t="s">
        <v>358</v>
      </c>
      <c r="H245" s="27">
        <v>46045</v>
      </c>
      <c r="I245" t="s">
        <v>1617</v>
      </c>
      <c r="J245" t="s">
        <v>586</v>
      </c>
    </row>
    <row r="246" spans="1:10" ht="15" customHeight="1" x14ac:dyDescent="0.25">
      <c r="A246" t="s">
        <v>1618</v>
      </c>
      <c r="B246" t="s">
        <v>40</v>
      </c>
      <c r="C246" t="s">
        <v>257</v>
      </c>
      <c r="D246" t="s">
        <v>584</v>
      </c>
      <c r="E246">
        <v>48</v>
      </c>
      <c r="F246" s="23" t="s">
        <v>730</v>
      </c>
      <c r="G246" t="s">
        <v>358</v>
      </c>
      <c r="H246" s="27">
        <v>46045</v>
      </c>
      <c r="I246" t="s">
        <v>1619</v>
      </c>
      <c r="J246" t="s">
        <v>586</v>
      </c>
    </row>
    <row r="247" spans="1:10" ht="15" customHeight="1" x14ac:dyDescent="0.25">
      <c r="A247" t="s">
        <v>1620</v>
      </c>
      <c r="B247" t="s">
        <v>40</v>
      </c>
      <c r="C247" t="s">
        <v>584</v>
      </c>
      <c r="D247" t="s">
        <v>363</v>
      </c>
      <c r="E247">
        <v>48</v>
      </c>
      <c r="F247" s="23" t="s">
        <v>730</v>
      </c>
      <c r="G247" t="s">
        <v>358</v>
      </c>
      <c r="H247" s="27">
        <v>46046</v>
      </c>
      <c r="I247" t="s">
        <v>1621</v>
      </c>
      <c r="J247" t="s">
        <v>586</v>
      </c>
    </row>
    <row r="248" spans="1:10" ht="15" customHeight="1" x14ac:dyDescent="0.25">
      <c r="A248" t="s">
        <v>1622</v>
      </c>
      <c r="B248" t="s">
        <v>40</v>
      </c>
      <c r="C248" t="s">
        <v>584</v>
      </c>
      <c r="D248" t="s">
        <v>363</v>
      </c>
      <c r="E248">
        <v>48</v>
      </c>
      <c r="F248" s="23" t="s">
        <v>730</v>
      </c>
      <c r="G248" t="s">
        <v>358</v>
      </c>
      <c r="H248" s="27">
        <v>46046</v>
      </c>
      <c r="I248" t="s">
        <v>1623</v>
      </c>
      <c r="J248" t="s">
        <v>586</v>
      </c>
    </row>
    <row r="249" spans="1:10" ht="15" customHeight="1" x14ac:dyDescent="0.25">
      <c r="A249" t="s">
        <v>1624</v>
      </c>
      <c r="B249" t="s">
        <v>40</v>
      </c>
      <c r="C249" t="s">
        <v>584</v>
      </c>
      <c r="D249" t="s">
        <v>363</v>
      </c>
      <c r="E249">
        <v>48</v>
      </c>
      <c r="F249" s="23" t="s">
        <v>730</v>
      </c>
      <c r="G249" t="s">
        <v>358</v>
      </c>
      <c r="H249" s="27">
        <v>46046</v>
      </c>
      <c r="I249" t="s">
        <v>1623</v>
      </c>
      <c r="J249" t="s">
        <v>586</v>
      </c>
    </row>
    <row r="250" spans="1:10" ht="15" customHeight="1" x14ac:dyDescent="0.25">
      <c r="A250" t="s">
        <v>1625</v>
      </c>
      <c r="B250" t="s">
        <v>40</v>
      </c>
      <c r="C250" t="s">
        <v>257</v>
      </c>
      <c r="D250" t="s">
        <v>377</v>
      </c>
      <c r="E250">
        <v>48</v>
      </c>
      <c r="F250" s="23" t="s">
        <v>730</v>
      </c>
      <c r="G250" t="s">
        <v>358</v>
      </c>
      <c r="H250" s="27">
        <v>46047</v>
      </c>
      <c r="I250" t="s">
        <v>1626</v>
      </c>
      <c r="J250" t="s">
        <v>586</v>
      </c>
    </row>
    <row r="251" spans="1:10" ht="15" customHeight="1" x14ac:dyDescent="0.25">
      <c r="A251" t="s">
        <v>1627</v>
      </c>
      <c r="B251" t="s">
        <v>40</v>
      </c>
      <c r="C251" t="s">
        <v>257</v>
      </c>
      <c r="D251" t="s">
        <v>377</v>
      </c>
      <c r="E251">
        <v>48</v>
      </c>
      <c r="F251" s="23" t="s">
        <v>730</v>
      </c>
      <c r="G251" t="s">
        <v>358</v>
      </c>
      <c r="H251" s="27">
        <v>46047</v>
      </c>
      <c r="I251" t="s">
        <v>1626</v>
      </c>
      <c r="J251" t="s">
        <v>586</v>
      </c>
    </row>
    <row r="252" spans="1:10" ht="15" customHeight="1" x14ac:dyDescent="0.25">
      <c r="A252" t="s">
        <v>1628</v>
      </c>
      <c r="B252" t="s">
        <v>40</v>
      </c>
      <c r="C252" t="s">
        <v>257</v>
      </c>
      <c r="D252" t="s">
        <v>377</v>
      </c>
      <c r="E252">
        <v>48</v>
      </c>
      <c r="F252" s="23" t="s">
        <v>730</v>
      </c>
      <c r="G252" t="s">
        <v>358</v>
      </c>
      <c r="H252" s="27">
        <v>46047</v>
      </c>
      <c r="I252" t="s">
        <v>1626</v>
      </c>
      <c r="J252" t="s">
        <v>586</v>
      </c>
    </row>
    <row r="253" spans="1:10" ht="15" customHeight="1" x14ac:dyDescent="0.25">
      <c r="A253" t="s">
        <v>1629</v>
      </c>
      <c r="B253" t="s">
        <v>40</v>
      </c>
      <c r="C253" t="s">
        <v>363</v>
      </c>
      <c r="D253" t="s">
        <v>245</v>
      </c>
      <c r="E253">
        <v>48</v>
      </c>
      <c r="F253" s="23" t="s">
        <v>730</v>
      </c>
      <c r="G253" t="s">
        <v>358</v>
      </c>
      <c r="H253" s="27">
        <v>46050</v>
      </c>
      <c r="J253" t="s">
        <v>586</v>
      </c>
    </row>
    <row r="254" spans="1:10" ht="15" customHeight="1" x14ac:dyDescent="0.25">
      <c r="A254" t="s">
        <v>1630</v>
      </c>
      <c r="B254" t="s">
        <v>40</v>
      </c>
      <c r="C254" t="s">
        <v>363</v>
      </c>
      <c r="D254" t="s">
        <v>584</v>
      </c>
      <c r="E254">
        <v>48</v>
      </c>
      <c r="F254" s="23" t="s">
        <v>730</v>
      </c>
      <c r="G254" t="s">
        <v>358</v>
      </c>
      <c r="H254" s="27">
        <v>46050</v>
      </c>
      <c r="J254" t="s">
        <v>586</v>
      </c>
    </row>
    <row r="255" spans="1:10" ht="15" customHeight="1" x14ac:dyDescent="0.25">
      <c r="A255" t="s">
        <v>1631</v>
      </c>
      <c r="B255" t="s">
        <v>40</v>
      </c>
      <c r="C255" t="s">
        <v>257</v>
      </c>
      <c r="D255" t="s">
        <v>584</v>
      </c>
      <c r="E255">
        <v>48</v>
      </c>
      <c r="F255" s="23" t="s">
        <v>730</v>
      </c>
      <c r="G255" t="s">
        <v>358</v>
      </c>
      <c r="H255" s="27">
        <v>46050</v>
      </c>
      <c r="J255" t="s">
        <v>586</v>
      </c>
    </row>
    <row r="256" spans="1:10" ht="15" customHeight="1" x14ac:dyDescent="0.25">
      <c r="A256" t="s">
        <v>1632</v>
      </c>
      <c r="B256" t="s">
        <v>40</v>
      </c>
      <c r="C256" t="s">
        <v>363</v>
      </c>
      <c r="E256">
        <v>48</v>
      </c>
      <c r="F256" s="23" t="s">
        <v>730</v>
      </c>
      <c r="G256" t="s">
        <v>358</v>
      </c>
      <c r="H256" s="27">
        <v>46051</v>
      </c>
      <c r="J256" t="s">
        <v>586</v>
      </c>
    </row>
    <row r="257" spans="1:10" ht="15" customHeight="1" x14ac:dyDescent="0.25">
      <c r="A257" t="s">
        <v>1633</v>
      </c>
      <c r="B257" t="s">
        <v>40</v>
      </c>
      <c r="C257" t="s">
        <v>363</v>
      </c>
      <c r="E257">
        <v>48</v>
      </c>
      <c r="F257" s="23" t="s">
        <v>730</v>
      </c>
      <c r="G257" t="s">
        <v>358</v>
      </c>
      <c r="H257" s="27">
        <v>46051</v>
      </c>
      <c r="J257" t="s">
        <v>586</v>
      </c>
    </row>
    <row r="258" spans="1:10" ht="15" customHeight="1" x14ac:dyDescent="0.25">
      <c r="A258" t="s">
        <v>1634</v>
      </c>
      <c r="B258" t="s">
        <v>40</v>
      </c>
      <c r="C258" t="s">
        <v>584</v>
      </c>
      <c r="D258" t="s">
        <v>584</v>
      </c>
      <c r="E258">
        <v>48</v>
      </c>
      <c r="F258" s="23" t="s">
        <v>730</v>
      </c>
      <c r="G258" t="s">
        <v>358</v>
      </c>
      <c r="H258" s="27">
        <v>46052</v>
      </c>
      <c r="I258" t="s">
        <v>1626</v>
      </c>
      <c r="J258" t="s">
        <v>586</v>
      </c>
    </row>
    <row r="259" spans="1:10" ht="15" customHeight="1" x14ac:dyDescent="0.25">
      <c r="A259" t="s">
        <v>1635</v>
      </c>
      <c r="B259" t="s">
        <v>40</v>
      </c>
      <c r="C259" t="s">
        <v>584</v>
      </c>
      <c r="E259">
        <v>48</v>
      </c>
      <c r="F259" s="23" t="s">
        <v>730</v>
      </c>
      <c r="G259" t="s">
        <v>358</v>
      </c>
      <c r="H259" s="27">
        <v>46054</v>
      </c>
      <c r="I259" t="s">
        <v>1636</v>
      </c>
      <c r="J259" t="s">
        <v>586</v>
      </c>
    </row>
    <row r="260" spans="1:10" ht="15" customHeight="1" x14ac:dyDescent="0.25">
      <c r="A260" s="13" t="s">
        <v>1637</v>
      </c>
      <c r="B260" t="s">
        <v>40</v>
      </c>
      <c r="C260" t="s">
        <v>377</v>
      </c>
      <c r="E260">
        <v>48</v>
      </c>
      <c r="F260" s="23" t="s">
        <v>730</v>
      </c>
      <c r="G260" t="s">
        <v>358</v>
      </c>
      <c r="H260" s="27">
        <v>46054</v>
      </c>
      <c r="I260" t="s">
        <v>1025</v>
      </c>
      <c r="J260" t="s">
        <v>586</v>
      </c>
    </row>
    <row r="261" spans="1:10" ht="15" customHeight="1" x14ac:dyDescent="0.25">
      <c r="A261" t="s">
        <v>1638</v>
      </c>
      <c r="B261" t="s">
        <v>40</v>
      </c>
      <c r="C261" t="s">
        <v>245</v>
      </c>
      <c r="D261" t="s">
        <v>378</v>
      </c>
      <c r="E261">
        <v>48</v>
      </c>
      <c r="F261" s="23" t="s">
        <v>730</v>
      </c>
      <c r="G261" t="s">
        <v>358</v>
      </c>
      <c r="H261" s="27">
        <v>46055</v>
      </c>
      <c r="I261" t="s">
        <v>1009</v>
      </c>
      <c r="J261" t="s">
        <v>586</v>
      </c>
    </row>
    <row r="262" spans="1:10" ht="15" customHeight="1" x14ac:dyDescent="0.25">
      <c r="A262" t="s">
        <v>1639</v>
      </c>
      <c r="B262" t="s">
        <v>40</v>
      </c>
      <c r="C262" t="s">
        <v>245</v>
      </c>
      <c r="D262" t="s">
        <v>378</v>
      </c>
      <c r="E262">
        <v>48</v>
      </c>
      <c r="F262" s="23" t="s">
        <v>730</v>
      </c>
      <c r="G262" t="s">
        <v>358</v>
      </c>
      <c r="H262" s="27">
        <v>46055</v>
      </c>
      <c r="I262" t="s">
        <v>1011</v>
      </c>
      <c r="J262" t="s">
        <v>586</v>
      </c>
    </row>
    <row r="263" spans="1:10" ht="15" customHeight="1" x14ac:dyDescent="0.25">
      <c r="A263" s="1" t="s">
        <v>1640</v>
      </c>
      <c r="B263" t="s">
        <v>40</v>
      </c>
      <c r="C263" t="s">
        <v>363</v>
      </c>
      <c r="D263" t="s">
        <v>378</v>
      </c>
      <c r="E263">
        <v>48</v>
      </c>
      <c r="F263" s="23" t="s">
        <v>730</v>
      </c>
      <c r="G263" t="s">
        <v>358</v>
      </c>
      <c r="H263" s="27">
        <v>46056</v>
      </c>
      <c r="I263" s="94" t="s">
        <v>1641</v>
      </c>
      <c r="J263" t="s">
        <v>586</v>
      </c>
    </row>
    <row r="264" spans="1:10" ht="15" customHeight="1" x14ac:dyDescent="0.25">
      <c r="A264" t="s">
        <v>1642</v>
      </c>
      <c r="B264" t="s">
        <v>40</v>
      </c>
      <c r="C264" t="s">
        <v>363</v>
      </c>
      <c r="D264" t="s">
        <v>584</v>
      </c>
      <c r="E264">
        <v>48</v>
      </c>
      <c r="F264" s="23" t="s">
        <v>730</v>
      </c>
      <c r="G264" t="s">
        <v>358</v>
      </c>
      <c r="H264" s="27">
        <v>46056</v>
      </c>
      <c r="I264" t="s">
        <v>1643</v>
      </c>
      <c r="J264" t="s">
        <v>586</v>
      </c>
    </row>
    <row r="265" spans="1:10" ht="15" customHeight="1" x14ac:dyDescent="0.25">
      <c r="A265" t="s">
        <v>1644</v>
      </c>
      <c r="B265" t="s">
        <v>40</v>
      </c>
      <c r="C265" t="s">
        <v>363</v>
      </c>
      <c r="D265" t="s">
        <v>584</v>
      </c>
      <c r="E265">
        <v>48</v>
      </c>
      <c r="F265" s="23" t="s">
        <v>730</v>
      </c>
      <c r="G265" t="s">
        <v>358</v>
      </c>
      <c r="H265" s="27">
        <v>46056</v>
      </c>
      <c r="I265" t="s">
        <v>1645</v>
      </c>
      <c r="J265" t="s">
        <v>586</v>
      </c>
    </row>
    <row r="266" spans="1:10" ht="15" customHeight="1" x14ac:dyDescent="0.25">
      <c r="A266" t="s">
        <v>1646</v>
      </c>
      <c r="B266" t="s">
        <v>40</v>
      </c>
      <c r="C266" t="s">
        <v>584</v>
      </c>
      <c r="D266" t="s">
        <v>584</v>
      </c>
      <c r="E266">
        <v>48</v>
      </c>
      <c r="F266" s="23" t="s">
        <v>730</v>
      </c>
      <c r="G266" t="s">
        <v>358</v>
      </c>
      <c r="H266" s="27">
        <v>46058</v>
      </c>
      <c r="I266" t="s">
        <v>1121</v>
      </c>
      <c r="J266" t="s">
        <v>586</v>
      </c>
    </row>
    <row r="267" spans="1:10" ht="15" customHeight="1" x14ac:dyDescent="0.25">
      <c r="A267" t="s">
        <v>1647</v>
      </c>
      <c r="B267" t="s">
        <v>40</v>
      </c>
      <c r="C267" t="s">
        <v>245</v>
      </c>
      <c r="D267" t="s">
        <v>584</v>
      </c>
      <c r="E267" s="68">
        <v>5.2083333333333336E-2</v>
      </c>
      <c r="F267" s="23" t="s">
        <v>730</v>
      </c>
      <c r="G267" t="s">
        <v>358</v>
      </c>
      <c r="H267" s="27">
        <v>46058</v>
      </c>
      <c r="I267" t="s">
        <v>1648</v>
      </c>
      <c r="J267" t="s">
        <v>586</v>
      </c>
    </row>
    <row r="268" spans="1:10" ht="15" customHeight="1" x14ac:dyDescent="0.25">
      <c r="A268" t="s">
        <v>1649</v>
      </c>
      <c r="B268" t="s">
        <v>40</v>
      </c>
      <c r="C268" t="s">
        <v>245</v>
      </c>
      <c r="D268" t="s">
        <v>377</v>
      </c>
      <c r="E268">
        <v>48</v>
      </c>
      <c r="F268" s="23" t="s">
        <v>730</v>
      </c>
      <c r="G268" t="s">
        <v>358</v>
      </c>
      <c r="H268" s="27">
        <v>46061</v>
      </c>
      <c r="I268" t="s">
        <v>1650</v>
      </c>
      <c r="J268" t="s">
        <v>586</v>
      </c>
    </row>
    <row r="269" spans="1:10" ht="15" customHeight="1" x14ac:dyDescent="0.25">
      <c r="A269" t="s">
        <v>1651</v>
      </c>
      <c r="B269" t="s">
        <v>40</v>
      </c>
      <c r="C269" t="s">
        <v>245</v>
      </c>
      <c r="D269" t="s">
        <v>377</v>
      </c>
      <c r="E269">
        <v>48</v>
      </c>
      <c r="F269" s="23" t="s">
        <v>730</v>
      </c>
      <c r="G269" t="s">
        <v>358</v>
      </c>
      <c r="H269" s="27">
        <v>46061</v>
      </c>
      <c r="I269" t="s">
        <v>1652</v>
      </c>
      <c r="J269" t="s">
        <v>586</v>
      </c>
    </row>
    <row r="270" spans="1:10" ht="15" customHeight="1" x14ac:dyDescent="0.25">
      <c r="A270" t="s">
        <v>1653</v>
      </c>
      <c r="B270" t="s">
        <v>40</v>
      </c>
      <c r="C270" t="s">
        <v>245</v>
      </c>
      <c r="D270" t="s">
        <v>377</v>
      </c>
      <c r="E270">
        <v>48</v>
      </c>
      <c r="F270" s="23" t="s">
        <v>730</v>
      </c>
      <c r="G270" t="s">
        <v>358</v>
      </c>
      <c r="H270" s="27">
        <v>46061</v>
      </c>
      <c r="I270" t="s">
        <v>1654</v>
      </c>
      <c r="J270" t="s">
        <v>586</v>
      </c>
    </row>
    <row r="271" spans="1:10" ht="15" customHeight="1" x14ac:dyDescent="0.25">
      <c r="A271" t="s">
        <v>1655</v>
      </c>
      <c r="B271" t="s">
        <v>40</v>
      </c>
      <c r="C271" t="s">
        <v>245</v>
      </c>
      <c r="D271" t="s">
        <v>377</v>
      </c>
      <c r="E271">
        <v>48</v>
      </c>
      <c r="F271" s="23" t="s">
        <v>730</v>
      </c>
      <c r="G271" t="s">
        <v>358</v>
      </c>
      <c r="H271" s="27">
        <v>46061</v>
      </c>
      <c r="I271" t="s">
        <v>1656</v>
      </c>
      <c r="J271" t="s">
        <v>586</v>
      </c>
    </row>
    <row r="272" spans="1:10" ht="15" customHeight="1" x14ac:dyDescent="0.25">
      <c r="A272" t="s">
        <v>1657</v>
      </c>
      <c r="B272" t="s">
        <v>40</v>
      </c>
      <c r="C272" t="s">
        <v>245</v>
      </c>
      <c r="D272" t="s">
        <v>377</v>
      </c>
      <c r="E272">
        <v>48</v>
      </c>
      <c r="F272" s="23" t="s">
        <v>730</v>
      </c>
      <c r="G272" t="s">
        <v>358</v>
      </c>
      <c r="H272" s="27">
        <v>46061</v>
      </c>
      <c r="I272" t="s">
        <v>1658</v>
      </c>
      <c r="J272" t="s">
        <v>586</v>
      </c>
    </row>
    <row r="273" spans="1:10" ht="15" customHeight="1" x14ac:dyDescent="0.25">
      <c r="A273" t="s">
        <v>1659</v>
      </c>
      <c r="B273" t="s">
        <v>40</v>
      </c>
      <c r="C273" t="s">
        <v>245</v>
      </c>
      <c r="D273" t="s">
        <v>377</v>
      </c>
      <c r="E273">
        <v>48</v>
      </c>
      <c r="F273" s="23" t="s">
        <v>730</v>
      </c>
      <c r="G273" t="s">
        <v>358</v>
      </c>
      <c r="H273" s="27">
        <v>46061</v>
      </c>
      <c r="I273" t="s">
        <v>1660</v>
      </c>
      <c r="J273" t="s">
        <v>586</v>
      </c>
    </row>
    <row r="274" spans="1:10" ht="15" customHeight="1" x14ac:dyDescent="0.25">
      <c r="A274" t="s">
        <v>1661</v>
      </c>
      <c r="B274" t="s">
        <v>40</v>
      </c>
      <c r="C274" t="s">
        <v>363</v>
      </c>
      <c r="D274" t="s">
        <v>584</v>
      </c>
      <c r="E274">
        <v>48</v>
      </c>
      <c r="F274" s="23" t="s">
        <v>730</v>
      </c>
      <c r="G274" t="s">
        <v>358</v>
      </c>
      <c r="H274" s="27">
        <v>46064</v>
      </c>
      <c r="J274" t="s">
        <v>586</v>
      </c>
    </row>
    <row r="275" spans="1:10" ht="15" customHeight="1" x14ac:dyDescent="0.25">
      <c r="A275" t="s">
        <v>1662</v>
      </c>
      <c r="B275" t="s">
        <v>40</v>
      </c>
      <c r="C275" t="s">
        <v>363</v>
      </c>
      <c r="D275" t="s">
        <v>584</v>
      </c>
      <c r="E275">
        <v>48</v>
      </c>
      <c r="F275" s="23" t="s">
        <v>730</v>
      </c>
      <c r="G275" t="s">
        <v>358</v>
      </c>
      <c r="H275" s="27">
        <v>46064</v>
      </c>
      <c r="J275" t="s">
        <v>586</v>
      </c>
    </row>
    <row r="276" spans="1:10" ht="15" customHeight="1" x14ac:dyDescent="0.25">
      <c r="A276" s="13" t="s">
        <v>1663</v>
      </c>
      <c r="B276" t="s">
        <v>40</v>
      </c>
      <c r="C276" t="s">
        <v>377</v>
      </c>
      <c r="D276" t="s">
        <v>584</v>
      </c>
      <c r="E276">
        <v>48</v>
      </c>
      <c r="F276" s="23" t="s">
        <v>730</v>
      </c>
      <c r="G276" t="s">
        <v>358</v>
      </c>
      <c r="H276" s="27">
        <v>46064</v>
      </c>
      <c r="J276" t="s">
        <v>586</v>
      </c>
    </row>
    <row r="277" spans="1:10" ht="15" customHeight="1" x14ac:dyDescent="0.25">
      <c r="A277" t="s">
        <v>1664</v>
      </c>
      <c r="B277" t="s">
        <v>40</v>
      </c>
      <c r="C277" t="s">
        <v>377</v>
      </c>
      <c r="D277" t="s">
        <v>584</v>
      </c>
      <c r="E277">
        <v>48</v>
      </c>
      <c r="F277" s="23" t="s">
        <v>730</v>
      </c>
      <c r="G277" t="s">
        <v>358</v>
      </c>
      <c r="H277" s="27">
        <v>46064</v>
      </c>
      <c r="J277" t="s">
        <v>586</v>
      </c>
    </row>
    <row r="278" spans="1:10" ht="15" customHeight="1" x14ac:dyDescent="0.25">
      <c r="A278" t="s">
        <v>1665</v>
      </c>
      <c r="B278" t="s">
        <v>40</v>
      </c>
      <c r="C278" t="s">
        <v>584</v>
      </c>
      <c r="D278" t="s">
        <v>378</v>
      </c>
      <c r="E278">
        <v>48</v>
      </c>
      <c r="F278" s="23" t="s">
        <v>730</v>
      </c>
      <c r="G278" t="s">
        <v>358</v>
      </c>
      <c r="H278" s="27">
        <v>46066</v>
      </c>
      <c r="J278" t="s">
        <v>586</v>
      </c>
    </row>
    <row r="279" spans="1:10" ht="15" customHeight="1" x14ac:dyDescent="0.25">
      <c r="A279" t="s">
        <v>1666</v>
      </c>
      <c r="B279" t="s">
        <v>40</v>
      </c>
      <c r="C279" t="s">
        <v>584</v>
      </c>
      <c r="D279" t="s">
        <v>377</v>
      </c>
      <c r="E279">
        <v>48</v>
      </c>
      <c r="F279" s="23" t="s">
        <v>730</v>
      </c>
      <c r="G279" t="s">
        <v>358</v>
      </c>
      <c r="H279" s="27">
        <v>46068</v>
      </c>
      <c r="J279" t="s">
        <v>586</v>
      </c>
    </row>
    <row r="280" spans="1:10" ht="15" customHeight="1" x14ac:dyDescent="0.25">
      <c r="A280" s="13" t="s">
        <v>1667</v>
      </c>
      <c r="B280" t="s">
        <v>40</v>
      </c>
      <c r="C280" t="s">
        <v>584</v>
      </c>
      <c r="D280" t="s">
        <v>377</v>
      </c>
      <c r="E280">
        <v>48</v>
      </c>
      <c r="F280" s="23" t="s">
        <v>730</v>
      </c>
      <c r="G280" t="s">
        <v>358</v>
      </c>
      <c r="H280" s="27">
        <v>46068</v>
      </c>
      <c r="J280" t="s">
        <v>586</v>
      </c>
    </row>
    <row r="281" spans="1:10" ht="15" customHeight="1" x14ac:dyDescent="0.25">
      <c r="A281" t="s">
        <v>1668</v>
      </c>
      <c r="B281" t="s">
        <v>40</v>
      </c>
      <c r="C281" t="s">
        <v>378</v>
      </c>
      <c r="D281" t="s">
        <v>377</v>
      </c>
      <c r="E281">
        <v>48</v>
      </c>
      <c r="F281" s="23" t="s">
        <v>730</v>
      </c>
      <c r="G281" t="s">
        <v>358</v>
      </c>
      <c r="H281" s="27">
        <v>46068</v>
      </c>
      <c r="J281" t="s">
        <v>586</v>
      </c>
    </row>
    <row r="282" spans="1:10" ht="15" customHeight="1" x14ac:dyDescent="0.25">
      <c r="A282" t="s">
        <v>1669</v>
      </c>
      <c r="B282" t="s">
        <v>40</v>
      </c>
      <c r="C282" t="s">
        <v>584</v>
      </c>
      <c r="D282" t="s">
        <v>377</v>
      </c>
      <c r="E282">
        <v>48</v>
      </c>
      <c r="F282" s="23" t="s">
        <v>730</v>
      </c>
      <c r="G282" t="s">
        <v>358</v>
      </c>
      <c r="H282" s="27">
        <v>46068</v>
      </c>
      <c r="J282" t="s">
        <v>586</v>
      </c>
    </row>
    <row r="283" spans="1:10" ht="15" customHeight="1" x14ac:dyDescent="0.25">
      <c r="A283" t="s">
        <v>1670</v>
      </c>
      <c r="B283" t="s">
        <v>40</v>
      </c>
      <c r="C283" t="s">
        <v>377</v>
      </c>
      <c r="D283" t="s">
        <v>414</v>
      </c>
      <c r="E283">
        <v>48</v>
      </c>
      <c r="F283" s="31" t="s">
        <v>730</v>
      </c>
      <c r="G283" t="s">
        <v>358</v>
      </c>
      <c r="H283" s="27">
        <v>46072</v>
      </c>
      <c r="J283" t="s">
        <v>586</v>
      </c>
    </row>
    <row r="284" spans="1:10" ht="15" customHeight="1" x14ac:dyDescent="0.25">
      <c r="A284" t="s">
        <v>1671</v>
      </c>
      <c r="B284" t="s">
        <v>40</v>
      </c>
      <c r="C284" t="s">
        <v>377</v>
      </c>
      <c r="D284" t="s">
        <v>414</v>
      </c>
      <c r="E284">
        <v>48</v>
      </c>
      <c r="F284" s="31" t="s">
        <v>730</v>
      </c>
      <c r="G284" t="s">
        <v>358</v>
      </c>
      <c r="H284" s="27">
        <v>46072</v>
      </c>
      <c r="J284" t="s">
        <v>586</v>
      </c>
    </row>
    <row r="285" spans="1:10" ht="15" customHeight="1" x14ac:dyDescent="0.25">
      <c r="A285" t="s">
        <v>1672</v>
      </c>
      <c r="B285" t="s">
        <v>40</v>
      </c>
      <c r="C285" t="s">
        <v>245</v>
      </c>
      <c r="D285" t="s">
        <v>414</v>
      </c>
      <c r="E285">
        <v>48</v>
      </c>
      <c r="F285" s="31" t="s">
        <v>730</v>
      </c>
      <c r="G285" t="s">
        <v>358</v>
      </c>
      <c r="H285" s="27">
        <v>46072</v>
      </c>
      <c r="J285" t="s">
        <v>586</v>
      </c>
    </row>
    <row r="286" spans="1:10" ht="15" customHeight="1" x14ac:dyDescent="0.25">
      <c r="A286" t="s">
        <v>1673</v>
      </c>
      <c r="B286" t="s">
        <v>40</v>
      </c>
      <c r="C286" t="s">
        <v>414</v>
      </c>
      <c r="D286" t="s">
        <v>377</v>
      </c>
      <c r="E286">
        <v>48</v>
      </c>
      <c r="F286" s="31" t="s">
        <v>730</v>
      </c>
      <c r="G286" t="s">
        <v>358</v>
      </c>
      <c r="H286" s="27">
        <v>46075</v>
      </c>
      <c r="J286" t="s">
        <v>586</v>
      </c>
    </row>
    <row r="287" spans="1:10" ht="15" customHeight="1" x14ac:dyDescent="0.25">
      <c r="A287" t="s">
        <v>1674</v>
      </c>
      <c r="B287" t="s">
        <v>40</v>
      </c>
      <c r="C287" t="s">
        <v>245</v>
      </c>
      <c r="D287" t="s">
        <v>377</v>
      </c>
      <c r="E287">
        <v>48</v>
      </c>
      <c r="F287" s="31" t="s">
        <v>730</v>
      </c>
      <c r="G287" t="s">
        <v>358</v>
      </c>
      <c r="H287" s="27">
        <v>46075</v>
      </c>
      <c r="J287" t="s">
        <v>586</v>
      </c>
    </row>
    <row r="288" spans="1:10" ht="15" customHeight="1" x14ac:dyDescent="0.25">
      <c r="A288" t="s">
        <v>1675</v>
      </c>
      <c r="B288" t="s">
        <v>40</v>
      </c>
      <c r="C288" t="s">
        <v>363</v>
      </c>
      <c r="D288" t="s">
        <v>377</v>
      </c>
      <c r="E288">
        <v>48</v>
      </c>
      <c r="F288" s="31" t="s">
        <v>730</v>
      </c>
      <c r="G288" t="s">
        <v>358</v>
      </c>
      <c r="H288" s="27">
        <v>46075</v>
      </c>
      <c r="J288" t="s">
        <v>586</v>
      </c>
    </row>
    <row r="289" spans="1:10" ht="15" customHeight="1" x14ac:dyDescent="0.25">
      <c r="A289" t="s">
        <v>1676</v>
      </c>
      <c r="B289" t="s">
        <v>40</v>
      </c>
      <c r="C289" t="s">
        <v>363</v>
      </c>
      <c r="D289" t="s">
        <v>377</v>
      </c>
      <c r="E289">
        <v>48</v>
      </c>
      <c r="F289" s="31" t="s">
        <v>730</v>
      </c>
      <c r="G289" t="s">
        <v>358</v>
      </c>
      <c r="H289" s="27">
        <v>46075</v>
      </c>
      <c r="J289" t="s">
        <v>586</v>
      </c>
    </row>
    <row r="290" spans="1:10" ht="15" customHeight="1" x14ac:dyDescent="0.25">
      <c r="A290" t="s">
        <v>1677</v>
      </c>
      <c r="B290" t="s">
        <v>40</v>
      </c>
      <c r="C290" t="s">
        <v>584</v>
      </c>
      <c r="D290" t="s">
        <v>414</v>
      </c>
      <c r="E290">
        <v>48</v>
      </c>
      <c r="F290" s="31" t="s">
        <v>730</v>
      </c>
      <c r="G290" t="s">
        <v>358</v>
      </c>
      <c r="H290" s="27">
        <v>46077</v>
      </c>
      <c r="J290" t="s">
        <v>586</v>
      </c>
    </row>
    <row r="291" spans="1:10" ht="15" customHeight="1" x14ac:dyDescent="0.25">
      <c r="A291" t="s">
        <v>1678</v>
      </c>
      <c r="B291" t="s">
        <v>40</v>
      </c>
      <c r="C291" t="s">
        <v>377</v>
      </c>
      <c r="D291" t="s">
        <v>414</v>
      </c>
      <c r="E291">
        <v>48</v>
      </c>
      <c r="F291" s="31" t="s">
        <v>730</v>
      </c>
      <c r="G291" t="s">
        <v>358</v>
      </c>
      <c r="H291" s="27">
        <v>46077</v>
      </c>
      <c r="J291" t="s">
        <v>586</v>
      </c>
    </row>
    <row r="292" spans="1:10" ht="15" customHeight="1" x14ac:dyDescent="0.25">
      <c r="A292" t="s">
        <v>1679</v>
      </c>
      <c r="B292" t="s">
        <v>40</v>
      </c>
      <c r="C292" t="s">
        <v>584</v>
      </c>
      <c r="D292" t="s">
        <v>414</v>
      </c>
      <c r="E292">
        <v>48</v>
      </c>
      <c r="F292" s="31" t="s">
        <v>730</v>
      </c>
      <c r="G292" t="s">
        <v>358</v>
      </c>
      <c r="H292" s="27">
        <v>46077</v>
      </c>
      <c r="J292" t="s">
        <v>586</v>
      </c>
    </row>
    <row r="293" spans="1:10" ht="15" customHeight="1" x14ac:dyDescent="0.25">
      <c r="A293" t="s">
        <v>1680</v>
      </c>
      <c r="B293" t="s">
        <v>40</v>
      </c>
      <c r="C293" t="s">
        <v>363</v>
      </c>
      <c r="D293" t="s">
        <v>414</v>
      </c>
      <c r="E293">
        <v>48</v>
      </c>
      <c r="F293" s="31" t="s">
        <v>730</v>
      </c>
      <c r="G293" t="s">
        <v>358</v>
      </c>
      <c r="H293" s="27">
        <v>46078</v>
      </c>
      <c r="J293" t="s">
        <v>586</v>
      </c>
    </row>
    <row r="294" spans="1:10" ht="15" customHeight="1" x14ac:dyDescent="0.25">
      <c r="A294" t="s">
        <v>1681</v>
      </c>
      <c r="B294" t="s">
        <v>40</v>
      </c>
      <c r="C294" t="s">
        <v>414</v>
      </c>
      <c r="D294" t="s">
        <v>377</v>
      </c>
      <c r="E294">
        <v>48</v>
      </c>
      <c r="F294" s="31" t="s">
        <v>730</v>
      </c>
      <c r="G294" t="s">
        <v>358</v>
      </c>
      <c r="H294" s="27">
        <v>46079</v>
      </c>
      <c r="J294" t="s">
        <v>586</v>
      </c>
    </row>
    <row r="295" spans="1:10" ht="15" customHeight="1" x14ac:dyDescent="0.25">
      <c r="A295" t="s">
        <v>1682</v>
      </c>
      <c r="B295" t="s">
        <v>40</v>
      </c>
      <c r="C295" t="s">
        <v>414</v>
      </c>
      <c r="D295" t="s">
        <v>377</v>
      </c>
      <c r="E295">
        <v>48</v>
      </c>
      <c r="F295" s="31" t="s">
        <v>730</v>
      </c>
      <c r="G295" t="s">
        <v>358</v>
      </c>
      <c r="H295" s="27">
        <v>46079</v>
      </c>
      <c r="I295" t="s">
        <v>972</v>
      </c>
      <c r="J295" t="s">
        <v>586</v>
      </c>
    </row>
    <row r="296" spans="1:10" ht="15" customHeight="1" x14ac:dyDescent="0.25">
      <c r="A296" t="s">
        <v>1683</v>
      </c>
      <c r="B296" t="s">
        <v>40</v>
      </c>
      <c r="C296" t="s">
        <v>363</v>
      </c>
      <c r="D296" t="s">
        <v>377</v>
      </c>
      <c r="E296">
        <v>48</v>
      </c>
      <c r="F296" s="31" t="s">
        <v>730</v>
      </c>
      <c r="G296" t="s">
        <v>358</v>
      </c>
      <c r="H296" s="27">
        <v>46079</v>
      </c>
      <c r="J296" t="s">
        <v>586</v>
      </c>
    </row>
    <row r="297" spans="1:10" ht="15" customHeight="1" x14ac:dyDescent="0.25">
      <c r="A297" t="s">
        <v>1684</v>
      </c>
      <c r="B297" t="s">
        <v>40</v>
      </c>
      <c r="C297" t="s">
        <v>363</v>
      </c>
      <c r="D297" t="s">
        <v>377</v>
      </c>
      <c r="E297">
        <v>48</v>
      </c>
      <c r="F297" s="31" t="s">
        <v>730</v>
      </c>
      <c r="G297" t="s">
        <v>358</v>
      </c>
      <c r="H297" s="27">
        <v>46079</v>
      </c>
      <c r="J297" t="s">
        <v>586</v>
      </c>
    </row>
    <row r="298" spans="1:10" ht="15" customHeight="1" x14ac:dyDescent="0.25">
      <c r="A298" t="s">
        <v>1685</v>
      </c>
      <c r="B298" t="s">
        <v>40</v>
      </c>
      <c r="C298" t="s">
        <v>363</v>
      </c>
      <c r="D298" t="s">
        <v>377</v>
      </c>
      <c r="E298">
        <v>48</v>
      </c>
      <c r="F298" s="31" t="s">
        <v>730</v>
      </c>
      <c r="G298" t="s">
        <v>358</v>
      </c>
      <c r="H298" s="27">
        <v>46079</v>
      </c>
      <c r="J298" t="s">
        <v>586</v>
      </c>
    </row>
    <row r="299" spans="1:10" ht="15" customHeight="1" x14ac:dyDescent="0.25">
      <c r="A299" t="s">
        <v>1686</v>
      </c>
      <c r="B299" t="s">
        <v>40</v>
      </c>
      <c r="C299" t="s">
        <v>377</v>
      </c>
      <c r="D299" t="s">
        <v>245</v>
      </c>
      <c r="E299">
        <v>19</v>
      </c>
      <c r="F299" s="31" t="s">
        <v>730</v>
      </c>
      <c r="G299" t="s">
        <v>358</v>
      </c>
      <c r="H299" s="27">
        <v>46080</v>
      </c>
      <c r="I299" t="s">
        <v>1687</v>
      </c>
      <c r="J299" t="s">
        <v>586</v>
      </c>
    </row>
    <row r="300" spans="1:10" ht="15" customHeight="1" x14ac:dyDescent="0.25">
      <c r="A300" t="s">
        <v>1688</v>
      </c>
      <c r="B300" t="s">
        <v>40</v>
      </c>
      <c r="C300" t="s">
        <v>378</v>
      </c>
      <c r="D300" t="s">
        <v>245</v>
      </c>
      <c r="E300">
        <v>22</v>
      </c>
      <c r="F300" s="31" t="s">
        <v>730</v>
      </c>
      <c r="G300" t="s">
        <v>358</v>
      </c>
      <c r="H300" s="27">
        <v>46080</v>
      </c>
      <c r="I300" t="s">
        <v>1687</v>
      </c>
      <c r="J300" t="s">
        <v>586</v>
      </c>
    </row>
    <row r="301" spans="1:10" ht="15" customHeight="1" x14ac:dyDescent="0.25">
      <c r="A301" t="s">
        <v>1689</v>
      </c>
      <c r="B301" t="s">
        <v>40</v>
      </c>
      <c r="C301" t="s">
        <v>414</v>
      </c>
      <c r="D301" t="s">
        <v>363</v>
      </c>
      <c r="E301">
        <v>48</v>
      </c>
      <c r="F301" s="31" t="s">
        <v>730</v>
      </c>
      <c r="G301" t="s">
        <v>358</v>
      </c>
      <c r="H301" s="27">
        <v>46080</v>
      </c>
      <c r="J301" t="s">
        <v>586</v>
      </c>
    </row>
    <row r="302" spans="1:10" ht="15" customHeight="1" x14ac:dyDescent="0.25">
      <c r="A302" t="s">
        <v>1690</v>
      </c>
      <c r="B302" t="s">
        <v>40</v>
      </c>
      <c r="C302" t="s">
        <v>414</v>
      </c>
      <c r="D302" t="s">
        <v>363</v>
      </c>
      <c r="E302">
        <v>48</v>
      </c>
      <c r="F302" s="31" t="s">
        <v>730</v>
      </c>
      <c r="G302" t="s">
        <v>358</v>
      </c>
      <c r="H302" s="27">
        <v>46080</v>
      </c>
      <c r="J302" t="s">
        <v>586</v>
      </c>
    </row>
    <row r="303" spans="1:10" ht="15" customHeight="1" x14ac:dyDescent="0.25">
      <c r="A303" t="s">
        <v>1691</v>
      </c>
      <c r="B303" t="s">
        <v>40</v>
      </c>
      <c r="C303" t="s">
        <v>378</v>
      </c>
      <c r="D303" t="s">
        <v>363</v>
      </c>
      <c r="E303">
        <v>48</v>
      </c>
      <c r="F303" s="31" t="s">
        <v>730</v>
      </c>
      <c r="G303" t="s">
        <v>358</v>
      </c>
      <c r="H303" s="27">
        <v>46081</v>
      </c>
      <c r="J303" t="s">
        <v>586</v>
      </c>
    </row>
    <row r="304" spans="1:10" ht="15" customHeight="1" x14ac:dyDescent="0.25">
      <c r="A304" t="s">
        <v>1692</v>
      </c>
      <c r="B304" t="s">
        <v>40</v>
      </c>
      <c r="C304" t="s">
        <v>363</v>
      </c>
      <c r="D304" t="s">
        <v>414</v>
      </c>
      <c r="E304">
        <v>48</v>
      </c>
      <c r="F304" s="31" t="s">
        <v>730</v>
      </c>
      <c r="G304" t="s">
        <v>358</v>
      </c>
      <c r="H304" s="27">
        <v>46084</v>
      </c>
      <c r="I304" t="s">
        <v>1693</v>
      </c>
      <c r="J304" t="s">
        <v>388</v>
      </c>
    </row>
    <row r="305" spans="1:10" ht="15" customHeight="1" x14ac:dyDescent="0.25">
      <c r="A305" t="s">
        <v>1694</v>
      </c>
      <c r="B305" t="s">
        <v>40</v>
      </c>
      <c r="C305" t="s">
        <v>363</v>
      </c>
      <c r="D305" t="s">
        <v>414</v>
      </c>
      <c r="E305">
        <v>48</v>
      </c>
      <c r="F305" s="31" t="s">
        <v>730</v>
      </c>
      <c r="G305" t="s">
        <v>358</v>
      </c>
      <c r="H305" s="27">
        <v>46084</v>
      </c>
      <c r="J305" t="s">
        <v>388</v>
      </c>
    </row>
    <row r="306" spans="1:10" ht="15" customHeight="1" x14ac:dyDescent="0.25">
      <c r="A306" t="s">
        <v>1695</v>
      </c>
      <c r="B306" t="s">
        <v>40</v>
      </c>
      <c r="C306" t="s">
        <v>363</v>
      </c>
      <c r="D306" t="s">
        <v>414</v>
      </c>
      <c r="E306">
        <v>48</v>
      </c>
      <c r="F306" s="31" t="s">
        <v>730</v>
      </c>
      <c r="G306" t="s">
        <v>358</v>
      </c>
      <c r="H306" s="27">
        <v>46084</v>
      </c>
      <c r="J306" t="s">
        <v>388</v>
      </c>
    </row>
    <row r="307" spans="1:10" ht="15" customHeight="1" x14ac:dyDescent="0.25">
      <c r="A307" t="s">
        <v>1696</v>
      </c>
      <c r="B307" t="s">
        <v>40</v>
      </c>
      <c r="E307">
        <v>48</v>
      </c>
      <c r="F307" s="31" t="s">
        <v>730</v>
      </c>
      <c r="G307" t="s">
        <v>358</v>
      </c>
      <c r="H307" s="27">
        <v>46070</v>
      </c>
      <c r="J307" t="s">
        <v>388</v>
      </c>
    </row>
    <row r="308" spans="1:10" ht="15" customHeight="1" x14ac:dyDescent="0.25">
      <c r="A308" t="s">
        <v>1697</v>
      </c>
      <c r="B308" t="s">
        <v>40</v>
      </c>
      <c r="E308">
        <v>48</v>
      </c>
      <c r="F308" s="31" t="s">
        <v>730</v>
      </c>
      <c r="G308" t="s">
        <v>358</v>
      </c>
      <c r="H308" s="27">
        <v>46070</v>
      </c>
      <c r="J308" t="s">
        <v>388</v>
      </c>
    </row>
    <row r="309" spans="1:10" ht="15" customHeight="1" x14ac:dyDescent="0.25">
      <c r="A309" t="s">
        <v>1698</v>
      </c>
      <c r="B309" t="s">
        <v>40</v>
      </c>
      <c r="C309" t="s">
        <v>377</v>
      </c>
      <c r="D309" t="s">
        <v>245</v>
      </c>
      <c r="E309">
        <v>48</v>
      </c>
      <c r="F309" s="31" t="s">
        <v>730</v>
      </c>
      <c r="G309" t="s">
        <v>358</v>
      </c>
      <c r="H309" s="27">
        <v>46085</v>
      </c>
      <c r="J309" t="s">
        <v>388</v>
      </c>
    </row>
    <row r="310" spans="1:10" ht="15" customHeight="1" x14ac:dyDescent="0.25">
      <c r="A310" t="s">
        <v>1699</v>
      </c>
      <c r="B310" t="s">
        <v>40</v>
      </c>
      <c r="C310" t="s">
        <v>363</v>
      </c>
      <c r="D310" t="s">
        <v>363</v>
      </c>
      <c r="E310">
        <v>48</v>
      </c>
      <c r="F310" s="31" t="s">
        <v>730</v>
      </c>
      <c r="G310" t="s">
        <v>358</v>
      </c>
      <c r="H310" s="27">
        <v>46087</v>
      </c>
      <c r="J310" t="s">
        <v>388</v>
      </c>
    </row>
    <row r="311" spans="1:10" ht="15" customHeight="1" x14ac:dyDescent="0.25">
      <c r="A311" t="s">
        <v>1700</v>
      </c>
      <c r="B311" t="s">
        <v>40</v>
      </c>
      <c r="C311" t="s">
        <v>245</v>
      </c>
      <c r="D311" t="s">
        <v>363</v>
      </c>
      <c r="E311">
        <v>48</v>
      </c>
      <c r="F311" s="31" t="s">
        <v>730</v>
      </c>
      <c r="G311" t="s">
        <v>358</v>
      </c>
      <c r="H311" s="27">
        <v>46087</v>
      </c>
      <c r="J311" t="s">
        <v>388</v>
      </c>
    </row>
    <row r="312" spans="1:10" ht="15" customHeight="1" x14ac:dyDescent="0.25">
      <c r="A312" t="s">
        <v>1701</v>
      </c>
      <c r="B312" t="s">
        <v>40</v>
      </c>
      <c r="C312" t="s">
        <v>363</v>
      </c>
      <c r="D312" t="s">
        <v>414</v>
      </c>
      <c r="E312">
        <v>48</v>
      </c>
      <c r="F312" s="31" t="s">
        <v>730</v>
      </c>
      <c r="G312" t="s">
        <v>358</v>
      </c>
      <c r="H312" s="27">
        <v>46089</v>
      </c>
      <c r="J312" t="s">
        <v>388</v>
      </c>
    </row>
    <row r="313" spans="1:10" ht="15" customHeight="1" x14ac:dyDescent="0.25">
      <c r="A313" t="s">
        <v>1702</v>
      </c>
      <c r="B313" t="s">
        <v>40</v>
      </c>
      <c r="C313" t="s">
        <v>363</v>
      </c>
      <c r="D313" t="s">
        <v>414</v>
      </c>
      <c r="E313">
        <v>48</v>
      </c>
      <c r="F313" t="s">
        <v>730</v>
      </c>
      <c r="G313" t="s">
        <v>358</v>
      </c>
      <c r="H313" s="27">
        <v>46089</v>
      </c>
      <c r="J313" t="s">
        <v>388</v>
      </c>
    </row>
    <row r="314" spans="1:10" ht="15" customHeight="1" x14ac:dyDescent="0.25">
      <c r="A314" t="s">
        <v>1703</v>
      </c>
      <c r="B314" t="s">
        <v>40</v>
      </c>
      <c r="C314" t="s">
        <v>378</v>
      </c>
      <c r="D314" t="s">
        <v>414</v>
      </c>
      <c r="E314">
        <v>48</v>
      </c>
      <c r="F314" t="s">
        <v>730</v>
      </c>
      <c r="G314" t="s">
        <v>358</v>
      </c>
      <c r="H314" s="27">
        <v>46089</v>
      </c>
      <c r="J314" t="s">
        <v>388</v>
      </c>
    </row>
    <row r="315" spans="1:10" ht="15" customHeight="1" x14ac:dyDescent="0.25">
      <c r="A315" t="s">
        <v>1704</v>
      </c>
      <c r="B315" t="s">
        <v>40</v>
      </c>
      <c r="C315" t="s">
        <v>378</v>
      </c>
      <c r="D315" t="s">
        <v>414</v>
      </c>
      <c r="E315">
        <v>48</v>
      </c>
      <c r="F315" t="s">
        <v>730</v>
      </c>
      <c r="G315" t="s">
        <v>358</v>
      </c>
      <c r="H315" s="27">
        <v>46089</v>
      </c>
      <c r="J315" t="s">
        <v>388</v>
      </c>
    </row>
    <row r="316" spans="1:10" ht="15" customHeight="1" x14ac:dyDescent="0.25">
      <c r="A316" t="s">
        <v>1705</v>
      </c>
      <c r="B316" t="s">
        <v>40</v>
      </c>
      <c r="C316" t="s">
        <v>377</v>
      </c>
      <c r="D316" t="s">
        <v>1706</v>
      </c>
      <c r="E316">
        <v>168</v>
      </c>
      <c r="F316" s="31" t="s">
        <v>271</v>
      </c>
      <c r="G316" t="s">
        <v>358</v>
      </c>
      <c r="H316" s="27">
        <v>46090</v>
      </c>
      <c r="I316" t="s">
        <v>1707</v>
      </c>
      <c r="J316" t="s">
        <v>388</v>
      </c>
    </row>
    <row r="317" spans="1:10" ht="15" customHeight="1" x14ac:dyDescent="0.25">
      <c r="A317" t="s">
        <v>1708</v>
      </c>
      <c r="B317" t="s">
        <v>40</v>
      </c>
      <c r="C317" t="s">
        <v>377</v>
      </c>
      <c r="D317" t="s">
        <v>363</v>
      </c>
      <c r="E317">
        <v>168</v>
      </c>
      <c r="F317" s="31" t="s">
        <v>271</v>
      </c>
      <c r="G317" t="s">
        <v>358</v>
      </c>
      <c r="H317" s="27">
        <v>46090</v>
      </c>
      <c r="I317" t="s">
        <v>1707</v>
      </c>
      <c r="J317" t="s">
        <v>388</v>
      </c>
    </row>
    <row r="318" spans="1:10" ht="15" customHeight="1" x14ac:dyDescent="0.25">
      <c r="A318" t="s">
        <v>1709</v>
      </c>
      <c r="B318" t="s">
        <v>40</v>
      </c>
      <c r="C318" t="s">
        <v>377</v>
      </c>
      <c r="D318" t="s">
        <v>363</v>
      </c>
      <c r="E318">
        <v>48</v>
      </c>
      <c r="F318" t="s">
        <v>730</v>
      </c>
      <c r="G318" t="s">
        <v>358</v>
      </c>
      <c r="H318" s="27">
        <v>46090</v>
      </c>
      <c r="J318" t="s">
        <v>388</v>
      </c>
    </row>
    <row r="319" spans="1:10" ht="15" customHeight="1" x14ac:dyDescent="0.25">
      <c r="A319" t="s">
        <v>1710</v>
      </c>
      <c r="B319" t="s">
        <v>40</v>
      </c>
      <c r="C319" t="s">
        <v>377</v>
      </c>
      <c r="D319" t="s">
        <v>363</v>
      </c>
      <c r="E319">
        <v>48</v>
      </c>
      <c r="F319" t="s">
        <v>730</v>
      </c>
      <c r="G319" t="s">
        <v>358</v>
      </c>
      <c r="H319" s="27">
        <v>46090</v>
      </c>
      <c r="J319" t="s">
        <v>388</v>
      </c>
    </row>
    <row r="320" spans="1:10" ht="15" customHeight="1" x14ac:dyDescent="0.25">
      <c r="A320" t="s">
        <v>1711</v>
      </c>
      <c r="B320" t="s">
        <v>40</v>
      </c>
      <c r="C320" t="s">
        <v>377</v>
      </c>
      <c r="E320">
        <v>48</v>
      </c>
      <c r="F320" t="s">
        <v>730</v>
      </c>
      <c r="G320" t="s">
        <v>358</v>
      </c>
      <c r="H320" s="27">
        <v>46091</v>
      </c>
      <c r="J320" t="s">
        <v>388</v>
      </c>
    </row>
    <row r="321" spans="1:10" ht="15" customHeight="1" x14ac:dyDescent="0.25">
      <c r="A321" t="s">
        <v>1712</v>
      </c>
      <c r="B321" t="s">
        <v>40</v>
      </c>
      <c r="C321" t="s">
        <v>363</v>
      </c>
      <c r="D321" t="s">
        <v>245</v>
      </c>
      <c r="E321">
        <v>48</v>
      </c>
      <c r="F321" t="s">
        <v>730</v>
      </c>
      <c r="G321" t="s">
        <v>358</v>
      </c>
      <c r="H321" s="27">
        <v>46092</v>
      </c>
      <c r="J321" t="s">
        <v>388</v>
      </c>
    </row>
    <row r="322" spans="1:10" ht="15" customHeight="1" x14ac:dyDescent="0.25">
      <c r="A322" t="s">
        <v>1713</v>
      </c>
      <c r="B322" t="s">
        <v>40</v>
      </c>
      <c r="C322" t="s">
        <v>363</v>
      </c>
      <c r="D322" t="s">
        <v>245</v>
      </c>
      <c r="E322">
        <v>48</v>
      </c>
      <c r="F322" t="s">
        <v>730</v>
      </c>
      <c r="G322" t="s">
        <v>358</v>
      </c>
      <c r="H322" s="27">
        <v>46092</v>
      </c>
      <c r="J322" t="s">
        <v>388</v>
      </c>
    </row>
    <row r="323" spans="1:10" ht="15" customHeight="1" x14ac:dyDescent="0.25">
      <c r="A323" t="s">
        <v>1714</v>
      </c>
      <c r="B323" t="s">
        <v>40</v>
      </c>
      <c r="C323" t="s">
        <v>363</v>
      </c>
      <c r="D323" t="s">
        <v>245</v>
      </c>
      <c r="E323">
        <v>48</v>
      </c>
      <c r="F323" t="s">
        <v>730</v>
      </c>
      <c r="G323" t="s">
        <v>358</v>
      </c>
      <c r="H323" s="27">
        <v>46092</v>
      </c>
      <c r="J323" t="s">
        <v>388</v>
      </c>
    </row>
    <row r="324" spans="1:10" ht="15" customHeight="1" x14ac:dyDescent="0.25">
      <c r="A324" t="s">
        <v>1715</v>
      </c>
      <c r="B324" t="s">
        <v>40</v>
      </c>
      <c r="C324" t="s">
        <v>363</v>
      </c>
      <c r="D324" t="s">
        <v>378</v>
      </c>
      <c r="E324">
        <v>48</v>
      </c>
      <c r="F324" t="s">
        <v>730</v>
      </c>
      <c r="G324" t="s">
        <v>358</v>
      </c>
      <c r="H324" s="27">
        <v>46093</v>
      </c>
      <c r="J324" t="s">
        <v>388</v>
      </c>
    </row>
    <row r="325" spans="1:10" ht="15" customHeight="1" x14ac:dyDescent="0.25">
      <c r="A325" t="s">
        <v>1716</v>
      </c>
      <c r="B325" t="s">
        <v>40</v>
      </c>
      <c r="C325" t="s">
        <v>245</v>
      </c>
      <c r="D325" t="s">
        <v>245</v>
      </c>
      <c r="E325">
        <v>48</v>
      </c>
      <c r="F325" t="s">
        <v>730</v>
      </c>
      <c r="G325" t="s">
        <v>358</v>
      </c>
      <c r="H325" s="27">
        <v>46094</v>
      </c>
      <c r="J325" t="s">
        <v>388</v>
      </c>
    </row>
    <row r="326" spans="1:10" ht="15" customHeight="1" x14ac:dyDescent="0.25">
      <c r="A326" t="s">
        <v>1717</v>
      </c>
      <c r="B326" t="s">
        <v>40</v>
      </c>
      <c r="C326" t="s">
        <v>378</v>
      </c>
      <c r="D326" t="s">
        <v>245</v>
      </c>
      <c r="E326">
        <v>48</v>
      </c>
      <c r="F326" t="s">
        <v>730</v>
      </c>
      <c r="G326" t="s">
        <v>358</v>
      </c>
      <c r="H326" s="27">
        <v>46095</v>
      </c>
      <c r="J326" t="s">
        <v>388</v>
      </c>
    </row>
    <row r="327" spans="1:10" ht="15" customHeight="1" x14ac:dyDescent="0.25">
      <c r="A327" t="s">
        <v>1718</v>
      </c>
      <c r="B327" t="s">
        <v>40</v>
      </c>
      <c r="C327" t="s">
        <v>378</v>
      </c>
      <c r="D327" t="s">
        <v>245</v>
      </c>
      <c r="E327">
        <v>48</v>
      </c>
      <c r="F327" t="s">
        <v>730</v>
      </c>
      <c r="G327" t="s">
        <v>358</v>
      </c>
      <c r="H327" s="27">
        <v>46095</v>
      </c>
      <c r="J327" t="s">
        <v>388</v>
      </c>
    </row>
    <row r="328" spans="1:10" ht="15" customHeight="1" x14ac:dyDescent="0.25">
      <c r="A328" t="s">
        <v>1719</v>
      </c>
      <c r="B328" t="s">
        <v>40</v>
      </c>
      <c r="C328" t="s">
        <v>378</v>
      </c>
      <c r="D328" t="s">
        <v>363</v>
      </c>
      <c r="E328">
        <v>48</v>
      </c>
      <c r="F328" t="s">
        <v>730</v>
      </c>
      <c r="G328" t="s">
        <v>358</v>
      </c>
      <c r="H328" s="27">
        <v>46096</v>
      </c>
      <c r="J328" t="s">
        <v>388</v>
      </c>
    </row>
    <row r="329" spans="1:10" ht="15" customHeight="1" x14ac:dyDescent="0.25">
      <c r="A329" t="s">
        <v>1720</v>
      </c>
      <c r="B329" t="s">
        <v>40</v>
      </c>
      <c r="C329" t="s">
        <v>378</v>
      </c>
      <c r="D329" t="s">
        <v>363</v>
      </c>
      <c r="E329">
        <v>48</v>
      </c>
      <c r="F329" t="s">
        <v>730</v>
      </c>
      <c r="G329" t="s">
        <v>358</v>
      </c>
      <c r="H329" s="27">
        <v>46096</v>
      </c>
      <c r="J329" t="s">
        <v>388</v>
      </c>
    </row>
    <row r="330" spans="1:10" ht="15" customHeight="1" x14ac:dyDescent="0.25">
      <c r="A330" t="s">
        <v>1721</v>
      </c>
      <c r="B330" t="s">
        <v>40</v>
      </c>
      <c r="C330" t="s">
        <v>245</v>
      </c>
      <c r="D330" t="s">
        <v>377</v>
      </c>
      <c r="E330">
        <v>48</v>
      </c>
      <c r="F330" t="s">
        <v>730</v>
      </c>
      <c r="G330" t="s">
        <v>358</v>
      </c>
      <c r="H330" s="27">
        <v>46097</v>
      </c>
      <c r="J330" t="s">
        <v>388</v>
      </c>
    </row>
    <row r="331" spans="1:10" ht="15" customHeight="1" x14ac:dyDescent="0.25">
      <c r="A331" t="s">
        <v>1722</v>
      </c>
      <c r="B331" t="s">
        <v>40</v>
      </c>
      <c r="C331" t="s">
        <v>245</v>
      </c>
      <c r="D331" t="s">
        <v>377</v>
      </c>
      <c r="E331">
        <v>48</v>
      </c>
      <c r="F331" t="s">
        <v>730</v>
      </c>
      <c r="G331" t="s">
        <v>358</v>
      </c>
      <c r="H331" s="27">
        <v>46097</v>
      </c>
      <c r="J331" t="s">
        <v>388</v>
      </c>
    </row>
    <row r="332" spans="1:10" ht="15" customHeight="1" x14ac:dyDescent="0.25">
      <c r="A332" t="s">
        <v>1723</v>
      </c>
      <c r="B332" t="s">
        <v>40</v>
      </c>
      <c r="C332" t="s">
        <v>363</v>
      </c>
      <c r="D332" t="s">
        <v>414</v>
      </c>
      <c r="E332">
        <v>48</v>
      </c>
      <c r="F332" t="s">
        <v>730</v>
      </c>
      <c r="G332" t="s">
        <v>358</v>
      </c>
      <c r="H332" s="27">
        <v>46098</v>
      </c>
      <c r="J332" t="s">
        <v>388</v>
      </c>
    </row>
    <row r="333" spans="1:10" ht="15" customHeight="1" x14ac:dyDescent="0.25">
      <c r="A333" t="s">
        <v>1724</v>
      </c>
      <c r="B333" t="s">
        <v>40</v>
      </c>
      <c r="C333" t="s">
        <v>377</v>
      </c>
      <c r="D333" t="s">
        <v>414</v>
      </c>
      <c r="E333">
        <v>48</v>
      </c>
      <c r="F333" t="s">
        <v>730</v>
      </c>
      <c r="G333" t="s">
        <v>358</v>
      </c>
      <c r="H333" s="27">
        <v>46099</v>
      </c>
      <c r="J333" t="s">
        <v>388</v>
      </c>
    </row>
    <row r="334" spans="1:10" ht="15" customHeight="1" x14ac:dyDescent="0.25">
      <c r="A334" t="s">
        <v>1725</v>
      </c>
      <c r="B334" t="s">
        <v>40</v>
      </c>
      <c r="C334" t="s">
        <v>414</v>
      </c>
      <c r="D334" t="s">
        <v>378</v>
      </c>
      <c r="E334">
        <v>48</v>
      </c>
      <c r="F334" t="s">
        <v>730</v>
      </c>
      <c r="G334" t="s">
        <v>358</v>
      </c>
      <c r="H334" s="27">
        <v>46101</v>
      </c>
      <c r="J334" t="s">
        <v>388</v>
      </c>
    </row>
    <row r="335" spans="1:10" ht="15" customHeight="1" x14ac:dyDescent="0.25">
      <c r="A335" t="s">
        <v>1726</v>
      </c>
      <c r="B335" t="s">
        <v>40</v>
      </c>
      <c r="C335" t="s">
        <v>245</v>
      </c>
      <c r="D335" t="s">
        <v>363</v>
      </c>
      <c r="E335">
        <v>48</v>
      </c>
      <c r="F335" t="s">
        <v>397</v>
      </c>
      <c r="G335" t="s">
        <v>358</v>
      </c>
      <c r="H335" s="27">
        <v>46104</v>
      </c>
      <c r="I335" t="s">
        <v>1727</v>
      </c>
      <c r="J335" t="s">
        <v>388</v>
      </c>
    </row>
    <row r="336" spans="1:10" ht="15" customHeight="1" x14ac:dyDescent="0.25">
      <c r="A336" t="s">
        <v>1728</v>
      </c>
      <c r="B336" t="s">
        <v>40</v>
      </c>
      <c r="C336" t="s">
        <v>245</v>
      </c>
      <c r="D336" t="s">
        <v>363</v>
      </c>
      <c r="E336">
        <v>48</v>
      </c>
      <c r="F336" t="s">
        <v>397</v>
      </c>
      <c r="G336" t="s">
        <v>358</v>
      </c>
      <c r="H336" s="27">
        <v>46104</v>
      </c>
      <c r="I336" t="s">
        <v>1729</v>
      </c>
      <c r="J336" t="s">
        <v>388</v>
      </c>
    </row>
    <row r="337" spans="1:10" ht="15" customHeight="1" x14ac:dyDescent="0.25">
      <c r="A337" t="s">
        <v>1730</v>
      </c>
      <c r="B337" t="s">
        <v>40</v>
      </c>
      <c r="C337" t="s">
        <v>363</v>
      </c>
      <c r="D337" t="s">
        <v>245</v>
      </c>
      <c r="E337">
        <v>19.23</v>
      </c>
      <c r="F337" t="s">
        <v>730</v>
      </c>
      <c r="G337" t="s">
        <v>358</v>
      </c>
      <c r="H337" s="27">
        <v>46106</v>
      </c>
      <c r="I337" t="s">
        <v>1731</v>
      </c>
    </row>
    <row r="338" spans="1:10" ht="15" customHeight="1" x14ac:dyDescent="0.25">
      <c r="A338" t="s">
        <v>1732</v>
      </c>
      <c r="B338" t="s">
        <v>40</v>
      </c>
      <c r="C338" t="s">
        <v>363</v>
      </c>
      <c r="D338" t="s">
        <v>245</v>
      </c>
      <c r="E338">
        <v>19.23</v>
      </c>
      <c r="F338" t="s">
        <v>730</v>
      </c>
      <c r="G338" t="s">
        <v>358</v>
      </c>
      <c r="H338" s="27">
        <v>46106</v>
      </c>
      <c r="I338" t="s">
        <v>1733</v>
      </c>
      <c r="J338" t="s">
        <v>388</v>
      </c>
    </row>
    <row r="339" spans="1:10" ht="15" customHeight="1" x14ac:dyDescent="0.25">
      <c r="A339" t="s">
        <v>1734</v>
      </c>
      <c r="B339" t="s">
        <v>40</v>
      </c>
      <c r="C339" t="s">
        <v>363</v>
      </c>
      <c r="D339" t="s">
        <v>245</v>
      </c>
      <c r="E339">
        <v>48</v>
      </c>
      <c r="F339" t="s">
        <v>730</v>
      </c>
      <c r="G339" t="s">
        <v>358</v>
      </c>
      <c r="H339" s="27">
        <v>46106</v>
      </c>
      <c r="J339" t="s">
        <v>388</v>
      </c>
    </row>
    <row r="340" spans="1:10" ht="15" customHeight="1" x14ac:dyDescent="0.25">
      <c r="A340" t="s">
        <v>1735</v>
      </c>
      <c r="B340" t="s">
        <v>40</v>
      </c>
      <c r="C340" t="s">
        <v>245</v>
      </c>
      <c r="D340" t="s">
        <v>245</v>
      </c>
      <c r="E340">
        <v>23.5</v>
      </c>
      <c r="F340" t="s">
        <v>730</v>
      </c>
      <c r="G340" t="s">
        <v>358</v>
      </c>
      <c r="H340" s="27">
        <v>46107</v>
      </c>
      <c r="I340" t="s">
        <v>1736</v>
      </c>
      <c r="J340" t="s">
        <v>388</v>
      </c>
    </row>
    <row r="341" spans="1:10" ht="15" customHeight="1" x14ac:dyDescent="0.25">
      <c r="A341" t="s">
        <v>1737</v>
      </c>
      <c r="B341" t="s">
        <v>40</v>
      </c>
      <c r="C341" t="s">
        <v>245</v>
      </c>
      <c r="D341" t="s">
        <v>245</v>
      </c>
      <c r="E341">
        <v>23.5</v>
      </c>
      <c r="F341" t="s">
        <v>730</v>
      </c>
      <c r="G341" t="s">
        <v>358</v>
      </c>
      <c r="H341" s="27">
        <v>46107</v>
      </c>
      <c r="I341" t="s">
        <v>1738</v>
      </c>
      <c r="J341" t="s">
        <v>388</v>
      </c>
    </row>
    <row r="342" spans="1:10" ht="15" customHeight="1" x14ac:dyDescent="0.25">
      <c r="A342" t="s">
        <v>1739</v>
      </c>
      <c r="B342" t="s">
        <v>40</v>
      </c>
      <c r="C342" t="s">
        <v>245</v>
      </c>
      <c r="D342" t="s">
        <v>377</v>
      </c>
      <c r="E342">
        <v>48</v>
      </c>
      <c r="F342" t="s">
        <v>730</v>
      </c>
      <c r="G342" t="s">
        <v>358</v>
      </c>
      <c r="H342" s="27">
        <v>46109</v>
      </c>
      <c r="J342" t="s">
        <v>388</v>
      </c>
    </row>
    <row r="343" spans="1:10" ht="15" customHeight="1" x14ac:dyDescent="0.25">
      <c r="A343" t="s">
        <v>1740</v>
      </c>
      <c r="B343" t="s">
        <v>40</v>
      </c>
      <c r="C343" t="s">
        <v>363</v>
      </c>
      <c r="D343" t="s">
        <v>378</v>
      </c>
      <c r="E343">
        <v>48</v>
      </c>
      <c r="F343" t="s">
        <v>730</v>
      </c>
      <c r="G343" t="s">
        <v>358</v>
      </c>
      <c r="H343" s="27">
        <v>46110</v>
      </c>
      <c r="J343" t="s">
        <v>388</v>
      </c>
    </row>
    <row r="344" spans="1:10" ht="15" customHeight="1" x14ac:dyDescent="0.25">
      <c r="A344" t="s">
        <v>1741</v>
      </c>
      <c r="B344" t="s">
        <v>40</v>
      </c>
      <c r="C344" t="s">
        <v>363</v>
      </c>
      <c r="D344" t="s">
        <v>378</v>
      </c>
      <c r="E344">
        <v>48</v>
      </c>
      <c r="F344" t="s">
        <v>730</v>
      </c>
      <c r="G344" t="s">
        <v>358</v>
      </c>
      <c r="H344" s="27">
        <v>46110</v>
      </c>
      <c r="J344" t="s">
        <v>388</v>
      </c>
    </row>
    <row r="345" spans="1:10" ht="15" customHeight="1" x14ac:dyDescent="0.25">
      <c r="A345" t="s">
        <v>1742</v>
      </c>
      <c r="B345" t="s">
        <v>40</v>
      </c>
      <c r="C345" t="s">
        <v>363</v>
      </c>
      <c r="D345" t="s">
        <v>378</v>
      </c>
      <c r="E345">
        <v>48</v>
      </c>
      <c r="F345" t="s">
        <v>730</v>
      </c>
      <c r="G345" t="s">
        <v>358</v>
      </c>
      <c r="H345" s="27">
        <v>46110</v>
      </c>
      <c r="J345" t="s">
        <v>388</v>
      </c>
    </row>
    <row r="346" spans="1:10" ht="15" customHeight="1" x14ac:dyDescent="0.25">
      <c r="A346" t="s">
        <v>1743</v>
      </c>
      <c r="B346" t="s">
        <v>40</v>
      </c>
      <c r="C346" t="s">
        <v>363</v>
      </c>
      <c r="D346" t="s">
        <v>392</v>
      </c>
      <c r="E346">
        <v>48</v>
      </c>
      <c r="F346" t="s">
        <v>730</v>
      </c>
      <c r="G346" t="s">
        <v>358</v>
      </c>
      <c r="H346" s="27">
        <v>46110</v>
      </c>
      <c r="J346" t="s">
        <v>388</v>
      </c>
    </row>
    <row r="347" spans="1:10" ht="15" customHeight="1" x14ac:dyDescent="0.25">
      <c r="A347" t="s">
        <v>1744</v>
      </c>
      <c r="B347" t="s">
        <v>40</v>
      </c>
      <c r="C347" t="s">
        <v>377</v>
      </c>
      <c r="D347" t="s">
        <v>392</v>
      </c>
      <c r="E347">
        <v>48</v>
      </c>
      <c r="F347" t="s">
        <v>730</v>
      </c>
      <c r="G347" t="s">
        <v>358</v>
      </c>
      <c r="H347" s="27">
        <v>46111</v>
      </c>
      <c r="J347" t="s">
        <v>388</v>
      </c>
    </row>
    <row r="348" spans="1:10" ht="15" customHeight="1" x14ac:dyDescent="0.25">
      <c r="A348" t="s">
        <v>1745</v>
      </c>
      <c r="B348" t="s">
        <v>40</v>
      </c>
      <c r="C348" t="s">
        <v>377</v>
      </c>
      <c r="D348" t="s">
        <v>392</v>
      </c>
      <c r="E348">
        <v>48</v>
      </c>
      <c r="F348" t="s">
        <v>730</v>
      </c>
      <c r="G348" t="s">
        <v>358</v>
      </c>
      <c r="H348" s="27">
        <v>46111</v>
      </c>
      <c r="J348" t="s">
        <v>388</v>
      </c>
    </row>
    <row r="349" spans="1:10" ht="15" customHeight="1" x14ac:dyDescent="0.25">
      <c r="A349" t="s">
        <v>1746</v>
      </c>
      <c r="B349" t="s">
        <v>40</v>
      </c>
      <c r="C349" t="s">
        <v>363</v>
      </c>
      <c r="D349" t="s">
        <v>392</v>
      </c>
      <c r="E349">
        <v>48</v>
      </c>
      <c r="F349" t="s">
        <v>730</v>
      </c>
      <c r="G349" t="s">
        <v>358</v>
      </c>
      <c r="H349" s="27">
        <v>46112</v>
      </c>
      <c r="J349" t="s">
        <v>388</v>
      </c>
    </row>
    <row r="350" spans="1:10" ht="15" customHeight="1" x14ac:dyDescent="0.25">
      <c r="A350" t="s">
        <v>1747</v>
      </c>
      <c r="B350" t="s">
        <v>40</v>
      </c>
      <c r="C350" t="s">
        <v>363</v>
      </c>
      <c r="D350" t="s">
        <v>392</v>
      </c>
      <c r="E350">
        <v>48</v>
      </c>
      <c r="F350" t="s">
        <v>730</v>
      </c>
      <c r="G350" t="s">
        <v>358</v>
      </c>
      <c r="H350" s="27">
        <v>46112</v>
      </c>
      <c r="J350" t="s">
        <v>388</v>
      </c>
    </row>
    <row r="351" spans="1:10" ht="15" customHeight="1" x14ac:dyDescent="0.25">
      <c r="A351" t="s">
        <v>1748</v>
      </c>
      <c r="B351" t="s">
        <v>40</v>
      </c>
      <c r="C351" t="s">
        <v>363</v>
      </c>
      <c r="D351" t="s">
        <v>245</v>
      </c>
      <c r="E351">
        <v>48</v>
      </c>
      <c r="F351" t="s">
        <v>730</v>
      </c>
      <c r="G351" t="s">
        <v>358</v>
      </c>
      <c r="H351" s="27">
        <v>46113</v>
      </c>
      <c r="J351" t="s">
        <v>388</v>
      </c>
    </row>
    <row r="352" spans="1:10" ht="15" customHeight="1" x14ac:dyDescent="0.25">
      <c r="A352" t="s">
        <v>1749</v>
      </c>
      <c r="B352" t="s">
        <v>40</v>
      </c>
      <c r="C352" t="s">
        <v>392</v>
      </c>
      <c r="D352" t="s">
        <v>245</v>
      </c>
      <c r="E352">
        <v>48</v>
      </c>
      <c r="F352" t="s">
        <v>730</v>
      </c>
      <c r="G352" t="s">
        <v>358</v>
      </c>
      <c r="H352" s="27">
        <v>46113</v>
      </c>
      <c r="J352" t="s">
        <v>388</v>
      </c>
    </row>
    <row r="353" spans="1:10" ht="15" customHeight="1" x14ac:dyDescent="0.25">
      <c r="A353" t="s">
        <v>1750</v>
      </c>
      <c r="B353" t="s">
        <v>40</v>
      </c>
      <c r="C353" t="s">
        <v>392</v>
      </c>
      <c r="D353" t="s">
        <v>245</v>
      </c>
      <c r="E353">
        <v>48</v>
      </c>
      <c r="F353" t="s">
        <v>730</v>
      </c>
      <c r="G353" t="s">
        <v>358</v>
      </c>
      <c r="H353" s="27">
        <v>46113</v>
      </c>
      <c r="J353" t="s">
        <v>388</v>
      </c>
    </row>
    <row r="354" spans="1:10" ht="15" customHeight="1" x14ac:dyDescent="0.25">
      <c r="A354" t="s">
        <v>1751</v>
      </c>
      <c r="B354" t="s">
        <v>566</v>
      </c>
      <c r="C354" t="s">
        <v>392</v>
      </c>
      <c r="E354">
        <v>46.31</v>
      </c>
      <c r="F354" s="31" t="s">
        <v>271</v>
      </c>
      <c r="G354" t="s">
        <v>358</v>
      </c>
      <c r="H354" s="27">
        <v>46129</v>
      </c>
      <c r="I354" t="s">
        <v>1183</v>
      </c>
      <c r="J354" t="s">
        <v>411</v>
      </c>
    </row>
    <row r="355" spans="1:10" ht="15" customHeight="1" x14ac:dyDescent="0.25">
      <c r="A355" t="s">
        <v>1752</v>
      </c>
      <c r="B355" t="s">
        <v>40</v>
      </c>
      <c r="C355" t="s">
        <v>414</v>
      </c>
      <c r="D355" t="s">
        <v>245</v>
      </c>
      <c r="E355">
        <v>24</v>
      </c>
      <c r="F355" t="s">
        <v>423</v>
      </c>
      <c r="G355" t="s">
        <v>358</v>
      </c>
      <c r="H355" s="27">
        <v>46135</v>
      </c>
      <c r="I355" t="s">
        <v>426</v>
      </c>
      <c r="J355" t="s">
        <v>411</v>
      </c>
    </row>
    <row r="356" spans="1:10" ht="15" customHeight="1" x14ac:dyDescent="0.25">
      <c r="A356" t="s">
        <v>1753</v>
      </c>
      <c r="B356" t="s">
        <v>40</v>
      </c>
      <c r="C356" t="s">
        <v>414</v>
      </c>
      <c r="D356" t="s">
        <v>245</v>
      </c>
      <c r="E356">
        <v>24</v>
      </c>
      <c r="F356" t="s">
        <v>423</v>
      </c>
      <c r="G356" t="s">
        <v>358</v>
      </c>
      <c r="H356" s="27">
        <v>46135</v>
      </c>
      <c r="I356" t="s">
        <v>426</v>
      </c>
      <c r="J356" t="s">
        <v>411</v>
      </c>
    </row>
    <row r="357" spans="1:10" ht="15" customHeight="1" x14ac:dyDescent="0.25">
      <c r="A357" t="s">
        <v>1754</v>
      </c>
      <c r="B357" t="s">
        <v>40</v>
      </c>
      <c r="C357" t="s">
        <v>392</v>
      </c>
      <c r="D357" t="s">
        <v>245</v>
      </c>
      <c r="E357">
        <v>24</v>
      </c>
      <c r="F357" t="s">
        <v>423</v>
      </c>
      <c r="G357" t="s">
        <v>358</v>
      </c>
      <c r="H357" s="27">
        <v>46135</v>
      </c>
      <c r="I357" t="s">
        <v>426</v>
      </c>
      <c r="J357" t="s">
        <v>411</v>
      </c>
    </row>
    <row r="358" spans="1:10" ht="15" customHeight="1" x14ac:dyDescent="0.25">
      <c r="A358" t="s">
        <v>1755</v>
      </c>
      <c r="B358" t="s">
        <v>40</v>
      </c>
      <c r="C358" t="s">
        <v>378</v>
      </c>
      <c r="D358" t="s">
        <v>377</v>
      </c>
      <c r="E358">
        <v>24</v>
      </c>
      <c r="F358" t="s">
        <v>423</v>
      </c>
      <c r="G358" t="s">
        <v>358</v>
      </c>
      <c r="H358" s="27">
        <v>46136</v>
      </c>
      <c r="I358" t="s">
        <v>1194</v>
      </c>
      <c r="J358" t="s">
        <v>411</v>
      </c>
    </row>
    <row r="359" spans="1:10" ht="15" customHeight="1" x14ac:dyDescent="0.25">
      <c r="A359" t="s">
        <v>1756</v>
      </c>
      <c r="B359" t="s">
        <v>40</v>
      </c>
      <c r="C359" t="s">
        <v>378</v>
      </c>
      <c r="D359" t="s">
        <v>377</v>
      </c>
      <c r="E359">
        <v>24</v>
      </c>
      <c r="F359" t="s">
        <v>423</v>
      </c>
      <c r="G359" t="s">
        <v>358</v>
      </c>
      <c r="H359" s="27">
        <v>46136</v>
      </c>
      <c r="I359" t="s">
        <v>1194</v>
      </c>
      <c r="J359" t="s">
        <v>411</v>
      </c>
    </row>
    <row r="360" spans="1:10" ht="15" customHeight="1" x14ac:dyDescent="0.25">
      <c r="A360" t="s">
        <v>1757</v>
      </c>
      <c r="B360" t="s">
        <v>40</v>
      </c>
      <c r="C360" t="s">
        <v>378</v>
      </c>
      <c r="D360" t="s">
        <v>377</v>
      </c>
      <c r="E360">
        <v>24</v>
      </c>
      <c r="F360" t="s">
        <v>423</v>
      </c>
      <c r="G360" t="s">
        <v>358</v>
      </c>
      <c r="H360" s="27">
        <v>46136</v>
      </c>
      <c r="I360" t="s">
        <v>1194</v>
      </c>
    </row>
    <row r="361" spans="1:10" ht="15" customHeight="1" x14ac:dyDescent="0.25">
      <c r="A361" t="s">
        <v>1758</v>
      </c>
      <c r="B361" t="s">
        <v>40</v>
      </c>
      <c r="C361" t="s">
        <v>378</v>
      </c>
      <c r="D361" t="s">
        <v>377</v>
      </c>
      <c r="E361">
        <v>24</v>
      </c>
      <c r="F361" t="s">
        <v>423</v>
      </c>
      <c r="G361" t="s">
        <v>358</v>
      </c>
      <c r="H361" s="27">
        <v>46136</v>
      </c>
      <c r="I361" t="s">
        <v>1194</v>
      </c>
      <c r="J361" t="s">
        <v>411</v>
      </c>
    </row>
    <row r="362" spans="1:10" ht="15" customHeight="1" x14ac:dyDescent="0.25">
      <c r="A362" t="s">
        <v>1759</v>
      </c>
      <c r="B362" t="s">
        <v>40</v>
      </c>
      <c r="C362" t="s">
        <v>378</v>
      </c>
      <c r="D362" t="s">
        <v>377</v>
      </c>
      <c r="E362">
        <v>24</v>
      </c>
      <c r="F362" t="s">
        <v>423</v>
      </c>
      <c r="G362" t="s">
        <v>358</v>
      </c>
      <c r="H362" s="27">
        <v>46136</v>
      </c>
      <c r="I362" t="s">
        <v>1194</v>
      </c>
    </row>
    <row r="363" spans="1:10" ht="15" customHeight="1" x14ac:dyDescent="0.25">
      <c r="A363" t="s">
        <v>1760</v>
      </c>
      <c r="B363" t="s">
        <v>40</v>
      </c>
      <c r="C363" t="s">
        <v>378</v>
      </c>
      <c r="D363" t="s">
        <v>377</v>
      </c>
      <c r="E363">
        <v>24</v>
      </c>
      <c r="F363" t="s">
        <v>423</v>
      </c>
      <c r="G363" t="s">
        <v>358</v>
      </c>
      <c r="H363" s="27">
        <v>46136</v>
      </c>
      <c r="I363" t="s">
        <v>1194</v>
      </c>
      <c r="J363" t="s">
        <v>411</v>
      </c>
    </row>
    <row r="364" spans="1:10" ht="15" customHeight="1" x14ac:dyDescent="0.25">
      <c r="A364" t="s">
        <v>1761</v>
      </c>
      <c r="B364" t="s">
        <v>40</v>
      </c>
      <c r="C364" t="s">
        <v>245</v>
      </c>
      <c r="D364" t="s">
        <v>377</v>
      </c>
      <c r="E364">
        <v>48</v>
      </c>
      <c r="F364" t="s">
        <v>423</v>
      </c>
      <c r="G364" t="s">
        <v>358</v>
      </c>
      <c r="H364" s="27">
        <v>46138</v>
      </c>
      <c r="I364" t="s">
        <v>1762</v>
      </c>
      <c r="J364" t="s">
        <v>411</v>
      </c>
    </row>
    <row r="365" spans="1:10" ht="15" customHeight="1" x14ac:dyDescent="0.25">
      <c r="A365" t="s">
        <v>1763</v>
      </c>
      <c r="B365" t="s">
        <v>40</v>
      </c>
      <c r="C365" t="s">
        <v>377</v>
      </c>
      <c r="D365" t="s">
        <v>392</v>
      </c>
      <c r="E365">
        <v>24</v>
      </c>
      <c r="F365" t="s">
        <v>423</v>
      </c>
      <c r="G365" t="s">
        <v>358</v>
      </c>
      <c r="H365" s="27">
        <v>46139</v>
      </c>
    </row>
    <row r="366" spans="1:10" ht="15" customHeight="1" x14ac:dyDescent="0.25">
      <c r="A366" t="s">
        <v>1764</v>
      </c>
      <c r="B366" t="s">
        <v>40</v>
      </c>
      <c r="C366" t="s">
        <v>377</v>
      </c>
      <c r="D366" t="s">
        <v>392</v>
      </c>
      <c r="E366">
        <v>24</v>
      </c>
      <c r="F366" t="s">
        <v>423</v>
      </c>
      <c r="G366" t="s">
        <v>358</v>
      </c>
      <c r="H366" s="27">
        <v>46139</v>
      </c>
      <c r="J366" t="s">
        <v>411</v>
      </c>
    </row>
    <row r="367" spans="1:10" ht="15" customHeight="1" x14ac:dyDescent="0.25">
      <c r="A367" t="s">
        <v>1765</v>
      </c>
      <c r="B367" t="s">
        <v>40</v>
      </c>
      <c r="C367" t="s">
        <v>377</v>
      </c>
      <c r="D367" t="s">
        <v>392</v>
      </c>
      <c r="E367">
        <v>24</v>
      </c>
      <c r="F367" t="s">
        <v>423</v>
      </c>
      <c r="G367" t="s">
        <v>358</v>
      </c>
      <c r="H367" s="27">
        <v>46139</v>
      </c>
      <c r="I367" t="s">
        <v>1766</v>
      </c>
      <c r="J367" t="s">
        <v>411</v>
      </c>
    </row>
    <row r="368" spans="1:10" ht="15" customHeight="1" x14ac:dyDescent="0.25">
      <c r="A368" t="s">
        <v>1767</v>
      </c>
      <c r="B368" t="s">
        <v>40</v>
      </c>
      <c r="C368" t="s">
        <v>377</v>
      </c>
      <c r="D368" t="s">
        <v>392</v>
      </c>
      <c r="E368">
        <v>24</v>
      </c>
      <c r="F368" t="s">
        <v>423</v>
      </c>
      <c r="G368" t="s">
        <v>358</v>
      </c>
      <c r="H368" s="27">
        <v>46139</v>
      </c>
      <c r="J368" t="s">
        <v>411</v>
      </c>
    </row>
    <row r="369" spans="1:10" ht="15" customHeight="1" x14ac:dyDescent="0.25">
      <c r="A369" t="s">
        <v>1768</v>
      </c>
      <c r="B369" t="s">
        <v>40</v>
      </c>
      <c r="C369" t="s">
        <v>377</v>
      </c>
      <c r="D369" t="s">
        <v>392</v>
      </c>
      <c r="E369">
        <v>24</v>
      </c>
      <c r="F369" t="s">
        <v>423</v>
      </c>
      <c r="G369" t="s">
        <v>358</v>
      </c>
      <c r="H369" s="27">
        <v>46139</v>
      </c>
      <c r="J369" t="s">
        <v>411</v>
      </c>
    </row>
    <row r="370" spans="1:10" ht="15" customHeight="1" x14ac:dyDescent="0.25">
      <c r="A370" t="s">
        <v>1769</v>
      </c>
      <c r="B370" t="s">
        <v>40</v>
      </c>
      <c r="C370" t="s">
        <v>584</v>
      </c>
      <c r="D370" t="s">
        <v>414</v>
      </c>
      <c r="E370">
        <v>2316</v>
      </c>
      <c r="F370" t="s">
        <v>603</v>
      </c>
      <c r="G370" t="s">
        <v>358</v>
      </c>
      <c r="H370" s="27">
        <v>46140</v>
      </c>
      <c r="I370" t="s">
        <v>1770</v>
      </c>
    </row>
    <row r="371" spans="1:10" ht="15" customHeight="1" x14ac:dyDescent="0.25">
      <c r="A371" t="s">
        <v>1771</v>
      </c>
      <c r="B371" t="s">
        <v>40</v>
      </c>
      <c r="C371" t="s">
        <v>414</v>
      </c>
      <c r="D371" t="s">
        <v>245</v>
      </c>
      <c r="E371">
        <v>24</v>
      </c>
      <c r="F371" t="s">
        <v>423</v>
      </c>
      <c r="G371" t="s">
        <v>358</v>
      </c>
      <c r="H371" s="27">
        <v>46141</v>
      </c>
      <c r="J371" t="s">
        <v>411</v>
      </c>
    </row>
    <row r="372" spans="1:10" ht="15" customHeight="1" x14ac:dyDescent="0.25">
      <c r="A372" t="s">
        <v>1772</v>
      </c>
      <c r="B372" t="s">
        <v>40</v>
      </c>
      <c r="C372" t="s">
        <v>414</v>
      </c>
      <c r="D372" t="s">
        <v>245</v>
      </c>
      <c r="E372">
        <v>24</v>
      </c>
      <c r="F372" t="s">
        <v>423</v>
      </c>
      <c r="G372" t="s">
        <v>358</v>
      </c>
      <c r="H372" s="27">
        <v>46141</v>
      </c>
      <c r="J372" t="s">
        <v>411</v>
      </c>
    </row>
    <row r="373" spans="1:10" ht="15" customHeight="1" x14ac:dyDescent="0.25">
      <c r="A373" t="s">
        <v>1773</v>
      </c>
      <c r="B373" t="s">
        <v>40</v>
      </c>
      <c r="C373" t="s">
        <v>414</v>
      </c>
      <c r="D373" t="s">
        <v>245</v>
      </c>
      <c r="E373">
        <v>24</v>
      </c>
      <c r="F373" t="s">
        <v>423</v>
      </c>
      <c r="G373" t="s">
        <v>358</v>
      </c>
      <c r="H373" s="27">
        <v>46141</v>
      </c>
      <c r="J373" t="s">
        <v>411</v>
      </c>
    </row>
    <row r="374" spans="1:10" ht="15" customHeight="1" x14ac:dyDescent="0.25">
      <c r="A374" t="s">
        <v>1774</v>
      </c>
      <c r="B374" t="s">
        <v>40</v>
      </c>
      <c r="C374" t="s">
        <v>414</v>
      </c>
      <c r="D374" t="s">
        <v>377</v>
      </c>
      <c r="E374">
        <v>24</v>
      </c>
      <c r="F374" t="s">
        <v>423</v>
      </c>
      <c r="G374" t="s">
        <v>358</v>
      </c>
      <c r="H374" s="27">
        <v>46142</v>
      </c>
      <c r="J374" t="s">
        <v>411</v>
      </c>
    </row>
    <row r="375" spans="1:10" ht="15" customHeight="1" x14ac:dyDescent="0.25">
      <c r="A375" t="s">
        <v>1775</v>
      </c>
      <c r="B375" t="s">
        <v>40</v>
      </c>
      <c r="C375" t="s">
        <v>245</v>
      </c>
      <c r="D375" t="s">
        <v>378</v>
      </c>
      <c r="E375">
        <v>24</v>
      </c>
      <c r="F375" t="s">
        <v>423</v>
      </c>
      <c r="G375" t="s">
        <v>358</v>
      </c>
      <c r="H375" s="27">
        <v>46142</v>
      </c>
      <c r="J375" t="s">
        <v>411</v>
      </c>
    </row>
    <row r="376" spans="1:10" ht="15" customHeight="1" x14ac:dyDescent="0.25">
      <c r="A376" t="s">
        <v>1776</v>
      </c>
      <c r="B376" t="s">
        <v>40</v>
      </c>
      <c r="C376" t="s">
        <v>414</v>
      </c>
      <c r="E376">
        <v>24</v>
      </c>
      <c r="F376" t="s">
        <v>423</v>
      </c>
      <c r="G376" t="s">
        <v>358</v>
      </c>
      <c r="H376" s="27">
        <v>46143</v>
      </c>
      <c r="J376" t="s">
        <v>411</v>
      </c>
    </row>
    <row r="377" spans="1:10" ht="15" customHeight="1" x14ac:dyDescent="0.25">
      <c r="A377" t="s">
        <v>1777</v>
      </c>
      <c r="B377" t="s">
        <v>40</v>
      </c>
      <c r="C377" t="s">
        <v>414</v>
      </c>
      <c r="E377">
        <v>24</v>
      </c>
      <c r="F377" t="s">
        <v>423</v>
      </c>
      <c r="G377" t="s">
        <v>358</v>
      </c>
      <c r="H377" s="27">
        <v>46143</v>
      </c>
      <c r="J377" t="s">
        <v>411</v>
      </c>
    </row>
    <row r="378" spans="1:10" ht="15" customHeight="1" x14ac:dyDescent="0.25">
      <c r="A378" t="s">
        <v>1778</v>
      </c>
      <c r="B378" t="s">
        <v>40</v>
      </c>
      <c r="C378" t="s">
        <v>392</v>
      </c>
      <c r="E378">
        <v>24</v>
      </c>
      <c r="F378" t="s">
        <v>423</v>
      </c>
      <c r="G378" t="s">
        <v>358</v>
      </c>
      <c r="H378" s="27">
        <v>46143</v>
      </c>
      <c r="J378" t="s">
        <v>411</v>
      </c>
    </row>
    <row r="379" spans="1:10" ht="15" customHeight="1" x14ac:dyDescent="0.25">
      <c r="A379" t="s">
        <v>1779</v>
      </c>
      <c r="B379" t="s">
        <v>40</v>
      </c>
      <c r="C379" t="s">
        <v>392</v>
      </c>
      <c r="E379">
        <v>24</v>
      </c>
      <c r="F379" t="s">
        <v>423</v>
      </c>
      <c r="G379" t="s">
        <v>358</v>
      </c>
      <c r="H379" s="27">
        <v>46143</v>
      </c>
    </row>
    <row r="380" spans="1:10" ht="15" customHeight="1" x14ac:dyDescent="0.25">
      <c r="A380" t="s">
        <v>1780</v>
      </c>
      <c r="B380" t="s">
        <v>40</v>
      </c>
      <c r="C380" t="s">
        <v>392</v>
      </c>
      <c r="E380">
        <v>24</v>
      </c>
      <c r="F380" t="s">
        <v>423</v>
      </c>
      <c r="G380" t="s">
        <v>358</v>
      </c>
      <c r="H380" s="27">
        <v>46143</v>
      </c>
      <c r="J380" t="s">
        <v>411</v>
      </c>
    </row>
    <row r="381" spans="1:10" ht="15" customHeight="1" x14ac:dyDescent="0.25">
      <c r="A381" t="s">
        <v>1781</v>
      </c>
      <c r="B381" t="s">
        <v>40</v>
      </c>
      <c r="C381" t="s">
        <v>392</v>
      </c>
      <c r="E381">
        <v>24</v>
      </c>
      <c r="F381" t="s">
        <v>423</v>
      </c>
      <c r="G381" t="s">
        <v>358</v>
      </c>
      <c r="H381" s="27">
        <v>46143</v>
      </c>
      <c r="J381" t="s">
        <v>411</v>
      </c>
    </row>
    <row r="382" spans="1:10" ht="15" customHeight="1" x14ac:dyDescent="0.25">
      <c r="A382" t="s">
        <v>1782</v>
      </c>
      <c r="B382" t="s">
        <v>40</v>
      </c>
      <c r="C382" t="s">
        <v>392</v>
      </c>
      <c r="D382" t="s">
        <v>245</v>
      </c>
      <c r="E382">
        <v>24</v>
      </c>
      <c r="F382" t="s">
        <v>423</v>
      </c>
      <c r="G382" t="s">
        <v>358</v>
      </c>
      <c r="H382" s="27">
        <v>46144</v>
      </c>
      <c r="J382" t="s">
        <v>411</v>
      </c>
    </row>
    <row r="383" spans="1:10" ht="15" customHeight="1" x14ac:dyDescent="0.25">
      <c r="A383" t="s">
        <v>1783</v>
      </c>
      <c r="B383" t="s">
        <v>40</v>
      </c>
      <c r="C383" t="s">
        <v>392</v>
      </c>
      <c r="E383">
        <v>22</v>
      </c>
      <c r="F383" t="s">
        <v>423</v>
      </c>
      <c r="G383" t="s">
        <v>358</v>
      </c>
      <c r="H383" s="27">
        <v>46148</v>
      </c>
      <c r="J383" t="s">
        <v>440</v>
      </c>
    </row>
    <row r="384" spans="1:10" ht="15" customHeight="1" x14ac:dyDescent="0.25">
      <c r="A384" t="s">
        <v>1784</v>
      </c>
      <c r="B384" t="s">
        <v>40</v>
      </c>
      <c r="C384" t="s">
        <v>414</v>
      </c>
      <c r="E384">
        <v>22</v>
      </c>
      <c r="F384" t="s">
        <v>423</v>
      </c>
      <c r="G384" t="s">
        <v>358</v>
      </c>
      <c r="H384" s="27">
        <v>46148</v>
      </c>
      <c r="J384" t="s">
        <v>411</v>
      </c>
    </row>
    <row r="385" spans="1:10" ht="15" customHeight="1" x14ac:dyDescent="0.25">
      <c r="A385" t="s">
        <v>1785</v>
      </c>
      <c r="B385" t="s">
        <v>40</v>
      </c>
      <c r="C385" t="s">
        <v>392</v>
      </c>
      <c r="E385">
        <v>22</v>
      </c>
      <c r="F385" t="s">
        <v>423</v>
      </c>
      <c r="G385" t="s">
        <v>358</v>
      </c>
      <c r="H385" s="27">
        <v>46148</v>
      </c>
      <c r="J385" t="s">
        <v>411</v>
      </c>
    </row>
    <row r="386" spans="1:10" ht="15" customHeight="1" x14ac:dyDescent="0.25">
      <c r="A386" t="s">
        <v>1786</v>
      </c>
      <c r="B386" t="s">
        <v>40</v>
      </c>
      <c r="C386" t="s">
        <v>392</v>
      </c>
      <c r="E386">
        <v>22</v>
      </c>
      <c r="F386" t="s">
        <v>423</v>
      </c>
      <c r="G386" t="s">
        <v>358</v>
      </c>
      <c r="H386" s="27">
        <v>46148</v>
      </c>
      <c r="J386" t="s">
        <v>411</v>
      </c>
    </row>
    <row r="387" spans="1:10" ht="15" customHeight="1" x14ac:dyDescent="0.25">
      <c r="A387" t="s">
        <v>1787</v>
      </c>
      <c r="B387" t="s">
        <v>40</v>
      </c>
      <c r="C387" t="s">
        <v>392</v>
      </c>
      <c r="E387">
        <v>22</v>
      </c>
      <c r="F387" t="s">
        <v>423</v>
      </c>
      <c r="G387" t="s">
        <v>358</v>
      </c>
      <c r="H387" s="27">
        <v>46148</v>
      </c>
      <c r="J387" t="s">
        <v>411</v>
      </c>
    </row>
    <row r="388" spans="1:10" ht="15" customHeight="1" x14ac:dyDescent="0.25">
      <c r="A388" t="s">
        <v>1788</v>
      </c>
      <c r="B388" t="s">
        <v>40</v>
      </c>
      <c r="C388" t="s">
        <v>392</v>
      </c>
      <c r="D388" t="s">
        <v>1234</v>
      </c>
      <c r="E388">
        <v>24</v>
      </c>
      <c r="F388" t="s">
        <v>423</v>
      </c>
      <c r="G388" t="s">
        <v>358</v>
      </c>
      <c r="H388" s="27">
        <v>46149</v>
      </c>
      <c r="J388" t="s">
        <v>440</v>
      </c>
    </row>
    <row r="389" spans="1:10" ht="15" customHeight="1" x14ac:dyDescent="0.25">
      <c r="A389" t="s">
        <v>1789</v>
      </c>
      <c r="B389" t="s">
        <v>40</v>
      </c>
      <c r="C389" t="s">
        <v>392</v>
      </c>
      <c r="D389" t="s">
        <v>1232</v>
      </c>
      <c r="E389">
        <v>24</v>
      </c>
      <c r="F389" t="s">
        <v>423</v>
      </c>
      <c r="G389" t="s">
        <v>358</v>
      </c>
      <c r="H389" s="27">
        <v>46149</v>
      </c>
      <c r="J389" t="s">
        <v>440</v>
      </c>
    </row>
    <row r="390" spans="1:10" ht="15" customHeight="1" x14ac:dyDescent="0.25">
      <c r="A390" t="s">
        <v>1790</v>
      </c>
      <c r="B390" t="s">
        <v>40</v>
      </c>
      <c r="C390" t="s">
        <v>245</v>
      </c>
      <c r="D390" t="s">
        <v>377</v>
      </c>
      <c r="E390">
        <v>24</v>
      </c>
      <c r="F390" t="s">
        <v>423</v>
      </c>
      <c r="G390" t="s">
        <v>358</v>
      </c>
      <c r="H390" s="27">
        <v>46149</v>
      </c>
      <c r="J390" t="s">
        <v>440</v>
      </c>
    </row>
    <row r="391" spans="1:10" ht="15" customHeight="1" x14ac:dyDescent="0.25">
      <c r="A391" t="s">
        <v>1791</v>
      </c>
      <c r="B391" t="s">
        <v>40</v>
      </c>
      <c r="C391" t="s">
        <v>245</v>
      </c>
      <c r="D391" t="s">
        <v>377</v>
      </c>
      <c r="E391">
        <v>24</v>
      </c>
      <c r="F391" t="s">
        <v>423</v>
      </c>
      <c r="G391" t="s">
        <v>358</v>
      </c>
      <c r="H391" s="27">
        <v>46149</v>
      </c>
      <c r="J391" t="s">
        <v>440</v>
      </c>
    </row>
    <row r="392" spans="1:10" ht="15" customHeight="1" x14ac:dyDescent="0.25">
      <c r="A392" t="s">
        <v>1792</v>
      </c>
      <c r="B392" t="s">
        <v>40</v>
      </c>
      <c r="C392" t="s">
        <v>245</v>
      </c>
      <c r="D392" t="s">
        <v>377</v>
      </c>
      <c r="E392">
        <v>24</v>
      </c>
      <c r="F392" t="s">
        <v>423</v>
      </c>
      <c r="G392" t="s">
        <v>358</v>
      </c>
      <c r="H392" s="27">
        <v>46149</v>
      </c>
      <c r="J392" t="s">
        <v>440</v>
      </c>
    </row>
    <row r="393" spans="1:10" ht="15" customHeight="1" x14ac:dyDescent="0.25">
      <c r="A393" t="s">
        <v>1793</v>
      </c>
      <c r="B393" t="s">
        <v>40</v>
      </c>
      <c r="C393" t="s">
        <v>377</v>
      </c>
      <c r="D393" t="s">
        <v>378</v>
      </c>
      <c r="E393">
        <v>24</v>
      </c>
      <c r="F393" t="s">
        <v>423</v>
      </c>
      <c r="G393" t="s">
        <v>358</v>
      </c>
      <c r="H393" s="27">
        <v>46150</v>
      </c>
      <c r="J393" t="s">
        <v>440</v>
      </c>
    </row>
    <row r="394" spans="1:10" ht="15" customHeight="1" x14ac:dyDescent="0.25">
      <c r="A394" t="s">
        <v>1794</v>
      </c>
      <c r="B394" t="s">
        <v>40</v>
      </c>
      <c r="C394" t="s">
        <v>1234</v>
      </c>
      <c r="D394" t="s">
        <v>378</v>
      </c>
      <c r="E394">
        <v>24</v>
      </c>
      <c r="F394" t="s">
        <v>423</v>
      </c>
      <c r="G394" t="s">
        <v>358</v>
      </c>
      <c r="H394" s="27">
        <v>46150</v>
      </c>
      <c r="J394" t="s">
        <v>440</v>
      </c>
    </row>
    <row r="395" spans="1:10" ht="15" customHeight="1" x14ac:dyDescent="0.25">
      <c r="A395" t="s">
        <v>1795</v>
      </c>
      <c r="B395" t="s">
        <v>40</v>
      </c>
      <c r="C395" t="s">
        <v>1232</v>
      </c>
      <c r="D395" t="s">
        <v>378</v>
      </c>
      <c r="E395">
        <v>24</v>
      </c>
      <c r="F395" t="s">
        <v>423</v>
      </c>
      <c r="G395" t="s">
        <v>358</v>
      </c>
      <c r="H395" s="27">
        <v>46150</v>
      </c>
      <c r="J395" t="s">
        <v>440</v>
      </c>
    </row>
    <row r="396" spans="1:10" ht="15" customHeight="1" x14ac:dyDescent="0.25">
      <c r="A396" t="s">
        <v>1796</v>
      </c>
      <c r="B396" t="s">
        <v>40</v>
      </c>
      <c r="C396" t="s">
        <v>378</v>
      </c>
      <c r="D396" t="s">
        <v>377</v>
      </c>
      <c r="E396">
        <v>24</v>
      </c>
      <c r="F396" t="s">
        <v>423</v>
      </c>
      <c r="G396" t="s">
        <v>358</v>
      </c>
      <c r="H396" s="27">
        <v>46153</v>
      </c>
      <c r="J396" t="s">
        <v>440</v>
      </c>
    </row>
    <row r="397" spans="1:10" ht="15" customHeight="1" x14ac:dyDescent="0.25">
      <c r="A397" t="s">
        <v>1797</v>
      </c>
      <c r="B397" t="s">
        <v>40</v>
      </c>
      <c r="C397" t="s">
        <v>414</v>
      </c>
      <c r="D397" t="s">
        <v>392</v>
      </c>
      <c r="E397">
        <v>24</v>
      </c>
      <c r="F397" t="s">
        <v>423</v>
      </c>
      <c r="G397" t="s">
        <v>358</v>
      </c>
      <c r="H397" s="27">
        <v>46160</v>
      </c>
      <c r="J397" t="s">
        <v>440</v>
      </c>
    </row>
    <row r="398" spans="1:10" ht="15" customHeight="1" x14ac:dyDescent="0.25">
      <c r="A398" t="s">
        <v>1798</v>
      </c>
      <c r="B398" t="s">
        <v>40</v>
      </c>
      <c r="C398" t="s">
        <v>414</v>
      </c>
      <c r="D398" t="s">
        <v>392</v>
      </c>
      <c r="E398">
        <v>24</v>
      </c>
      <c r="F398" t="s">
        <v>423</v>
      </c>
      <c r="G398" t="s">
        <v>358</v>
      </c>
      <c r="H398" s="27">
        <v>46160</v>
      </c>
      <c r="J398" t="s">
        <v>440</v>
      </c>
    </row>
    <row r="399" spans="1:10" ht="15" customHeight="1" x14ac:dyDescent="0.25">
      <c r="A399" t="s">
        <v>1799</v>
      </c>
      <c r="B399" t="s">
        <v>40</v>
      </c>
      <c r="C399" t="s">
        <v>392</v>
      </c>
      <c r="E399">
        <v>24</v>
      </c>
      <c r="F399" t="s">
        <v>423</v>
      </c>
      <c r="G399" t="s">
        <v>358</v>
      </c>
      <c r="H399" s="27">
        <v>46161</v>
      </c>
      <c r="J399" t="s">
        <v>440</v>
      </c>
    </row>
    <row r="400" spans="1:10" ht="15" customHeight="1" x14ac:dyDescent="0.25">
      <c r="A400" t="s">
        <v>1800</v>
      </c>
      <c r="B400" t="s">
        <v>40</v>
      </c>
      <c r="C400" t="s">
        <v>392</v>
      </c>
      <c r="E400">
        <v>24</v>
      </c>
      <c r="F400" t="s">
        <v>423</v>
      </c>
      <c r="G400" t="s">
        <v>358</v>
      </c>
      <c r="H400" s="27">
        <v>46161</v>
      </c>
      <c r="J400" t="s">
        <v>440</v>
      </c>
    </row>
  </sheetData>
  <sortState xmlns:xlrd2="http://schemas.microsoft.com/office/spreadsheetml/2017/richdata2" ref="A3:G9">
    <sortCondition ref="A3:A9"/>
  </sortState>
  <phoneticPr fontId="16" type="noConversion"/>
  <hyperlinks>
    <hyperlink ref="K2" r:id="rId1" xr:uid="{7590E767-30AB-4F3F-84F8-040DCADFC77A}"/>
    <hyperlink ref="K3" r:id="rId2" xr:uid="{4FF11D5B-8069-423E-ABA8-C75654C81242}"/>
    <hyperlink ref="K4" r:id="rId3" xr:uid="{6377AB37-BFA8-4ED0-943A-41A0E0769133}"/>
    <hyperlink ref="K5" r:id="rId4" xr:uid="{A0EDDD93-892F-4205-AB17-2F88F9603121}"/>
    <hyperlink ref="K6" r:id="rId5" xr:uid="{9A941221-6CDC-420D-B79E-2B24E40EBCC8}"/>
    <hyperlink ref="K7" r:id="rId6" xr:uid="{AC318153-2A39-43E6-8904-CBF2FAD12ADC}"/>
    <hyperlink ref="K9" r:id="rId7" xr:uid="{2ACFBB26-5D56-4001-8ABE-83310493357D}"/>
    <hyperlink ref="K10" r:id="rId8" xr:uid="{B094FEC9-242F-40D4-BC63-3DC35319E123}"/>
    <hyperlink ref="K11" r:id="rId9" xr:uid="{7A7CC66B-9EAC-4248-BC4C-F52E60CDDA4F}"/>
    <hyperlink ref="K12" r:id="rId10" xr:uid="{F6674A5E-7240-4A5E-B375-FF5D273E364B}"/>
    <hyperlink ref="K13" r:id="rId11" xr:uid="{E538852C-0134-4C6E-B907-9F2F23331F11}"/>
    <hyperlink ref="K14" r:id="rId12" xr:uid="{98B24722-4DC7-45CB-BEEC-2B91B838D47B}"/>
    <hyperlink ref="K15" r:id="rId13" xr:uid="{746CA7A1-B580-4254-A3D8-2D9DC3D1E609}"/>
    <hyperlink ref="K16" r:id="rId14" xr:uid="{66D544E4-E04E-4D3E-B04C-CF06E4E82CF6}"/>
    <hyperlink ref="K17" r:id="rId15" xr:uid="{269174A0-F35E-4289-A4B1-0BB650A76F12}"/>
    <hyperlink ref="K18" r:id="rId16" xr:uid="{E99E62C0-3B67-43A0-8FAB-200B5746B180}"/>
    <hyperlink ref="K19" r:id="rId17" xr:uid="{0674094B-5886-4C9D-98C5-21F275AA9E63}"/>
    <hyperlink ref="K20" r:id="rId18" xr:uid="{D84A435E-202F-4071-B09E-35FF597F2C64}"/>
    <hyperlink ref="K21" r:id="rId19" xr:uid="{7C35D2AD-0042-4FF7-ADDE-85B6939FEFD3}"/>
    <hyperlink ref="K22" r:id="rId20" xr:uid="{4212F72E-08EA-446C-8929-67CD554B1DC4}"/>
    <hyperlink ref="K23" r:id="rId21" xr:uid="{69537BF1-14E0-4B54-B8A0-0985A772499C}"/>
    <hyperlink ref="K24" r:id="rId22" xr:uid="{5F67B91C-BE2B-4C42-8F00-2FAF25D04500}"/>
    <hyperlink ref="K31" r:id="rId23" xr:uid="{6978A82A-D689-4E87-A7E1-D5D34A431506}"/>
    <hyperlink ref="K30" r:id="rId24" xr:uid="{E6AB927C-0300-4B04-BC8B-33068660CDB4}"/>
    <hyperlink ref="K33" r:id="rId25" xr:uid="{CA5824C0-B323-4ED0-98F1-B54935F9DEDC}"/>
    <hyperlink ref="K34" r:id="rId26" xr:uid="{9804C913-2E7F-4938-AFB0-CCA2ADEFF64E}"/>
    <hyperlink ref="K35" r:id="rId27" xr:uid="{1E640243-52F5-4629-B888-123D73386A6B}"/>
    <hyperlink ref="K26" r:id="rId28" xr:uid="{363C5D0D-CEDA-45DA-A85B-F2A087143EE3}"/>
    <hyperlink ref="K27" r:id="rId29" xr:uid="{D8592FDE-F731-47AC-9C77-6EF61327E03F}"/>
    <hyperlink ref="K28" r:id="rId30" xr:uid="{D210A42E-D0EA-439A-B858-531D99E93A5A}"/>
    <hyperlink ref="K29" r:id="rId31" xr:uid="{5F74461E-B6DC-461C-AAAD-EC8FAEB0A891}"/>
    <hyperlink ref="K32" r:id="rId32" xr:uid="{AB1B5B8C-3330-4B40-A3AD-ED94016E68A9}"/>
    <hyperlink ref="K36" r:id="rId33" xr:uid="{110E0B0E-8234-4181-A73D-479B848FBB30}"/>
    <hyperlink ref="K37" r:id="rId34" xr:uid="{63148EA8-9AC1-4A80-B776-994CAD6F5699}"/>
    <hyperlink ref="K38" r:id="rId35" xr:uid="{AD550381-242B-4CAA-A306-607D05E7EC2C}"/>
    <hyperlink ref="K39" r:id="rId36" xr:uid="{6207D8AA-741F-4EA8-9114-30E517E0F699}"/>
    <hyperlink ref="K45" r:id="rId37" xr:uid="{DAF834F0-8F52-4B5D-9A6C-2290202007D3}"/>
    <hyperlink ref="K41" r:id="rId38" xr:uid="{73B4A244-331A-4B1A-B157-FAD9F9103C52}"/>
    <hyperlink ref="K43" r:id="rId39" xr:uid="{9F4A42CC-E0E2-4921-8BF8-6737B7A897EF}"/>
    <hyperlink ref="K44" r:id="rId40" xr:uid="{8260883F-8283-40CF-8385-1AC8D503BF6A}"/>
    <hyperlink ref="K46" r:id="rId41" xr:uid="{D72FB49F-89F3-4697-8956-58D43B5076DB}"/>
    <hyperlink ref="K47" r:id="rId42" xr:uid="{3EA07D49-3AA2-4CE1-B0C7-7F6D09D71EB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C6395-1A30-4FA5-BF46-474978C8986B}">
  <dimension ref="A1:K400"/>
  <sheetViews>
    <sheetView workbookViewId="0">
      <selection activeCell="K47" sqref="K47"/>
    </sheetView>
  </sheetViews>
  <sheetFormatPr defaultRowHeight="15" x14ac:dyDescent="0.25"/>
  <cols>
    <col min="1" max="1" width="65.42578125" bestFit="1" customWidth="1"/>
    <col min="3" max="3" width="12.42578125" bestFit="1" customWidth="1"/>
    <col min="4" max="4" width="16.42578125" bestFit="1" customWidth="1"/>
    <col min="5" max="5" width="13" bestFit="1" customWidth="1"/>
    <col min="6" max="6" width="35" bestFit="1" customWidth="1"/>
    <col min="7" max="7" width="13.42578125" bestFit="1" customWidth="1"/>
    <col min="8" max="8" width="20.42578125" style="95" bestFit="1" customWidth="1"/>
    <col min="9" max="9" width="60" customWidth="1"/>
    <col min="10" max="10" width="66.85546875" bestFit="1" customWidth="1"/>
    <col min="11" max="11" width="69.140625" bestFit="1" customWidth="1"/>
  </cols>
  <sheetData>
    <row r="1" spans="1:11" ht="15.75" thickBot="1" x14ac:dyDescent="0.3">
      <c r="A1" s="6" t="s">
        <v>28</v>
      </c>
      <c r="B1" s="7" t="s">
        <v>29</v>
      </c>
      <c r="C1" s="7" t="s">
        <v>30</v>
      </c>
      <c r="D1" s="7" t="s">
        <v>31</v>
      </c>
      <c r="E1" s="7" t="s">
        <v>32</v>
      </c>
      <c r="F1" s="7" t="s">
        <v>33</v>
      </c>
      <c r="G1" s="7" t="s">
        <v>34</v>
      </c>
      <c r="H1" s="5" t="s">
        <v>35</v>
      </c>
      <c r="I1" s="8" t="s">
        <v>36</v>
      </c>
      <c r="J1" s="96" t="s">
        <v>1243</v>
      </c>
      <c r="K1" s="5" t="s">
        <v>38</v>
      </c>
    </row>
    <row r="2" spans="1:11" x14ac:dyDescent="0.25">
      <c r="A2" t="s">
        <v>1801</v>
      </c>
      <c r="B2" t="s">
        <v>602</v>
      </c>
      <c r="C2" t="s">
        <v>1232</v>
      </c>
      <c r="D2" t="s">
        <v>392</v>
      </c>
      <c r="E2">
        <v>42</v>
      </c>
      <c r="F2" s="13" t="s">
        <v>271</v>
      </c>
      <c r="G2" t="s">
        <v>358</v>
      </c>
      <c r="H2" s="46">
        <v>46219</v>
      </c>
      <c r="I2" t="s">
        <v>1802</v>
      </c>
      <c r="J2" t="s">
        <v>440</v>
      </c>
    </row>
    <row r="3" spans="1:11" x14ac:dyDescent="0.25">
      <c r="A3" s="13" t="s">
        <v>1803</v>
      </c>
      <c r="B3" t="s">
        <v>602</v>
      </c>
      <c r="C3" t="s">
        <v>363</v>
      </c>
      <c r="D3" t="s">
        <v>363</v>
      </c>
      <c r="E3">
        <v>168</v>
      </c>
      <c r="F3" s="31"/>
      <c r="G3" t="s">
        <v>358</v>
      </c>
      <c r="H3" s="30">
        <v>46223</v>
      </c>
      <c r="I3" t="s">
        <v>1804</v>
      </c>
      <c r="J3" t="s">
        <v>440</v>
      </c>
      <c r="K3" s="42" t="s">
        <v>1248</v>
      </c>
    </row>
    <row r="4" spans="1:11" x14ac:dyDescent="0.25">
      <c r="A4" t="s">
        <v>1805</v>
      </c>
      <c r="B4" t="s">
        <v>40</v>
      </c>
      <c r="C4" t="s">
        <v>245</v>
      </c>
      <c r="D4" t="s">
        <v>245</v>
      </c>
      <c r="E4">
        <v>48</v>
      </c>
      <c r="F4" t="s">
        <v>730</v>
      </c>
      <c r="G4" t="s">
        <v>358</v>
      </c>
      <c r="H4" s="30">
        <v>46223</v>
      </c>
      <c r="J4" t="s">
        <v>440</v>
      </c>
    </row>
    <row r="5" spans="1:11" x14ac:dyDescent="0.25">
      <c r="A5" s="34" t="s">
        <v>1806</v>
      </c>
      <c r="B5" t="s">
        <v>602</v>
      </c>
      <c r="C5" t="s">
        <v>363</v>
      </c>
      <c r="D5" t="s">
        <v>363</v>
      </c>
      <c r="E5">
        <v>168</v>
      </c>
      <c r="F5" s="31"/>
      <c r="G5" t="s">
        <v>358</v>
      </c>
      <c r="H5" s="30">
        <v>46223</v>
      </c>
      <c r="I5" t="s">
        <v>1804</v>
      </c>
      <c r="J5" t="s">
        <v>440</v>
      </c>
      <c r="K5" s="42" t="s">
        <v>1254</v>
      </c>
    </row>
    <row r="6" spans="1:11" x14ac:dyDescent="0.25">
      <c r="A6" s="114" t="s">
        <v>1807</v>
      </c>
      <c r="B6" t="s">
        <v>602</v>
      </c>
      <c r="C6" t="s">
        <v>363</v>
      </c>
      <c r="D6" t="s">
        <v>363</v>
      </c>
      <c r="E6">
        <v>168</v>
      </c>
      <c r="F6" s="31"/>
      <c r="G6" t="s">
        <v>358</v>
      </c>
      <c r="H6" s="30">
        <v>46223</v>
      </c>
      <c r="I6" t="s">
        <v>1804</v>
      </c>
      <c r="J6" t="s">
        <v>440</v>
      </c>
      <c r="K6" s="42" t="s">
        <v>1258</v>
      </c>
    </row>
    <row r="7" spans="1:11" x14ac:dyDescent="0.25">
      <c r="A7" s="1" t="s">
        <v>1808</v>
      </c>
      <c r="B7" t="s">
        <v>602</v>
      </c>
      <c r="C7" t="s">
        <v>392</v>
      </c>
      <c r="D7" t="s">
        <v>1232</v>
      </c>
      <c r="E7">
        <v>48</v>
      </c>
      <c r="F7" t="s">
        <v>730</v>
      </c>
      <c r="G7" t="s">
        <v>358</v>
      </c>
      <c r="H7" s="30">
        <v>46223</v>
      </c>
      <c r="I7" t="s">
        <v>735</v>
      </c>
      <c r="J7" t="s">
        <v>440</v>
      </c>
      <c r="K7" s="42" t="s">
        <v>1262</v>
      </c>
    </row>
    <row r="8" spans="1:11" x14ac:dyDescent="0.25">
      <c r="A8" t="s">
        <v>1809</v>
      </c>
      <c r="B8" t="s">
        <v>602</v>
      </c>
      <c r="C8" t="s">
        <v>392</v>
      </c>
      <c r="D8" t="s">
        <v>1232</v>
      </c>
      <c r="E8">
        <v>48</v>
      </c>
      <c r="F8" t="s">
        <v>730</v>
      </c>
      <c r="G8" t="s">
        <v>358</v>
      </c>
      <c r="H8" s="30">
        <v>46223</v>
      </c>
      <c r="I8" t="s">
        <v>735</v>
      </c>
      <c r="J8" t="s">
        <v>440</v>
      </c>
      <c r="K8" t="s">
        <v>1265</v>
      </c>
    </row>
    <row r="9" spans="1:11" x14ac:dyDescent="0.25">
      <c r="A9" t="s">
        <v>1810</v>
      </c>
      <c r="B9" t="s">
        <v>602</v>
      </c>
      <c r="C9" t="s">
        <v>392</v>
      </c>
      <c r="D9" t="s">
        <v>1232</v>
      </c>
      <c r="E9">
        <v>48</v>
      </c>
      <c r="F9" t="s">
        <v>730</v>
      </c>
      <c r="G9" t="s">
        <v>358</v>
      </c>
      <c r="H9" s="30">
        <v>46223</v>
      </c>
      <c r="I9" t="s">
        <v>1811</v>
      </c>
      <c r="J9" t="s">
        <v>440</v>
      </c>
      <c r="K9" s="42" t="s">
        <v>1268</v>
      </c>
    </row>
    <row r="10" spans="1:11" x14ac:dyDescent="0.25">
      <c r="A10" t="s">
        <v>1812</v>
      </c>
      <c r="B10" t="s">
        <v>602</v>
      </c>
      <c r="C10" t="s">
        <v>1234</v>
      </c>
      <c r="D10" t="s">
        <v>1232</v>
      </c>
      <c r="E10">
        <v>48</v>
      </c>
      <c r="F10" t="s">
        <v>730</v>
      </c>
      <c r="G10" t="s">
        <v>358</v>
      </c>
      <c r="H10" s="30">
        <v>46223</v>
      </c>
      <c r="I10" s="1" t="s">
        <v>735</v>
      </c>
      <c r="J10" t="s">
        <v>440</v>
      </c>
      <c r="K10" s="42" t="s">
        <v>1271</v>
      </c>
    </row>
    <row r="11" spans="1:11" x14ac:dyDescent="0.25">
      <c r="A11" t="s">
        <v>1813</v>
      </c>
      <c r="B11" t="s">
        <v>602</v>
      </c>
      <c r="C11" t="s">
        <v>1234</v>
      </c>
      <c r="D11" t="s">
        <v>1232</v>
      </c>
      <c r="E11">
        <v>48</v>
      </c>
      <c r="F11" t="s">
        <v>730</v>
      </c>
      <c r="G11" t="s">
        <v>358</v>
      </c>
      <c r="H11" s="30">
        <v>46223</v>
      </c>
      <c r="I11" s="1" t="s">
        <v>735</v>
      </c>
      <c r="J11" t="s">
        <v>440</v>
      </c>
      <c r="K11" s="42" t="s">
        <v>1275</v>
      </c>
    </row>
    <row r="12" spans="1:11" x14ac:dyDescent="0.25">
      <c r="A12" t="s">
        <v>1814</v>
      </c>
      <c r="B12" t="s">
        <v>602</v>
      </c>
      <c r="C12" t="s">
        <v>1234</v>
      </c>
      <c r="D12" t="s">
        <v>1232</v>
      </c>
      <c r="E12">
        <v>48</v>
      </c>
      <c r="F12" t="s">
        <v>730</v>
      </c>
      <c r="G12" t="s">
        <v>358</v>
      </c>
      <c r="H12" s="30">
        <v>46223</v>
      </c>
      <c r="I12" t="s">
        <v>1815</v>
      </c>
      <c r="J12" t="s">
        <v>440</v>
      </c>
      <c r="K12" s="42" t="s">
        <v>1277</v>
      </c>
    </row>
    <row r="13" spans="1:11" x14ac:dyDescent="0.25">
      <c r="A13" t="s">
        <v>1816</v>
      </c>
      <c r="B13" t="s">
        <v>40</v>
      </c>
      <c r="C13" t="s">
        <v>245</v>
      </c>
      <c r="D13" t="s">
        <v>377</v>
      </c>
      <c r="E13">
        <v>168</v>
      </c>
      <c r="F13" s="13" t="s">
        <v>271</v>
      </c>
      <c r="G13" t="s">
        <v>358</v>
      </c>
      <c r="H13" s="30">
        <v>46225</v>
      </c>
      <c r="I13" t="s">
        <v>1111</v>
      </c>
      <c r="J13" t="s">
        <v>440</v>
      </c>
      <c r="K13" s="42" t="s">
        <v>1281</v>
      </c>
    </row>
    <row r="14" spans="1:11" x14ac:dyDescent="0.25">
      <c r="A14" t="s">
        <v>1817</v>
      </c>
      <c r="B14" t="s">
        <v>40</v>
      </c>
      <c r="C14" t="s">
        <v>245</v>
      </c>
      <c r="D14" t="s">
        <v>377</v>
      </c>
      <c r="E14">
        <v>168</v>
      </c>
      <c r="F14" s="13" t="s">
        <v>271</v>
      </c>
      <c r="G14" t="s">
        <v>358</v>
      </c>
      <c r="H14" s="30">
        <v>46225</v>
      </c>
      <c r="I14" t="s">
        <v>1111</v>
      </c>
      <c r="J14" t="s">
        <v>440</v>
      </c>
      <c r="K14" s="42" t="s">
        <v>1283</v>
      </c>
    </row>
    <row r="15" spans="1:11" x14ac:dyDescent="0.25">
      <c r="A15" t="s">
        <v>1818</v>
      </c>
      <c r="B15" t="s">
        <v>40</v>
      </c>
      <c r="C15" t="s">
        <v>245</v>
      </c>
      <c r="D15" t="s">
        <v>377</v>
      </c>
      <c r="E15">
        <v>168</v>
      </c>
      <c r="F15" s="13" t="s">
        <v>271</v>
      </c>
      <c r="G15" t="s">
        <v>358</v>
      </c>
      <c r="H15" s="30">
        <v>46225</v>
      </c>
      <c r="I15" t="s">
        <v>1111</v>
      </c>
      <c r="J15" t="s">
        <v>440</v>
      </c>
      <c r="K15" s="42" t="s">
        <v>1286</v>
      </c>
    </row>
    <row r="16" spans="1:11" x14ac:dyDescent="0.25">
      <c r="A16" t="s">
        <v>1819</v>
      </c>
      <c r="B16" t="s">
        <v>40</v>
      </c>
      <c r="C16" t="s">
        <v>245</v>
      </c>
      <c r="D16" t="s">
        <v>377</v>
      </c>
      <c r="E16">
        <v>168</v>
      </c>
      <c r="F16" s="13" t="s">
        <v>271</v>
      </c>
      <c r="G16" t="s">
        <v>358</v>
      </c>
      <c r="H16" s="30">
        <v>46225</v>
      </c>
      <c r="I16" t="s">
        <v>1111</v>
      </c>
      <c r="J16" t="s">
        <v>440</v>
      </c>
      <c r="K16" s="42" t="s">
        <v>1289</v>
      </c>
    </row>
    <row r="17" spans="1:11" x14ac:dyDescent="0.25">
      <c r="A17" s="1" t="s">
        <v>1820</v>
      </c>
      <c r="B17" t="s">
        <v>40</v>
      </c>
      <c r="C17" t="s">
        <v>245</v>
      </c>
      <c r="D17" t="s">
        <v>377</v>
      </c>
      <c r="E17">
        <v>168</v>
      </c>
      <c r="F17" s="13" t="s">
        <v>271</v>
      </c>
      <c r="G17" t="s">
        <v>358</v>
      </c>
      <c r="H17" s="30">
        <v>46225</v>
      </c>
      <c r="I17" t="s">
        <v>1111</v>
      </c>
      <c r="J17" t="s">
        <v>440</v>
      </c>
      <c r="K17" s="42" t="s">
        <v>1292</v>
      </c>
    </row>
    <row r="18" spans="1:11" x14ac:dyDescent="0.25">
      <c r="A18" t="s">
        <v>1821</v>
      </c>
      <c r="B18" t="s">
        <v>40</v>
      </c>
      <c r="C18" t="s">
        <v>1232</v>
      </c>
      <c r="D18" t="s">
        <v>377</v>
      </c>
      <c r="E18">
        <v>1350</v>
      </c>
      <c r="F18" s="13" t="s">
        <v>1822</v>
      </c>
      <c r="G18" t="s">
        <v>358</v>
      </c>
      <c r="H18" s="30">
        <v>46225</v>
      </c>
      <c r="I18" t="s">
        <v>1823</v>
      </c>
      <c r="J18" t="s">
        <v>1824</v>
      </c>
      <c r="K18" s="42" t="s">
        <v>1294</v>
      </c>
    </row>
    <row r="19" spans="1:11" x14ac:dyDescent="0.25">
      <c r="A19" t="s">
        <v>1825</v>
      </c>
      <c r="B19" t="s">
        <v>40</v>
      </c>
      <c r="C19" t="s">
        <v>1232</v>
      </c>
      <c r="D19" t="s">
        <v>377</v>
      </c>
      <c r="E19">
        <v>1350</v>
      </c>
      <c r="F19" s="13" t="s">
        <v>1822</v>
      </c>
      <c r="G19" t="s">
        <v>358</v>
      </c>
      <c r="H19" s="30">
        <v>46225</v>
      </c>
      <c r="I19" t="s">
        <v>1826</v>
      </c>
      <c r="J19" t="s">
        <v>1824</v>
      </c>
      <c r="K19" s="42" t="s">
        <v>1297</v>
      </c>
    </row>
    <row r="20" spans="1:11" x14ac:dyDescent="0.25">
      <c r="A20" t="s">
        <v>1827</v>
      </c>
      <c r="B20" t="s">
        <v>40</v>
      </c>
      <c r="C20" t="s">
        <v>245</v>
      </c>
      <c r="D20" t="s">
        <v>1234</v>
      </c>
      <c r="E20">
        <v>48</v>
      </c>
      <c r="F20" t="s">
        <v>730</v>
      </c>
      <c r="G20" t="s">
        <v>358</v>
      </c>
      <c r="H20" s="30">
        <v>46226</v>
      </c>
      <c r="I20" s="110" t="s">
        <v>1828</v>
      </c>
      <c r="J20" t="s">
        <v>440</v>
      </c>
      <c r="K20" s="42" t="s">
        <v>1299</v>
      </c>
    </row>
    <row r="21" spans="1:11" x14ac:dyDescent="0.25">
      <c r="A21" t="s">
        <v>1829</v>
      </c>
      <c r="B21" t="s">
        <v>40</v>
      </c>
      <c r="C21" t="s">
        <v>363</v>
      </c>
      <c r="D21" t="s">
        <v>1234</v>
      </c>
      <c r="E21">
        <v>48</v>
      </c>
      <c r="F21" t="s">
        <v>730</v>
      </c>
      <c r="G21" t="s">
        <v>358</v>
      </c>
      <c r="H21" s="30">
        <v>46226</v>
      </c>
      <c r="I21" s="110" t="s">
        <v>1828</v>
      </c>
      <c r="J21" t="s">
        <v>440</v>
      </c>
      <c r="K21" s="42" t="s">
        <v>1301</v>
      </c>
    </row>
    <row r="22" spans="1:11" x14ac:dyDescent="0.25">
      <c r="A22" t="s">
        <v>1830</v>
      </c>
      <c r="B22" t="s">
        <v>40</v>
      </c>
      <c r="C22" t="s">
        <v>245</v>
      </c>
      <c r="D22" t="s">
        <v>1234</v>
      </c>
      <c r="E22">
        <v>48</v>
      </c>
      <c r="F22" t="s">
        <v>730</v>
      </c>
      <c r="G22" t="s">
        <v>358</v>
      </c>
      <c r="H22" s="30">
        <v>46226</v>
      </c>
      <c r="I22" t="s">
        <v>1831</v>
      </c>
      <c r="J22" t="s">
        <v>440</v>
      </c>
      <c r="K22" s="42" t="s">
        <v>1303</v>
      </c>
    </row>
    <row r="23" spans="1:11" x14ac:dyDescent="0.25">
      <c r="A23" t="s">
        <v>1832</v>
      </c>
      <c r="B23" t="s">
        <v>40</v>
      </c>
      <c r="C23" t="s">
        <v>363</v>
      </c>
      <c r="D23" t="s">
        <v>1234</v>
      </c>
      <c r="E23">
        <v>48</v>
      </c>
      <c r="F23" t="s">
        <v>730</v>
      </c>
      <c r="G23" t="s">
        <v>358</v>
      </c>
      <c r="H23" s="30">
        <v>46226</v>
      </c>
      <c r="I23" t="s">
        <v>1831</v>
      </c>
      <c r="J23" t="s">
        <v>440</v>
      </c>
      <c r="K23" s="42" t="s">
        <v>1305</v>
      </c>
    </row>
    <row r="24" spans="1:11" x14ac:dyDescent="0.25">
      <c r="A24" t="s">
        <v>1833</v>
      </c>
      <c r="B24" t="s">
        <v>602</v>
      </c>
      <c r="C24" t="s">
        <v>363</v>
      </c>
      <c r="D24" t="s">
        <v>1234</v>
      </c>
      <c r="E24">
        <v>48</v>
      </c>
      <c r="F24" t="s">
        <v>730</v>
      </c>
      <c r="G24" t="s">
        <v>358</v>
      </c>
      <c r="H24" s="30">
        <v>46226</v>
      </c>
      <c r="I24" t="s">
        <v>1831</v>
      </c>
      <c r="J24" t="s">
        <v>440</v>
      </c>
      <c r="K24" s="42" t="s">
        <v>1307</v>
      </c>
    </row>
    <row r="25" spans="1:11" x14ac:dyDescent="0.25">
      <c r="A25" t="s">
        <v>1834</v>
      </c>
      <c r="B25" t="s">
        <v>602</v>
      </c>
      <c r="C25" t="s">
        <v>1232</v>
      </c>
      <c r="D25" t="s">
        <v>1234</v>
      </c>
      <c r="E25">
        <v>48</v>
      </c>
      <c r="F25" t="s">
        <v>730</v>
      </c>
      <c r="G25" t="s">
        <v>358</v>
      </c>
      <c r="H25" s="30">
        <v>46226</v>
      </c>
      <c r="I25" s="1" t="s">
        <v>1828</v>
      </c>
      <c r="J25" t="s">
        <v>440</v>
      </c>
    </row>
    <row r="26" spans="1:11" x14ac:dyDescent="0.25">
      <c r="A26" t="s">
        <v>1835</v>
      </c>
      <c r="B26" t="s">
        <v>602</v>
      </c>
      <c r="C26" t="s">
        <v>392</v>
      </c>
      <c r="D26" t="s">
        <v>414</v>
      </c>
      <c r="E26">
        <v>48</v>
      </c>
      <c r="F26" t="s">
        <v>730</v>
      </c>
      <c r="G26" t="s">
        <v>358</v>
      </c>
      <c r="H26" s="30">
        <v>46226</v>
      </c>
      <c r="J26" t="s">
        <v>440</v>
      </c>
      <c r="K26" s="42" t="s">
        <v>1314</v>
      </c>
    </row>
    <row r="27" spans="1:11" x14ac:dyDescent="0.25">
      <c r="A27" t="s">
        <v>1836</v>
      </c>
      <c r="B27" t="s">
        <v>602</v>
      </c>
      <c r="C27" t="s">
        <v>392</v>
      </c>
      <c r="D27" t="s">
        <v>414</v>
      </c>
      <c r="E27">
        <v>48</v>
      </c>
      <c r="F27" t="s">
        <v>730</v>
      </c>
      <c r="G27" t="s">
        <v>358</v>
      </c>
      <c r="H27" s="30">
        <v>46226</v>
      </c>
      <c r="J27" t="s">
        <v>440</v>
      </c>
      <c r="K27" s="42" t="s">
        <v>1316</v>
      </c>
    </row>
    <row r="28" spans="1:11" x14ac:dyDescent="0.25">
      <c r="A28" t="s">
        <v>1837</v>
      </c>
      <c r="B28" t="s">
        <v>602</v>
      </c>
      <c r="C28" t="s">
        <v>392</v>
      </c>
      <c r="D28" t="s">
        <v>414</v>
      </c>
      <c r="E28">
        <v>48</v>
      </c>
      <c r="F28" t="s">
        <v>730</v>
      </c>
      <c r="G28" t="s">
        <v>358</v>
      </c>
      <c r="H28" s="30">
        <v>46226</v>
      </c>
      <c r="I28" s="13"/>
      <c r="J28" t="s">
        <v>440</v>
      </c>
      <c r="K28" s="42" t="s">
        <v>1319</v>
      </c>
    </row>
    <row r="29" spans="1:11" x14ac:dyDescent="0.25">
      <c r="A29" t="s">
        <v>1838</v>
      </c>
      <c r="B29" t="s">
        <v>602</v>
      </c>
      <c r="C29" t="s">
        <v>392</v>
      </c>
      <c r="D29" t="s">
        <v>414</v>
      </c>
      <c r="E29">
        <v>48</v>
      </c>
      <c r="F29" t="s">
        <v>730</v>
      </c>
      <c r="G29" t="s">
        <v>358</v>
      </c>
      <c r="H29" s="30">
        <v>46226</v>
      </c>
      <c r="J29" t="s">
        <v>440</v>
      </c>
      <c r="K29" s="42" t="s">
        <v>1321</v>
      </c>
    </row>
    <row r="30" spans="1:11" x14ac:dyDescent="0.25">
      <c r="A30" t="s">
        <v>1839</v>
      </c>
      <c r="B30" t="s">
        <v>602</v>
      </c>
      <c r="C30" t="s">
        <v>392</v>
      </c>
      <c r="D30" t="s">
        <v>414</v>
      </c>
      <c r="E30">
        <v>168</v>
      </c>
      <c r="F30" s="13" t="s">
        <v>271</v>
      </c>
      <c r="G30" t="s">
        <v>358</v>
      </c>
      <c r="H30" s="30">
        <v>46226</v>
      </c>
      <c r="I30" s="13" t="s">
        <v>1840</v>
      </c>
      <c r="J30" t="s">
        <v>440</v>
      </c>
      <c r="K30" s="25" t="s">
        <v>1324</v>
      </c>
    </row>
    <row r="31" spans="1:11" x14ac:dyDescent="0.25">
      <c r="A31" t="s">
        <v>1841</v>
      </c>
      <c r="B31" t="s">
        <v>602</v>
      </c>
      <c r="C31" t="s">
        <v>378</v>
      </c>
      <c r="D31" t="s">
        <v>245</v>
      </c>
      <c r="E31">
        <v>48</v>
      </c>
      <c r="F31" t="s">
        <v>730</v>
      </c>
      <c r="G31" t="s">
        <v>358</v>
      </c>
      <c r="H31" s="30">
        <v>46227</v>
      </c>
      <c r="I31" s="13"/>
      <c r="J31" t="s">
        <v>440</v>
      </c>
      <c r="K31" s="25" t="s">
        <v>1326</v>
      </c>
    </row>
    <row r="32" spans="1:11" x14ac:dyDescent="0.25">
      <c r="A32" t="s">
        <v>1842</v>
      </c>
      <c r="B32" t="s">
        <v>602</v>
      </c>
      <c r="C32" t="s">
        <v>378</v>
      </c>
      <c r="D32" t="s">
        <v>245</v>
      </c>
      <c r="E32">
        <v>48</v>
      </c>
      <c r="F32" t="s">
        <v>730</v>
      </c>
      <c r="G32" t="s">
        <v>358</v>
      </c>
      <c r="H32" s="30">
        <v>46227</v>
      </c>
      <c r="J32" t="s">
        <v>440</v>
      </c>
      <c r="K32" s="42" t="s">
        <v>1329</v>
      </c>
    </row>
    <row r="33" spans="1:11" x14ac:dyDescent="0.25">
      <c r="A33" s="13" t="s">
        <v>1843</v>
      </c>
      <c r="B33" t="s">
        <v>602</v>
      </c>
      <c r="C33" t="s">
        <v>414</v>
      </c>
      <c r="E33">
        <v>48</v>
      </c>
      <c r="F33" t="s">
        <v>730</v>
      </c>
      <c r="G33" t="s">
        <v>358</v>
      </c>
      <c r="H33" s="30">
        <v>46228</v>
      </c>
      <c r="I33" s="13"/>
      <c r="J33" t="s">
        <v>440</v>
      </c>
      <c r="K33" s="25" t="s">
        <v>1332</v>
      </c>
    </row>
    <row r="34" spans="1:11" x14ac:dyDescent="0.25">
      <c r="A34" s="13" t="s">
        <v>1844</v>
      </c>
      <c r="B34" t="s">
        <v>602</v>
      </c>
      <c r="C34" t="s">
        <v>414</v>
      </c>
      <c r="E34">
        <v>48</v>
      </c>
      <c r="F34" t="s">
        <v>730</v>
      </c>
      <c r="G34" t="s">
        <v>358</v>
      </c>
      <c r="H34" s="30">
        <v>46228</v>
      </c>
      <c r="J34" t="s">
        <v>440</v>
      </c>
      <c r="K34" s="25" t="s">
        <v>1334</v>
      </c>
    </row>
    <row r="35" spans="1:11" x14ac:dyDescent="0.25">
      <c r="A35" s="13" t="s">
        <v>1845</v>
      </c>
      <c r="B35" t="s">
        <v>602</v>
      </c>
      <c r="C35" t="s">
        <v>414</v>
      </c>
      <c r="E35">
        <v>48</v>
      </c>
      <c r="F35" t="s">
        <v>730</v>
      </c>
      <c r="G35" t="s">
        <v>358</v>
      </c>
      <c r="H35" s="30">
        <v>46228</v>
      </c>
      <c r="I35" s="13"/>
      <c r="J35" t="s">
        <v>440</v>
      </c>
      <c r="K35" s="25" t="s">
        <v>1337</v>
      </c>
    </row>
    <row r="36" spans="1:11" x14ac:dyDescent="0.25">
      <c r="A36" t="s">
        <v>1846</v>
      </c>
      <c r="B36" t="s">
        <v>602</v>
      </c>
      <c r="C36" t="s">
        <v>245</v>
      </c>
      <c r="E36">
        <v>48</v>
      </c>
      <c r="F36" t="s">
        <v>730</v>
      </c>
      <c r="G36" t="s">
        <v>358</v>
      </c>
      <c r="H36" s="30">
        <v>46228</v>
      </c>
      <c r="I36" s="13" t="s">
        <v>1847</v>
      </c>
      <c r="J36" t="s">
        <v>440</v>
      </c>
      <c r="K36" s="42" t="s">
        <v>1340</v>
      </c>
    </row>
    <row r="37" spans="1:11" x14ac:dyDescent="0.25">
      <c r="A37" t="s">
        <v>1848</v>
      </c>
      <c r="B37" t="s">
        <v>602</v>
      </c>
      <c r="C37" t="s">
        <v>245</v>
      </c>
      <c r="E37">
        <v>48</v>
      </c>
      <c r="F37" t="s">
        <v>730</v>
      </c>
      <c r="G37" t="s">
        <v>358</v>
      </c>
      <c r="H37" s="30">
        <v>46228</v>
      </c>
      <c r="I37" t="s">
        <v>1849</v>
      </c>
      <c r="J37" t="s">
        <v>440</v>
      </c>
      <c r="K37" s="42" t="s">
        <v>1342</v>
      </c>
    </row>
    <row r="38" spans="1:11" x14ac:dyDescent="0.25">
      <c r="A38" t="s">
        <v>1850</v>
      </c>
      <c r="B38" t="s">
        <v>602</v>
      </c>
      <c r="C38" t="s">
        <v>245</v>
      </c>
      <c r="E38">
        <v>48</v>
      </c>
      <c r="F38" t="s">
        <v>730</v>
      </c>
      <c r="G38" t="s">
        <v>358</v>
      </c>
      <c r="H38" s="30">
        <v>46228</v>
      </c>
      <c r="I38" t="s">
        <v>1851</v>
      </c>
      <c r="J38" t="s">
        <v>440</v>
      </c>
      <c r="K38" s="42" t="s">
        <v>1344</v>
      </c>
    </row>
    <row r="39" spans="1:11" x14ac:dyDescent="0.25">
      <c r="A39" t="s">
        <v>1852</v>
      </c>
      <c r="B39" t="s">
        <v>602</v>
      </c>
      <c r="C39" t="s">
        <v>245</v>
      </c>
      <c r="E39">
        <v>48</v>
      </c>
      <c r="F39" t="s">
        <v>730</v>
      </c>
      <c r="G39" t="s">
        <v>358</v>
      </c>
      <c r="H39" s="30">
        <v>46228</v>
      </c>
      <c r="I39" t="s">
        <v>1853</v>
      </c>
      <c r="J39" t="s">
        <v>440</v>
      </c>
      <c r="K39" s="42" t="s">
        <v>1346</v>
      </c>
    </row>
    <row r="40" spans="1:11" x14ac:dyDescent="0.25">
      <c r="A40" t="s">
        <v>1854</v>
      </c>
      <c r="B40" t="s">
        <v>602</v>
      </c>
      <c r="C40" t="s">
        <v>245</v>
      </c>
      <c r="E40">
        <v>48</v>
      </c>
      <c r="F40" t="s">
        <v>730</v>
      </c>
      <c r="G40" t="s">
        <v>358</v>
      </c>
      <c r="H40" s="30">
        <v>46228</v>
      </c>
      <c r="I40" t="s">
        <v>1855</v>
      </c>
      <c r="J40" t="s">
        <v>440</v>
      </c>
    </row>
    <row r="41" spans="1:11" x14ac:dyDescent="0.25">
      <c r="A41" t="s">
        <v>1856</v>
      </c>
      <c r="B41" t="s">
        <v>602</v>
      </c>
      <c r="C41" t="s">
        <v>245</v>
      </c>
      <c r="E41">
        <v>48</v>
      </c>
      <c r="F41" t="s">
        <v>730</v>
      </c>
      <c r="G41" t="s">
        <v>358</v>
      </c>
      <c r="H41" s="30">
        <v>46228</v>
      </c>
      <c r="I41" s="13" t="s">
        <v>1857</v>
      </c>
      <c r="J41" t="s">
        <v>440</v>
      </c>
      <c r="K41" s="42" t="s">
        <v>1350</v>
      </c>
    </row>
    <row r="42" spans="1:11" x14ac:dyDescent="0.25">
      <c r="A42" t="s">
        <v>1858</v>
      </c>
      <c r="B42" t="s">
        <v>602</v>
      </c>
      <c r="C42" t="s">
        <v>245</v>
      </c>
      <c r="E42">
        <v>48</v>
      </c>
      <c r="F42" t="s">
        <v>730</v>
      </c>
      <c r="G42" t="s">
        <v>358</v>
      </c>
      <c r="H42" s="30">
        <v>46228</v>
      </c>
      <c r="I42" s="13" t="s">
        <v>1859</v>
      </c>
      <c r="J42" t="s">
        <v>440</v>
      </c>
    </row>
    <row r="43" spans="1:11" x14ac:dyDescent="0.25">
      <c r="A43" t="s">
        <v>1860</v>
      </c>
      <c r="B43" t="s">
        <v>602</v>
      </c>
      <c r="C43" t="s">
        <v>245</v>
      </c>
      <c r="E43">
        <v>48</v>
      </c>
      <c r="F43" t="s">
        <v>730</v>
      </c>
      <c r="G43" t="s">
        <v>358</v>
      </c>
      <c r="H43" s="30">
        <v>46228</v>
      </c>
      <c r="I43" s="13" t="s">
        <v>1861</v>
      </c>
      <c r="J43" t="s">
        <v>440</v>
      </c>
      <c r="K43" s="42" t="s">
        <v>1356</v>
      </c>
    </row>
    <row r="44" spans="1:11" x14ac:dyDescent="0.25">
      <c r="A44" t="s">
        <v>1862</v>
      </c>
      <c r="B44" t="s">
        <v>602</v>
      </c>
      <c r="C44" t="s">
        <v>245</v>
      </c>
      <c r="E44">
        <v>48</v>
      </c>
      <c r="F44" t="s">
        <v>730</v>
      </c>
      <c r="G44" t="s">
        <v>358</v>
      </c>
      <c r="H44" s="30">
        <v>46228</v>
      </c>
      <c r="I44" s="13" t="s">
        <v>1863</v>
      </c>
      <c r="J44" t="s">
        <v>440</v>
      </c>
      <c r="K44" s="42" t="s">
        <v>1358</v>
      </c>
    </row>
    <row r="45" spans="1:11" x14ac:dyDescent="0.25">
      <c r="A45" t="s">
        <v>1864</v>
      </c>
      <c r="B45" t="s">
        <v>602</v>
      </c>
      <c r="C45" t="s">
        <v>245</v>
      </c>
      <c r="E45">
        <v>48</v>
      </c>
      <c r="F45" t="s">
        <v>730</v>
      </c>
      <c r="G45" t="s">
        <v>358</v>
      </c>
      <c r="H45" s="30">
        <v>46228</v>
      </c>
      <c r="I45" s="13" t="s">
        <v>1865</v>
      </c>
      <c r="J45" t="s">
        <v>440</v>
      </c>
      <c r="K45" s="42" t="s">
        <v>1361</v>
      </c>
    </row>
    <row r="46" spans="1:11" x14ac:dyDescent="0.25">
      <c r="A46" t="s">
        <v>1866</v>
      </c>
      <c r="B46" t="s">
        <v>602</v>
      </c>
      <c r="C46" t="s">
        <v>414</v>
      </c>
      <c r="E46">
        <v>48</v>
      </c>
      <c r="F46" t="s">
        <v>730</v>
      </c>
      <c r="G46" t="s">
        <v>358</v>
      </c>
      <c r="H46" s="30">
        <v>46230</v>
      </c>
      <c r="I46" s="13" t="s">
        <v>1867</v>
      </c>
      <c r="J46" t="s">
        <v>440</v>
      </c>
      <c r="K46" s="42" t="s">
        <v>1364</v>
      </c>
    </row>
    <row r="47" spans="1:11" x14ac:dyDescent="0.25">
      <c r="A47" t="s">
        <v>1868</v>
      </c>
      <c r="B47" t="s">
        <v>602</v>
      </c>
      <c r="C47" t="s">
        <v>414</v>
      </c>
      <c r="E47">
        <v>48</v>
      </c>
      <c r="F47" t="s">
        <v>730</v>
      </c>
      <c r="G47" t="s">
        <v>358</v>
      </c>
      <c r="H47" s="30">
        <v>46230</v>
      </c>
      <c r="I47" s="13" t="s">
        <v>1867</v>
      </c>
      <c r="J47" t="s">
        <v>440</v>
      </c>
      <c r="K47" s="42" t="s">
        <v>1367</v>
      </c>
    </row>
    <row r="48" spans="1:11" x14ac:dyDescent="0.25">
      <c r="A48" t="s">
        <v>1869</v>
      </c>
      <c r="B48" t="s">
        <v>602</v>
      </c>
      <c r="C48" t="s">
        <v>414</v>
      </c>
      <c r="E48">
        <v>48</v>
      </c>
      <c r="F48" t="s">
        <v>730</v>
      </c>
      <c r="G48" t="s">
        <v>358</v>
      </c>
      <c r="H48" s="30">
        <v>46230</v>
      </c>
      <c r="I48" s="13" t="s">
        <v>1867</v>
      </c>
      <c r="J48" t="s">
        <v>440</v>
      </c>
    </row>
    <row r="49" spans="1:10" x14ac:dyDescent="0.25">
      <c r="A49" t="s">
        <v>1870</v>
      </c>
      <c r="B49" t="s">
        <v>602</v>
      </c>
      <c r="C49" t="s">
        <v>245</v>
      </c>
      <c r="E49">
        <v>48</v>
      </c>
      <c r="F49" t="s">
        <v>730</v>
      </c>
      <c r="G49" t="s">
        <v>358</v>
      </c>
      <c r="H49" s="30">
        <v>46230</v>
      </c>
      <c r="I49" t="s">
        <v>1871</v>
      </c>
      <c r="J49" t="s">
        <v>440</v>
      </c>
    </row>
    <row r="50" spans="1:10" x14ac:dyDescent="0.25">
      <c r="A50" t="s">
        <v>1872</v>
      </c>
      <c r="B50" t="s">
        <v>602</v>
      </c>
      <c r="C50" t="s">
        <v>245</v>
      </c>
      <c r="E50">
        <v>48</v>
      </c>
      <c r="F50" t="s">
        <v>730</v>
      </c>
      <c r="G50" t="s">
        <v>358</v>
      </c>
      <c r="H50" s="30">
        <v>46230</v>
      </c>
      <c r="I50" t="s">
        <v>1871</v>
      </c>
      <c r="J50" t="s">
        <v>440</v>
      </c>
    </row>
    <row r="51" spans="1:10" x14ac:dyDescent="0.25">
      <c r="A51" t="s">
        <v>1873</v>
      </c>
      <c r="B51" t="s">
        <v>602</v>
      </c>
      <c r="C51" t="s">
        <v>245</v>
      </c>
      <c r="E51">
        <v>48</v>
      </c>
      <c r="F51" t="s">
        <v>730</v>
      </c>
      <c r="G51" t="s">
        <v>358</v>
      </c>
      <c r="H51" s="30">
        <v>46230</v>
      </c>
      <c r="I51" t="s">
        <v>1871</v>
      </c>
      <c r="J51" t="s">
        <v>440</v>
      </c>
    </row>
    <row r="52" spans="1:10" x14ac:dyDescent="0.25">
      <c r="A52" t="s">
        <v>1874</v>
      </c>
      <c r="B52" t="s">
        <v>602</v>
      </c>
      <c r="C52" t="s">
        <v>245</v>
      </c>
      <c r="E52">
        <v>48</v>
      </c>
      <c r="F52" t="s">
        <v>730</v>
      </c>
      <c r="G52" t="s">
        <v>358</v>
      </c>
      <c r="H52" s="30">
        <v>46230</v>
      </c>
      <c r="I52" t="s">
        <v>1875</v>
      </c>
      <c r="J52" t="s">
        <v>440</v>
      </c>
    </row>
    <row r="53" spans="1:10" x14ac:dyDescent="0.25">
      <c r="A53" t="s">
        <v>1876</v>
      </c>
      <c r="B53" t="s">
        <v>602</v>
      </c>
      <c r="C53" t="s">
        <v>245</v>
      </c>
      <c r="E53">
        <v>48</v>
      </c>
      <c r="F53" t="s">
        <v>730</v>
      </c>
      <c r="G53" t="s">
        <v>358</v>
      </c>
      <c r="H53" s="30">
        <v>46228</v>
      </c>
      <c r="J53" t="s">
        <v>440</v>
      </c>
    </row>
    <row r="54" spans="1:10" x14ac:dyDescent="0.25">
      <c r="A54" s="13" t="s">
        <v>1877</v>
      </c>
      <c r="B54" t="s">
        <v>602</v>
      </c>
      <c r="C54" t="s">
        <v>363</v>
      </c>
      <c r="D54" t="s">
        <v>245</v>
      </c>
      <c r="E54">
        <v>48</v>
      </c>
      <c r="F54" t="s">
        <v>730</v>
      </c>
      <c r="G54" t="s">
        <v>358</v>
      </c>
      <c r="H54" s="30">
        <v>46232</v>
      </c>
      <c r="I54" t="s">
        <v>1878</v>
      </c>
      <c r="J54" t="s">
        <v>440</v>
      </c>
    </row>
    <row r="55" spans="1:10" x14ac:dyDescent="0.25">
      <c r="A55" t="s">
        <v>1879</v>
      </c>
      <c r="B55" t="s">
        <v>602</v>
      </c>
      <c r="C55" t="s">
        <v>363</v>
      </c>
      <c r="D55" t="s">
        <v>245</v>
      </c>
      <c r="E55">
        <v>48</v>
      </c>
      <c r="F55" t="s">
        <v>730</v>
      </c>
      <c r="G55" t="s">
        <v>358</v>
      </c>
      <c r="H55" s="30">
        <v>46232</v>
      </c>
      <c r="I55" t="s">
        <v>1878</v>
      </c>
      <c r="J55" t="s">
        <v>440</v>
      </c>
    </row>
    <row r="56" spans="1:10" x14ac:dyDescent="0.25">
      <c r="A56" t="s">
        <v>1880</v>
      </c>
      <c r="B56" t="s">
        <v>602</v>
      </c>
      <c r="C56" t="s">
        <v>363</v>
      </c>
      <c r="D56" t="s">
        <v>245</v>
      </c>
      <c r="E56">
        <v>48</v>
      </c>
      <c r="F56" t="s">
        <v>730</v>
      </c>
      <c r="G56" t="s">
        <v>358</v>
      </c>
      <c r="H56" s="30">
        <v>46232</v>
      </c>
      <c r="I56" t="s">
        <v>1878</v>
      </c>
      <c r="J56" t="s">
        <v>440</v>
      </c>
    </row>
    <row r="57" spans="1:10" x14ac:dyDescent="0.25">
      <c r="A57" t="s">
        <v>1881</v>
      </c>
      <c r="B57" t="s">
        <v>602</v>
      </c>
      <c r="C57" t="s">
        <v>414</v>
      </c>
      <c r="D57" t="s">
        <v>245</v>
      </c>
      <c r="E57" s="58">
        <v>48</v>
      </c>
      <c r="F57" t="s">
        <v>730</v>
      </c>
      <c r="G57" t="s">
        <v>358</v>
      </c>
      <c r="H57" s="30">
        <v>46233</v>
      </c>
      <c r="I57" s="13"/>
      <c r="J57" t="s">
        <v>440</v>
      </c>
    </row>
    <row r="58" spans="1:10" x14ac:dyDescent="0.25">
      <c r="A58" t="s">
        <v>1882</v>
      </c>
      <c r="B58" t="s">
        <v>602</v>
      </c>
      <c r="C58" t="s">
        <v>377</v>
      </c>
      <c r="D58" t="s">
        <v>245</v>
      </c>
      <c r="E58" s="58">
        <v>48</v>
      </c>
      <c r="F58" t="s">
        <v>730</v>
      </c>
      <c r="G58" t="s">
        <v>358</v>
      </c>
      <c r="H58" s="30">
        <v>46233</v>
      </c>
      <c r="I58" s="13"/>
      <c r="J58" t="s">
        <v>440</v>
      </c>
    </row>
    <row r="59" spans="1:10" x14ac:dyDescent="0.25">
      <c r="A59" t="s">
        <v>1883</v>
      </c>
      <c r="B59" t="s">
        <v>602</v>
      </c>
      <c r="C59" t="s">
        <v>377</v>
      </c>
      <c r="D59" t="s">
        <v>1234</v>
      </c>
      <c r="E59" s="58">
        <v>48</v>
      </c>
      <c r="F59" t="s">
        <v>730</v>
      </c>
      <c r="G59" t="s">
        <v>358</v>
      </c>
      <c r="H59" s="30">
        <v>46233</v>
      </c>
      <c r="I59" s="13"/>
      <c r="J59" t="s">
        <v>440</v>
      </c>
    </row>
    <row r="60" spans="1:10" x14ac:dyDescent="0.25">
      <c r="A60" t="s">
        <v>1884</v>
      </c>
      <c r="B60" t="s">
        <v>602</v>
      </c>
      <c r="C60" t="s">
        <v>377</v>
      </c>
      <c r="D60" t="s">
        <v>1234</v>
      </c>
      <c r="E60" s="58">
        <v>48</v>
      </c>
      <c r="F60" t="s">
        <v>730</v>
      </c>
      <c r="G60" t="s">
        <v>358</v>
      </c>
      <c r="H60" s="30">
        <v>46233</v>
      </c>
      <c r="J60" t="s">
        <v>440</v>
      </c>
    </row>
    <row r="61" spans="1:10" x14ac:dyDescent="0.25">
      <c r="A61" t="s">
        <v>1885</v>
      </c>
      <c r="B61" t="s">
        <v>602</v>
      </c>
      <c r="C61" t="s">
        <v>377</v>
      </c>
      <c r="D61" t="s">
        <v>1234</v>
      </c>
      <c r="E61" s="58">
        <v>48</v>
      </c>
      <c r="F61" t="s">
        <v>730</v>
      </c>
      <c r="G61" t="s">
        <v>358</v>
      </c>
      <c r="H61" s="30">
        <v>46233</v>
      </c>
      <c r="J61" t="s">
        <v>440</v>
      </c>
    </row>
    <row r="62" spans="1:10" x14ac:dyDescent="0.25">
      <c r="A62" t="s">
        <v>1886</v>
      </c>
      <c r="B62" t="s">
        <v>602</v>
      </c>
      <c r="C62" t="s">
        <v>414</v>
      </c>
      <c r="D62" t="s">
        <v>1234</v>
      </c>
      <c r="E62" s="58">
        <v>48</v>
      </c>
      <c r="F62" t="s">
        <v>730</v>
      </c>
      <c r="G62" t="s">
        <v>358</v>
      </c>
      <c r="H62" s="30">
        <v>46233</v>
      </c>
      <c r="J62" t="s">
        <v>440</v>
      </c>
    </row>
    <row r="63" spans="1:10" x14ac:dyDescent="0.25">
      <c r="A63" t="s">
        <v>1887</v>
      </c>
      <c r="B63" t="s">
        <v>602</v>
      </c>
      <c r="C63" t="s">
        <v>414</v>
      </c>
      <c r="D63" t="s">
        <v>1234</v>
      </c>
      <c r="E63" s="58">
        <v>48</v>
      </c>
      <c r="F63" t="s">
        <v>730</v>
      </c>
      <c r="G63" t="s">
        <v>358</v>
      </c>
      <c r="H63" s="30">
        <v>46233</v>
      </c>
      <c r="J63" t="s">
        <v>440</v>
      </c>
    </row>
    <row r="64" spans="1:10" x14ac:dyDescent="0.25">
      <c r="A64" t="s">
        <v>1888</v>
      </c>
      <c r="B64" t="s">
        <v>602</v>
      </c>
      <c r="C64" t="s">
        <v>414</v>
      </c>
      <c r="D64" t="s">
        <v>1234</v>
      </c>
      <c r="E64" s="58">
        <v>48</v>
      </c>
      <c r="F64" t="s">
        <v>730</v>
      </c>
      <c r="G64" t="s">
        <v>358</v>
      </c>
      <c r="H64" s="30">
        <v>46234</v>
      </c>
      <c r="J64" t="s">
        <v>440</v>
      </c>
    </row>
    <row r="65" spans="1:10" x14ac:dyDescent="0.25">
      <c r="A65" t="s">
        <v>1889</v>
      </c>
      <c r="B65" t="s">
        <v>602</v>
      </c>
      <c r="C65" t="s">
        <v>414</v>
      </c>
      <c r="D65" t="s">
        <v>1234</v>
      </c>
      <c r="E65" s="58">
        <v>48</v>
      </c>
      <c r="F65" t="s">
        <v>730</v>
      </c>
      <c r="G65" t="s">
        <v>358</v>
      </c>
      <c r="H65" s="30">
        <v>46234</v>
      </c>
      <c r="J65" t="s">
        <v>440</v>
      </c>
    </row>
    <row r="66" spans="1:10" x14ac:dyDescent="0.25">
      <c r="A66" t="s">
        <v>1890</v>
      </c>
      <c r="B66" t="s">
        <v>602</v>
      </c>
      <c r="C66" t="s">
        <v>414</v>
      </c>
      <c r="D66" t="s">
        <v>1234</v>
      </c>
      <c r="E66" s="58">
        <v>48</v>
      </c>
      <c r="F66" t="s">
        <v>730</v>
      </c>
      <c r="G66" t="s">
        <v>358</v>
      </c>
      <c r="H66" s="30">
        <v>46234</v>
      </c>
      <c r="J66" t="s">
        <v>440</v>
      </c>
    </row>
    <row r="67" spans="1:10" x14ac:dyDescent="0.25">
      <c r="A67" t="s">
        <v>1891</v>
      </c>
      <c r="B67" t="s">
        <v>602</v>
      </c>
      <c r="C67" t="s">
        <v>363</v>
      </c>
      <c r="D67" t="s">
        <v>377</v>
      </c>
      <c r="E67" s="58">
        <v>48</v>
      </c>
      <c r="F67" t="s">
        <v>730</v>
      </c>
      <c r="G67" t="s">
        <v>358</v>
      </c>
      <c r="H67" s="30">
        <v>46235</v>
      </c>
      <c r="I67" s="3"/>
    </row>
    <row r="68" spans="1:10" x14ac:dyDescent="0.25">
      <c r="A68" t="s">
        <v>1892</v>
      </c>
      <c r="B68" t="s">
        <v>602</v>
      </c>
      <c r="C68" t="s">
        <v>363</v>
      </c>
      <c r="D68" t="s">
        <v>377</v>
      </c>
      <c r="E68" s="58">
        <v>48</v>
      </c>
      <c r="F68" t="s">
        <v>730</v>
      </c>
      <c r="G68" t="s">
        <v>358</v>
      </c>
      <c r="H68" s="30">
        <v>46235</v>
      </c>
    </row>
    <row r="69" spans="1:10" x14ac:dyDescent="0.25">
      <c r="A69" t="s">
        <v>1893</v>
      </c>
      <c r="B69" t="s">
        <v>602</v>
      </c>
      <c r="C69" t="s">
        <v>377</v>
      </c>
      <c r="D69" t="s">
        <v>363</v>
      </c>
      <c r="E69" s="58">
        <v>48</v>
      </c>
      <c r="F69" t="s">
        <v>730</v>
      </c>
      <c r="G69" t="s">
        <v>358</v>
      </c>
      <c r="H69" s="30">
        <v>46237</v>
      </c>
    </row>
    <row r="70" spans="1:10" x14ac:dyDescent="0.25">
      <c r="A70" t="s">
        <v>1894</v>
      </c>
      <c r="B70" t="s">
        <v>602</v>
      </c>
      <c r="C70" t="s">
        <v>377</v>
      </c>
      <c r="D70" t="s">
        <v>377</v>
      </c>
      <c r="E70" s="58">
        <v>48</v>
      </c>
      <c r="F70" t="s">
        <v>730</v>
      </c>
      <c r="G70" t="s">
        <v>358</v>
      </c>
      <c r="H70" s="30">
        <v>46238</v>
      </c>
    </row>
    <row r="71" spans="1:10" x14ac:dyDescent="0.25">
      <c r="A71" s="13" t="s">
        <v>1895</v>
      </c>
      <c r="B71" t="s">
        <v>602</v>
      </c>
      <c r="C71" t="s">
        <v>377</v>
      </c>
      <c r="D71" t="s">
        <v>377</v>
      </c>
      <c r="E71" s="58">
        <v>48</v>
      </c>
      <c r="F71" t="s">
        <v>730</v>
      </c>
      <c r="G71" t="s">
        <v>358</v>
      </c>
      <c r="H71" s="30">
        <v>46238</v>
      </c>
    </row>
    <row r="72" spans="1:10" x14ac:dyDescent="0.25">
      <c r="F72" s="31"/>
      <c r="H72" s="30"/>
    </row>
    <row r="73" spans="1:10" x14ac:dyDescent="0.25">
      <c r="F73" s="31"/>
      <c r="H73" s="30"/>
    </row>
    <row r="74" spans="1:10" x14ac:dyDescent="0.25">
      <c r="F74" s="31"/>
      <c r="H74" s="30"/>
      <c r="I74" s="1"/>
    </row>
    <row r="75" spans="1:10" x14ac:dyDescent="0.25">
      <c r="F75" s="31"/>
      <c r="H75" s="30"/>
    </row>
    <row r="76" spans="1:10" x14ac:dyDescent="0.25">
      <c r="F76" s="31"/>
      <c r="H76" s="30"/>
    </row>
    <row r="77" spans="1:10" x14ac:dyDescent="0.25">
      <c r="F77" s="31"/>
      <c r="H77" s="30"/>
    </row>
    <row r="78" spans="1:10" x14ac:dyDescent="0.25">
      <c r="F78" s="31"/>
      <c r="H78" s="30"/>
    </row>
    <row r="79" spans="1:10" x14ac:dyDescent="0.25">
      <c r="F79" s="31"/>
      <c r="H79" s="30"/>
    </row>
    <row r="80" spans="1:10" x14ac:dyDescent="0.25">
      <c r="F80" s="31"/>
      <c r="H80" s="30"/>
    </row>
    <row r="81" spans="1:8" x14ac:dyDescent="0.25">
      <c r="F81" s="31"/>
      <c r="H81" s="30"/>
    </row>
    <row r="82" spans="1:8" x14ac:dyDescent="0.25">
      <c r="F82" s="31"/>
      <c r="H82" s="30"/>
    </row>
    <row r="83" spans="1:8" x14ac:dyDescent="0.25">
      <c r="F83" s="31"/>
      <c r="H83" s="30"/>
    </row>
    <row r="84" spans="1:8" x14ac:dyDescent="0.25">
      <c r="F84" s="31"/>
      <c r="H84" s="30"/>
    </row>
    <row r="85" spans="1:8" x14ac:dyDescent="0.25">
      <c r="A85" s="13"/>
      <c r="F85" s="31"/>
      <c r="H85" s="30"/>
    </row>
    <row r="86" spans="1:8" x14ac:dyDescent="0.25">
      <c r="F86" s="31"/>
      <c r="H86" s="30"/>
    </row>
    <row r="87" spans="1:8" x14ac:dyDescent="0.25">
      <c r="F87" s="31"/>
      <c r="H87" s="30"/>
    </row>
    <row r="88" spans="1:8" x14ac:dyDescent="0.25">
      <c r="F88" s="31"/>
      <c r="H88" s="30"/>
    </row>
    <row r="89" spans="1:8" x14ac:dyDescent="0.25">
      <c r="F89" s="31"/>
      <c r="H89" s="30"/>
    </row>
    <row r="90" spans="1:8" x14ac:dyDescent="0.25">
      <c r="F90" s="31"/>
      <c r="H90" s="30"/>
    </row>
    <row r="91" spans="1:8" x14ac:dyDescent="0.25">
      <c r="F91" s="31"/>
      <c r="H91" s="30"/>
    </row>
    <row r="92" spans="1:8" x14ac:dyDescent="0.25">
      <c r="F92" s="31"/>
      <c r="H92" s="30"/>
    </row>
    <row r="93" spans="1:8" x14ac:dyDescent="0.25">
      <c r="F93" s="31"/>
      <c r="H93" s="30"/>
    </row>
    <row r="94" spans="1:8" x14ac:dyDescent="0.25">
      <c r="A94" s="13"/>
      <c r="F94" s="31"/>
      <c r="H94" s="30"/>
    </row>
    <row r="95" spans="1:8" x14ac:dyDescent="0.25">
      <c r="F95" s="31"/>
      <c r="H95" s="30"/>
    </row>
    <row r="96" spans="1:8" x14ac:dyDescent="0.25">
      <c r="F96" s="31"/>
      <c r="H96" s="30"/>
    </row>
    <row r="97" spans="1:9" x14ac:dyDescent="0.25">
      <c r="F97" s="31"/>
      <c r="H97" s="30"/>
    </row>
    <row r="98" spans="1:9" x14ac:dyDescent="0.25">
      <c r="F98" s="31"/>
      <c r="H98" s="30"/>
    </row>
    <row r="99" spans="1:9" x14ac:dyDescent="0.25">
      <c r="F99" s="31"/>
      <c r="H99" s="30"/>
      <c r="I99" s="13"/>
    </row>
    <row r="100" spans="1:9" x14ac:dyDescent="0.25">
      <c r="A100" s="13"/>
      <c r="F100" s="31"/>
      <c r="H100" s="30"/>
      <c r="I100" s="13"/>
    </row>
    <row r="101" spans="1:9" x14ac:dyDescent="0.25">
      <c r="F101" s="31"/>
      <c r="H101" s="30"/>
    </row>
    <row r="102" spans="1:9" x14ac:dyDescent="0.25">
      <c r="A102" s="13"/>
      <c r="F102" s="31"/>
      <c r="H102" s="30"/>
    </row>
    <row r="103" spans="1:9" x14ac:dyDescent="0.25">
      <c r="A103" s="13"/>
      <c r="F103" s="31"/>
      <c r="H103" s="30"/>
    </row>
    <row r="104" spans="1:9" x14ac:dyDescent="0.25">
      <c r="F104" s="31"/>
      <c r="H104" s="30"/>
    </row>
    <row r="105" spans="1:9" x14ac:dyDescent="0.25">
      <c r="F105" s="31"/>
      <c r="H105" s="30"/>
    </row>
    <row r="106" spans="1:9" x14ac:dyDescent="0.25">
      <c r="F106" s="31"/>
      <c r="H106" s="30"/>
    </row>
    <row r="107" spans="1:9" x14ac:dyDescent="0.25">
      <c r="F107" s="31"/>
      <c r="H107" s="30"/>
    </row>
    <row r="108" spans="1:9" x14ac:dyDescent="0.25">
      <c r="F108" s="31"/>
      <c r="H108" s="30"/>
    </row>
    <row r="109" spans="1:9" x14ac:dyDescent="0.25">
      <c r="F109" s="31"/>
      <c r="H109" s="30"/>
    </row>
    <row r="110" spans="1:9" x14ac:dyDescent="0.25">
      <c r="F110" s="31"/>
      <c r="H110" s="30"/>
    </row>
    <row r="111" spans="1:9" x14ac:dyDescent="0.25">
      <c r="F111" s="31"/>
      <c r="H111" s="30"/>
    </row>
    <row r="112" spans="1:9" x14ac:dyDescent="0.25">
      <c r="F112" s="31"/>
      <c r="H112" s="30"/>
    </row>
    <row r="113" spans="1:8" x14ac:dyDescent="0.25">
      <c r="F113" s="31"/>
      <c r="H113" s="30"/>
    </row>
    <row r="114" spans="1:8" x14ac:dyDescent="0.25">
      <c r="F114" s="31"/>
      <c r="H114" s="30"/>
    </row>
    <row r="115" spans="1:8" x14ac:dyDescent="0.25">
      <c r="F115" s="31"/>
      <c r="H115" s="30"/>
    </row>
    <row r="116" spans="1:8" x14ac:dyDescent="0.25">
      <c r="A116" s="13"/>
      <c r="F116" s="31"/>
      <c r="H116" s="30"/>
    </row>
    <row r="117" spans="1:8" x14ac:dyDescent="0.25">
      <c r="A117" s="13"/>
      <c r="F117" s="31"/>
      <c r="H117" s="30"/>
    </row>
    <row r="118" spans="1:8" x14ac:dyDescent="0.25">
      <c r="F118" s="31"/>
      <c r="H118" s="30"/>
    </row>
    <row r="119" spans="1:8" x14ac:dyDescent="0.25">
      <c r="F119" s="31"/>
      <c r="H119" s="30"/>
    </row>
    <row r="120" spans="1:8" x14ac:dyDescent="0.25">
      <c r="F120" s="31"/>
      <c r="H120" s="30"/>
    </row>
    <row r="121" spans="1:8" x14ac:dyDescent="0.25">
      <c r="F121" s="31"/>
      <c r="H121" s="30"/>
    </row>
    <row r="122" spans="1:8" x14ac:dyDescent="0.25">
      <c r="F122" s="31"/>
      <c r="H122" s="30"/>
    </row>
    <row r="123" spans="1:8" x14ac:dyDescent="0.25">
      <c r="F123" s="31"/>
      <c r="H123" s="30"/>
    </row>
    <row r="124" spans="1:8" x14ac:dyDescent="0.25">
      <c r="F124" s="31"/>
      <c r="H124" s="30"/>
    </row>
    <row r="125" spans="1:8" x14ac:dyDescent="0.25">
      <c r="F125" s="31"/>
      <c r="H125" s="30"/>
    </row>
    <row r="126" spans="1:8" x14ac:dyDescent="0.25">
      <c r="A126" s="1"/>
      <c r="F126" s="31"/>
      <c r="H126" s="30"/>
    </row>
    <row r="127" spans="1:8" x14ac:dyDescent="0.25">
      <c r="F127" s="31"/>
      <c r="H127" s="30"/>
    </row>
    <row r="128" spans="1:8" x14ac:dyDescent="0.25">
      <c r="A128" s="2"/>
      <c r="F128" s="31"/>
      <c r="H128" s="30"/>
    </row>
    <row r="129" spans="1:11" x14ac:dyDescent="0.25">
      <c r="F129" s="31"/>
      <c r="H129" s="30"/>
    </row>
    <row r="130" spans="1:11" x14ac:dyDescent="0.25">
      <c r="F130" s="31"/>
      <c r="H130" s="30"/>
    </row>
    <row r="131" spans="1:11" x14ac:dyDescent="0.25">
      <c r="A131" s="13"/>
      <c r="F131" s="31"/>
      <c r="H131" s="30"/>
    </row>
    <row r="132" spans="1:11" x14ac:dyDescent="0.25">
      <c r="F132" s="31"/>
      <c r="H132" s="30"/>
    </row>
    <row r="133" spans="1:11" x14ac:dyDescent="0.25">
      <c r="F133" s="31"/>
      <c r="H133" s="30"/>
      <c r="I133" s="113"/>
    </row>
    <row r="134" spans="1:11" x14ac:dyDescent="0.25">
      <c r="F134" s="31"/>
      <c r="H134" s="30"/>
      <c r="I134" s="113"/>
      <c r="K134" s="13"/>
    </row>
    <row r="135" spans="1:11" x14ac:dyDescent="0.25">
      <c r="F135" s="31"/>
      <c r="H135" s="30"/>
    </row>
    <row r="136" spans="1:11" x14ac:dyDescent="0.25">
      <c r="A136" s="13"/>
      <c r="F136" s="31"/>
      <c r="H136" s="30"/>
    </row>
    <row r="137" spans="1:11" x14ac:dyDescent="0.25">
      <c r="F137" s="31"/>
      <c r="H137" s="30"/>
    </row>
    <row r="138" spans="1:11" x14ac:dyDescent="0.25">
      <c r="A138" s="13"/>
      <c r="F138" s="31"/>
      <c r="H138" s="30"/>
    </row>
    <row r="139" spans="1:11" x14ac:dyDescent="0.25">
      <c r="A139" s="13"/>
      <c r="F139" s="31"/>
      <c r="H139" s="30"/>
    </row>
    <row r="140" spans="1:11" x14ac:dyDescent="0.25">
      <c r="F140" s="31"/>
      <c r="H140" s="30"/>
      <c r="I140" s="47"/>
    </row>
    <row r="141" spans="1:11" x14ac:dyDescent="0.25">
      <c r="F141" s="31"/>
      <c r="H141" s="30"/>
      <c r="I141" s="47"/>
    </row>
    <row r="142" spans="1:11" x14ac:dyDescent="0.25">
      <c r="F142" s="31"/>
      <c r="H142" s="30"/>
      <c r="I142" s="47"/>
    </row>
    <row r="143" spans="1:11" x14ac:dyDescent="0.25">
      <c r="F143" s="31"/>
      <c r="H143" s="30"/>
      <c r="I143" s="47"/>
    </row>
    <row r="144" spans="1:11" x14ac:dyDescent="0.25">
      <c r="F144" s="31"/>
      <c r="H144" s="30"/>
      <c r="I144" s="47"/>
    </row>
    <row r="145" spans="1:9" x14ac:dyDescent="0.25">
      <c r="F145" s="31"/>
      <c r="H145" s="30"/>
      <c r="I145" s="47"/>
    </row>
    <row r="146" spans="1:9" x14ac:dyDescent="0.25">
      <c r="F146" s="31"/>
      <c r="H146" s="30"/>
      <c r="I146" s="47"/>
    </row>
    <row r="147" spans="1:9" x14ac:dyDescent="0.25">
      <c r="F147" s="31"/>
      <c r="H147" s="30"/>
    </row>
    <row r="148" spans="1:9" x14ac:dyDescent="0.25">
      <c r="F148" s="31"/>
      <c r="H148" s="30"/>
    </row>
    <row r="149" spans="1:9" x14ac:dyDescent="0.25">
      <c r="F149" s="31"/>
      <c r="H149" s="30"/>
      <c r="I149" s="3"/>
    </row>
    <row r="150" spans="1:9" x14ac:dyDescent="0.25">
      <c r="F150" s="31"/>
      <c r="H150" s="30"/>
    </row>
    <row r="151" spans="1:9" x14ac:dyDescent="0.25">
      <c r="F151" s="31"/>
      <c r="H151" s="30"/>
    </row>
    <row r="152" spans="1:9" x14ac:dyDescent="0.25">
      <c r="F152" s="31"/>
      <c r="H152" s="30"/>
    </row>
    <row r="153" spans="1:9" x14ac:dyDescent="0.25">
      <c r="A153" s="13"/>
      <c r="F153" s="31"/>
      <c r="H153" s="30"/>
    </row>
    <row r="154" spans="1:9" x14ac:dyDescent="0.25">
      <c r="A154" s="13"/>
      <c r="F154" s="31"/>
      <c r="H154" s="30"/>
    </row>
    <row r="155" spans="1:9" x14ac:dyDescent="0.25">
      <c r="F155" s="31"/>
      <c r="H155" s="30"/>
    </row>
    <row r="156" spans="1:9" x14ac:dyDescent="0.25">
      <c r="F156" s="31"/>
      <c r="H156" s="30"/>
    </row>
    <row r="157" spans="1:9" x14ac:dyDescent="0.25">
      <c r="F157" s="31"/>
      <c r="H157" s="30"/>
    </row>
    <row r="158" spans="1:9" x14ac:dyDescent="0.25">
      <c r="F158" s="31"/>
      <c r="H158" s="30"/>
    </row>
    <row r="159" spans="1:9" x14ac:dyDescent="0.25">
      <c r="F159" s="31"/>
      <c r="H159" s="30"/>
    </row>
    <row r="160" spans="1:9" x14ac:dyDescent="0.25">
      <c r="F160" s="31"/>
      <c r="H160" s="30"/>
    </row>
    <row r="161" spans="6:8" x14ac:dyDescent="0.25">
      <c r="F161" s="31"/>
      <c r="H161" s="30"/>
    </row>
    <row r="162" spans="6:8" x14ac:dyDescent="0.25">
      <c r="F162" s="31"/>
      <c r="H162" s="30"/>
    </row>
    <row r="163" spans="6:8" x14ac:dyDescent="0.25">
      <c r="F163" s="31"/>
      <c r="H163" s="30"/>
    </row>
    <row r="164" spans="6:8" x14ac:dyDescent="0.25">
      <c r="F164" s="31"/>
      <c r="H164" s="30"/>
    </row>
    <row r="165" spans="6:8" x14ac:dyDescent="0.25">
      <c r="F165" s="31"/>
      <c r="H165" s="30"/>
    </row>
    <row r="166" spans="6:8" x14ac:dyDescent="0.25">
      <c r="F166" s="31"/>
      <c r="H166" s="30"/>
    </row>
    <row r="167" spans="6:8" x14ac:dyDescent="0.25">
      <c r="F167" s="31"/>
      <c r="H167" s="30"/>
    </row>
    <row r="168" spans="6:8" x14ac:dyDescent="0.25">
      <c r="F168" s="31"/>
      <c r="H168" s="30"/>
    </row>
    <row r="169" spans="6:8" x14ac:dyDescent="0.25">
      <c r="F169" s="31"/>
      <c r="H169" s="30"/>
    </row>
    <row r="170" spans="6:8" x14ac:dyDescent="0.25">
      <c r="F170" s="31"/>
      <c r="H170" s="30"/>
    </row>
    <row r="171" spans="6:8" x14ac:dyDescent="0.25">
      <c r="F171" s="31"/>
      <c r="H171" s="30"/>
    </row>
    <row r="172" spans="6:8" x14ac:dyDescent="0.25">
      <c r="F172" s="31"/>
      <c r="H172" s="30"/>
    </row>
    <row r="173" spans="6:8" x14ac:dyDescent="0.25">
      <c r="F173" s="31"/>
      <c r="H173" s="30"/>
    </row>
    <row r="174" spans="6:8" x14ac:dyDescent="0.25">
      <c r="F174" s="31"/>
      <c r="H174" s="30"/>
    </row>
    <row r="175" spans="6:8" x14ac:dyDescent="0.25">
      <c r="F175" s="31"/>
      <c r="H175" s="30"/>
    </row>
    <row r="176" spans="6:8" x14ac:dyDescent="0.25">
      <c r="F176" s="31"/>
      <c r="H176" s="30"/>
    </row>
    <row r="177" spans="6:9" x14ac:dyDescent="0.25">
      <c r="F177" s="31"/>
      <c r="H177" s="30"/>
    </row>
    <row r="178" spans="6:9" x14ac:dyDescent="0.25">
      <c r="F178" s="31"/>
      <c r="H178" s="30"/>
    </row>
    <row r="179" spans="6:9" x14ac:dyDescent="0.25">
      <c r="F179" s="31"/>
      <c r="H179" s="30"/>
    </row>
    <row r="180" spans="6:9" x14ac:dyDescent="0.25">
      <c r="F180" s="31"/>
      <c r="H180" s="30"/>
    </row>
    <row r="181" spans="6:9" x14ac:dyDescent="0.25">
      <c r="F181" s="31"/>
      <c r="H181" s="30"/>
    </row>
    <row r="182" spans="6:9" x14ac:dyDescent="0.25">
      <c r="F182" s="31"/>
      <c r="H182" s="30"/>
      <c r="I182" s="113"/>
    </row>
    <row r="183" spans="6:9" x14ac:dyDescent="0.25">
      <c r="F183" s="31"/>
      <c r="H183" s="30"/>
    </row>
    <row r="184" spans="6:9" x14ac:dyDescent="0.25">
      <c r="F184" s="23"/>
      <c r="H184" s="30"/>
    </row>
    <row r="185" spans="6:9" x14ac:dyDescent="0.25">
      <c r="F185" s="23"/>
      <c r="H185" s="30"/>
    </row>
    <row r="186" spans="6:9" x14ac:dyDescent="0.25">
      <c r="F186" s="23"/>
      <c r="H186" s="30"/>
    </row>
    <row r="187" spans="6:9" x14ac:dyDescent="0.25">
      <c r="F187" s="23"/>
      <c r="H187" s="30"/>
    </row>
    <row r="188" spans="6:9" x14ac:dyDescent="0.25">
      <c r="F188" s="23"/>
      <c r="H188" s="30"/>
    </row>
    <row r="189" spans="6:9" x14ac:dyDescent="0.25">
      <c r="F189" s="23"/>
      <c r="H189" s="30"/>
    </row>
    <row r="190" spans="6:9" x14ac:dyDescent="0.25">
      <c r="F190" s="23"/>
      <c r="H190" s="30"/>
    </row>
    <row r="191" spans="6:9" x14ac:dyDescent="0.25">
      <c r="F191" s="23"/>
      <c r="H191" s="30"/>
    </row>
    <row r="192" spans="6:9" x14ac:dyDescent="0.25">
      <c r="F192" s="23"/>
      <c r="H192" s="30"/>
    </row>
    <row r="193" spans="6:8" x14ac:dyDescent="0.25">
      <c r="F193" s="23"/>
      <c r="H193" s="30"/>
    </row>
    <row r="194" spans="6:8" x14ac:dyDescent="0.25">
      <c r="F194" s="23"/>
      <c r="H194" s="30"/>
    </row>
    <row r="195" spans="6:8" x14ac:dyDescent="0.25">
      <c r="F195" s="23"/>
      <c r="H195" s="30"/>
    </row>
    <row r="196" spans="6:8" x14ac:dyDescent="0.25">
      <c r="F196" s="23"/>
      <c r="H196" s="30"/>
    </row>
    <row r="197" spans="6:8" x14ac:dyDescent="0.25">
      <c r="F197" s="23"/>
      <c r="H197" s="30"/>
    </row>
    <row r="198" spans="6:8" x14ac:dyDescent="0.25">
      <c r="F198" s="23"/>
      <c r="H198" s="30"/>
    </row>
    <row r="199" spans="6:8" x14ac:dyDescent="0.25">
      <c r="F199" s="23"/>
      <c r="H199" s="30"/>
    </row>
    <row r="200" spans="6:8" x14ac:dyDescent="0.25">
      <c r="F200" s="23"/>
      <c r="H200" s="30"/>
    </row>
    <row r="201" spans="6:8" x14ac:dyDescent="0.25">
      <c r="F201" s="23"/>
      <c r="H201" s="30"/>
    </row>
    <row r="202" spans="6:8" x14ac:dyDescent="0.25">
      <c r="F202" s="23"/>
      <c r="H202" s="30"/>
    </row>
    <row r="203" spans="6:8" x14ac:dyDescent="0.25">
      <c r="F203" s="23"/>
      <c r="H203" s="30"/>
    </row>
    <row r="204" spans="6:8" x14ac:dyDescent="0.25">
      <c r="F204" s="23"/>
      <c r="H204" s="30"/>
    </row>
    <row r="205" spans="6:8" x14ac:dyDescent="0.25">
      <c r="F205" s="23"/>
      <c r="H205" s="30"/>
    </row>
    <row r="206" spans="6:8" x14ac:dyDescent="0.25">
      <c r="F206" s="23"/>
      <c r="H206" s="30"/>
    </row>
    <row r="207" spans="6:8" x14ac:dyDescent="0.25">
      <c r="F207" s="23"/>
      <c r="H207" s="30"/>
    </row>
    <row r="208" spans="6:8" x14ac:dyDescent="0.25">
      <c r="F208" s="23"/>
      <c r="H208" s="30"/>
    </row>
    <row r="209" spans="6:8" x14ac:dyDescent="0.25">
      <c r="F209" s="23"/>
      <c r="H209" s="30"/>
    </row>
    <row r="210" spans="6:8" x14ac:dyDescent="0.25">
      <c r="F210" s="23"/>
      <c r="H210" s="30"/>
    </row>
    <row r="211" spans="6:8" x14ac:dyDescent="0.25">
      <c r="F211" s="23"/>
      <c r="H211" s="30"/>
    </row>
    <row r="212" spans="6:8" x14ac:dyDescent="0.25">
      <c r="F212" s="23"/>
      <c r="H212" s="30"/>
    </row>
    <row r="213" spans="6:8" x14ac:dyDescent="0.25">
      <c r="F213" s="23"/>
      <c r="H213" s="30"/>
    </row>
    <row r="214" spans="6:8" x14ac:dyDescent="0.25">
      <c r="F214" s="23"/>
      <c r="H214" s="30"/>
    </row>
    <row r="215" spans="6:8" x14ac:dyDescent="0.25">
      <c r="F215" s="23"/>
      <c r="H215" s="30"/>
    </row>
    <row r="216" spans="6:8" x14ac:dyDescent="0.25">
      <c r="F216" s="23"/>
      <c r="H216" s="30"/>
    </row>
    <row r="217" spans="6:8" x14ac:dyDescent="0.25">
      <c r="F217" s="23"/>
      <c r="H217" s="30"/>
    </row>
    <row r="218" spans="6:8" x14ac:dyDescent="0.25">
      <c r="F218" s="23"/>
      <c r="H218" s="30"/>
    </row>
    <row r="219" spans="6:8" x14ac:dyDescent="0.25">
      <c r="F219" s="23"/>
      <c r="H219" s="30"/>
    </row>
    <row r="220" spans="6:8" x14ac:dyDescent="0.25">
      <c r="F220" s="23"/>
      <c r="H220" s="30"/>
    </row>
    <row r="221" spans="6:8" x14ac:dyDescent="0.25">
      <c r="F221" s="23"/>
      <c r="H221" s="30"/>
    </row>
    <row r="222" spans="6:8" x14ac:dyDescent="0.25">
      <c r="F222" s="23"/>
      <c r="H222" s="30"/>
    </row>
    <row r="223" spans="6:8" x14ac:dyDescent="0.25">
      <c r="F223" s="23"/>
      <c r="H223" s="30"/>
    </row>
    <row r="224" spans="6:8" x14ac:dyDescent="0.25">
      <c r="F224" s="23"/>
      <c r="H224" s="30"/>
    </row>
    <row r="225" spans="6:8" x14ac:dyDescent="0.25">
      <c r="F225" s="23"/>
      <c r="H225" s="30"/>
    </row>
    <row r="226" spans="6:8" x14ac:dyDescent="0.25">
      <c r="F226" s="23"/>
      <c r="H226" s="30"/>
    </row>
    <row r="227" spans="6:8" x14ac:dyDescent="0.25">
      <c r="F227" s="23"/>
      <c r="H227" s="30"/>
    </row>
    <row r="228" spans="6:8" x14ac:dyDescent="0.25">
      <c r="F228" s="23"/>
      <c r="H228" s="30"/>
    </row>
    <row r="229" spans="6:8" x14ac:dyDescent="0.25">
      <c r="F229" s="23"/>
      <c r="H229" s="30"/>
    </row>
    <row r="230" spans="6:8" x14ac:dyDescent="0.25">
      <c r="F230" s="23"/>
      <c r="H230" s="30"/>
    </row>
    <row r="231" spans="6:8" x14ac:dyDescent="0.25">
      <c r="F231" s="23"/>
      <c r="H231" s="30"/>
    </row>
    <row r="232" spans="6:8" x14ac:dyDescent="0.25">
      <c r="F232" s="23"/>
      <c r="H232" s="30"/>
    </row>
    <row r="233" spans="6:8" x14ac:dyDescent="0.25">
      <c r="F233" s="23"/>
      <c r="H233" s="30"/>
    </row>
    <row r="234" spans="6:8" x14ac:dyDescent="0.25">
      <c r="F234" s="23"/>
      <c r="H234" s="30"/>
    </row>
    <row r="235" spans="6:8" x14ac:dyDescent="0.25">
      <c r="F235" s="23"/>
      <c r="H235" s="30"/>
    </row>
    <row r="236" spans="6:8" x14ac:dyDescent="0.25">
      <c r="F236" s="23"/>
      <c r="H236" s="30"/>
    </row>
    <row r="237" spans="6:8" x14ac:dyDescent="0.25">
      <c r="F237" s="23"/>
      <c r="H237" s="30"/>
    </row>
    <row r="238" spans="6:8" x14ac:dyDescent="0.25">
      <c r="F238" s="23"/>
      <c r="H238" s="30"/>
    </row>
    <row r="239" spans="6:8" x14ac:dyDescent="0.25">
      <c r="F239" s="23"/>
      <c r="H239" s="30"/>
    </row>
    <row r="240" spans="6:8" x14ac:dyDescent="0.25">
      <c r="F240" s="23"/>
      <c r="H240" s="30"/>
    </row>
    <row r="241" spans="6:8" x14ac:dyDescent="0.25">
      <c r="F241" s="23"/>
      <c r="H241" s="30"/>
    </row>
    <row r="242" spans="6:8" x14ac:dyDescent="0.25">
      <c r="F242" s="23"/>
      <c r="H242" s="30"/>
    </row>
    <row r="243" spans="6:8" x14ac:dyDescent="0.25">
      <c r="F243" s="23"/>
      <c r="H243" s="30"/>
    </row>
    <row r="244" spans="6:8" x14ac:dyDescent="0.25">
      <c r="F244" s="23"/>
      <c r="H244" s="30"/>
    </row>
    <row r="245" spans="6:8" x14ac:dyDescent="0.25">
      <c r="F245" s="23"/>
      <c r="H245" s="30"/>
    </row>
    <row r="246" spans="6:8" x14ac:dyDescent="0.25">
      <c r="F246" s="23"/>
      <c r="H246" s="30"/>
    </row>
    <row r="247" spans="6:8" x14ac:dyDescent="0.25">
      <c r="F247" s="23"/>
      <c r="H247" s="30"/>
    </row>
    <row r="248" spans="6:8" x14ac:dyDescent="0.25">
      <c r="F248" s="23"/>
      <c r="H248" s="30"/>
    </row>
    <row r="249" spans="6:8" x14ac:dyDescent="0.25">
      <c r="F249" s="23"/>
      <c r="H249" s="30"/>
    </row>
    <row r="250" spans="6:8" x14ac:dyDescent="0.25">
      <c r="F250" s="23"/>
      <c r="H250" s="30"/>
    </row>
    <row r="251" spans="6:8" x14ac:dyDescent="0.25">
      <c r="F251" s="23"/>
      <c r="H251" s="30"/>
    </row>
    <row r="252" spans="6:8" x14ac:dyDescent="0.25">
      <c r="F252" s="23"/>
      <c r="H252" s="30"/>
    </row>
    <row r="253" spans="6:8" x14ac:dyDescent="0.25">
      <c r="F253" s="23"/>
      <c r="H253" s="30"/>
    </row>
    <row r="254" spans="6:8" x14ac:dyDescent="0.25">
      <c r="F254" s="23"/>
      <c r="H254" s="30"/>
    </row>
    <row r="255" spans="6:8" x14ac:dyDescent="0.25">
      <c r="F255" s="23"/>
      <c r="H255" s="30"/>
    </row>
    <row r="256" spans="6:8" x14ac:dyDescent="0.25">
      <c r="F256" s="23"/>
      <c r="H256" s="30"/>
    </row>
    <row r="257" spans="1:8" x14ac:dyDescent="0.25">
      <c r="F257" s="23"/>
      <c r="H257" s="30"/>
    </row>
    <row r="258" spans="1:8" x14ac:dyDescent="0.25">
      <c r="F258" s="23"/>
      <c r="H258" s="30"/>
    </row>
    <row r="259" spans="1:8" x14ac:dyDescent="0.25">
      <c r="F259" s="23"/>
      <c r="H259" s="30"/>
    </row>
    <row r="260" spans="1:8" x14ac:dyDescent="0.25">
      <c r="A260" s="13"/>
      <c r="F260" s="23"/>
      <c r="H260" s="30"/>
    </row>
    <row r="261" spans="1:8" x14ac:dyDescent="0.25">
      <c r="F261" s="23"/>
      <c r="H261" s="30"/>
    </row>
    <row r="262" spans="1:8" x14ac:dyDescent="0.25">
      <c r="F262" s="23"/>
      <c r="H262" s="30"/>
    </row>
    <row r="263" spans="1:8" x14ac:dyDescent="0.25">
      <c r="A263" s="1"/>
      <c r="F263" s="23"/>
      <c r="H263" s="30"/>
    </row>
    <row r="264" spans="1:8" x14ac:dyDescent="0.25">
      <c r="F264" s="23"/>
      <c r="H264" s="30"/>
    </row>
    <row r="265" spans="1:8" x14ac:dyDescent="0.25">
      <c r="F265" s="23"/>
      <c r="H265" s="30"/>
    </row>
    <row r="266" spans="1:8" x14ac:dyDescent="0.25">
      <c r="F266" s="23"/>
      <c r="H266" s="30"/>
    </row>
    <row r="267" spans="1:8" x14ac:dyDescent="0.25">
      <c r="E267" s="68"/>
      <c r="F267" s="23"/>
      <c r="H267" s="30"/>
    </row>
    <row r="268" spans="1:8" x14ac:dyDescent="0.25">
      <c r="F268" s="23"/>
      <c r="H268" s="30"/>
    </row>
    <row r="269" spans="1:8" x14ac:dyDescent="0.25">
      <c r="F269" s="23"/>
      <c r="H269" s="30"/>
    </row>
    <row r="270" spans="1:8" x14ac:dyDescent="0.25">
      <c r="F270" s="23"/>
      <c r="H270" s="30"/>
    </row>
    <row r="271" spans="1:8" x14ac:dyDescent="0.25">
      <c r="F271" s="23"/>
      <c r="H271" s="30"/>
    </row>
    <row r="272" spans="1:8" x14ac:dyDescent="0.25">
      <c r="F272" s="23"/>
      <c r="H272" s="30"/>
    </row>
    <row r="273" spans="1:8" x14ac:dyDescent="0.25">
      <c r="F273" s="23"/>
      <c r="H273" s="30"/>
    </row>
    <row r="274" spans="1:8" x14ac:dyDescent="0.25">
      <c r="F274" s="23"/>
      <c r="H274" s="30"/>
    </row>
    <row r="275" spans="1:8" x14ac:dyDescent="0.25">
      <c r="F275" s="23"/>
      <c r="H275" s="30"/>
    </row>
    <row r="276" spans="1:8" x14ac:dyDescent="0.25">
      <c r="A276" s="13"/>
      <c r="F276" s="23"/>
      <c r="H276" s="30"/>
    </row>
    <row r="277" spans="1:8" x14ac:dyDescent="0.25">
      <c r="F277" s="23"/>
      <c r="H277" s="30"/>
    </row>
    <row r="278" spans="1:8" x14ac:dyDescent="0.25">
      <c r="F278" s="23"/>
      <c r="H278" s="30"/>
    </row>
    <row r="279" spans="1:8" x14ac:dyDescent="0.25">
      <c r="F279" s="23"/>
      <c r="H279" s="30"/>
    </row>
    <row r="280" spans="1:8" x14ac:dyDescent="0.25">
      <c r="A280" s="13"/>
      <c r="F280" s="23"/>
      <c r="H280" s="30"/>
    </row>
    <row r="281" spans="1:8" x14ac:dyDescent="0.25">
      <c r="F281" s="23"/>
      <c r="H281" s="30"/>
    </row>
    <row r="282" spans="1:8" x14ac:dyDescent="0.25">
      <c r="F282" s="23"/>
      <c r="H282" s="30"/>
    </row>
    <row r="283" spans="1:8" x14ac:dyDescent="0.25">
      <c r="F283" s="31"/>
      <c r="H283" s="30"/>
    </row>
    <row r="284" spans="1:8" x14ac:dyDescent="0.25">
      <c r="F284" s="31"/>
      <c r="H284" s="30"/>
    </row>
    <row r="285" spans="1:8" x14ac:dyDescent="0.25">
      <c r="F285" s="31"/>
      <c r="H285" s="30"/>
    </row>
    <row r="286" spans="1:8" x14ac:dyDescent="0.25">
      <c r="F286" s="31"/>
      <c r="H286" s="30"/>
    </row>
    <row r="287" spans="1:8" x14ac:dyDescent="0.25">
      <c r="F287" s="31"/>
      <c r="H287" s="30"/>
    </row>
    <row r="288" spans="1:8" x14ac:dyDescent="0.25">
      <c r="F288" s="31"/>
      <c r="H288" s="30"/>
    </row>
    <row r="289" spans="6:8" x14ac:dyDescent="0.25">
      <c r="F289" s="31"/>
      <c r="H289" s="30"/>
    </row>
    <row r="290" spans="6:8" x14ac:dyDescent="0.25">
      <c r="F290" s="31"/>
      <c r="H290" s="30"/>
    </row>
    <row r="291" spans="6:8" x14ac:dyDescent="0.25">
      <c r="F291" s="31"/>
      <c r="H291" s="30"/>
    </row>
    <row r="292" spans="6:8" x14ac:dyDescent="0.25">
      <c r="F292" s="31"/>
      <c r="H292" s="30"/>
    </row>
    <row r="293" spans="6:8" x14ac:dyDescent="0.25">
      <c r="F293" s="31"/>
      <c r="H293" s="30"/>
    </row>
    <row r="294" spans="6:8" x14ac:dyDescent="0.25">
      <c r="F294" s="31"/>
      <c r="H294" s="30"/>
    </row>
    <row r="295" spans="6:8" x14ac:dyDescent="0.25">
      <c r="F295" s="31"/>
      <c r="H295" s="30"/>
    </row>
    <row r="296" spans="6:8" x14ac:dyDescent="0.25">
      <c r="F296" s="31"/>
      <c r="H296" s="30"/>
    </row>
    <row r="297" spans="6:8" x14ac:dyDescent="0.25">
      <c r="F297" s="31"/>
      <c r="H297" s="30"/>
    </row>
    <row r="298" spans="6:8" x14ac:dyDescent="0.25">
      <c r="F298" s="31"/>
      <c r="H298" s="30"/>
    </row>
    <row r="299" spans="6:8" x14ac:dyDescent="0.25">
      <c r="F299" s="31"/>
      <c r="H299" s="30"/>
    </row>
    <row r="300" spans="6:8" x14ac:dyDescent="0.25">
      <c r="F300" s="31"/>
      <c r="H300" s="30"/>
    </row>
    <row r="301" spans="6:8" x14ac:dyDescent="0.25">
      <c r="F301" s="31"/>
      <c r="H301" s="30"/>
    </row>
    <row r="302" spans="6:8" x14ac:dyDescent="0.25">
      <c r="F302" s="31"/>
      <c r="H302" s="30"/>
    </row>
    <row r="303" spans="6:8" x14ac:dyDescent="0.25">
      <c r="F303" s="31"/>
      <c r="H303" s="30"/>
    </row>
    <row r="304" spans="6:8" x14ac:dyDescent="0.25">
      <c r="F304" s="31"/>
      <c r="H304" s="30"/>
    </row>
    <row r="305" spans="6:8" x14ac:dyDescent="0.25">
      <c r="F305" s="31"/>
      <c r="H305" s="30"/>
    </row>
    <row r="306" spans="6:8" x14ac:dyDescent="0.25">
      <c r="F306" s="31"/>
      <c r="H306" s="30"/>
    </row>
    <row r="307" spans="6:8" x14ac:dyDescent="0.25">
      <c r="F307" s="31"/>
      <c r="H307" s="30"/>
    </row>
    <row r="308" spans="6:8" x14ac:dyDescent="0.25">
      <c r="F308" s="31"/>
      <c r="H308" s="30"/>
    </row>
    <row r="309" spans="6:8" x14ac:dyDescent="0.25">
      <c r="F309" s="31"/>
      <c r="H309" s="30"/>
    </row>
    <row r="310" spans="6:8" x14ac:dyDescent="0.25">
      <c r="F310" s="31"/>
      <c r="H310" s="30"/>
    </row>
    <row r="311" spans="6:8" x14ac:dyDescent="0.25">
      <c r="F311" s="31"/>
      <c r="H311" s="30"/>
    </row>
    <row r="312" spans="6:8" x14ac:dyDescent="0.25">
      <c r="F312" s="31"/>
      <c r="H312" s="30"/>
    </row>
    <row r="313" spans="6:8" x14ac:dyDescent="0.25">
      <c r="H313" s="30"/>
    </row>
    <row r="314" spans="6:8" x14ac:dyDescent="0.25">
      <c r="H314" s="30"/>
    </row>
    <row r="315" spans="6:8" x14ac:dyDescent="0.25">
      <c r="H315" s="30"/>
    </row>
    <row r="316" spans="6:8" x14ac:dyDescent="0.25">
      <c r="F316" s="31"/>
      <c r="H316" s="30"/>
    </row>
    <row r="317" spans="6:8" x14ac:dyDescent="0.25">
      <c r="F317" s="31"/>
      <c r="H317" s="30"/>
    </row>
    <row r="318" spans="6:8" x14ac:dyDescent="0.25">
      <c r="H318" s="30"/>
    </row>
    <row r="319" spans="6:8" x14ac:dyDescent="0.25">
      <c r="H319" s="30"/>
    </row>
    <row r="320" spans="6:8" x14ac:dyDescent="0.25">
      <c r="H320" s="30"/>
    </row>
    <row r="321" spans="8:8" x14ac:dyDescent="0.25">
      <c r="H321" s="30"/>
    </row>
    <row r="322" spans="8:8" x14ac:dyDescent="0.25">
      <c r="H322" s="30"/>
    </row>
    <row r="323" spans="8:8" x14ac:dyDescent="0.25">
      <c r="H323" s="30"/>
    </row>
    <row r="324" spans="8:8" x14ac:dyDescent="0.25">
      <c r="H324" s="30"/>
    </row>
    <row r="325" spans="8:8" x14ac:dyDescent="0.25">
      <c r="H325" s="30"/>
    </row>
    <row r="326" spans="8:8" x14ac:dyDescent="0.25">
      <c r="H326" s="30"/>
    </row>
    <row r="327" spans="8:8" x14ac:dyDescent="0.25">
      <c r="H327" s="30"/>
    </row>
    <row r="328" spans="8:8" x14ac:dyDescent="0.25">
      <c r="H328" s="30"/>
    </row>
    <row r="329" spans="8:8" x14ac:dyDescent="0.25">
      <c r="H329" s="30"/>
    </row>
    <row r="330" spans="8:8" x14ac:dyDescent="0.25">
      <c r="H330" s="30"/>
    </row>
    <row r="331" spans="8:8" x14ac:dyDescent="0.25">
      <c r="H331" s="30"/>
    </row>
    <row r="332" spans="8:8" x14ac:dyDescent="0.25">
      <c r="H332" s="30"/>
    </row>
    <row r="333" spans="8:8" x14ac:dyDescent="0.25">
      <c r="H333" s="30"/>
    </row>
    <row r="334" spans="8:8" x14ac:dyDescent="0.25">
      <c r="H334" s="30"/>
    </row>
    <row r="335" spans="8:8" x14ac:dyDescent="0.25">
      <c r="H335" s="30"/>
    </row>
    <row r="336" spans="8:8" x14ac:dyDescent="0.25">
      <c r="H336" s="30"/>
    </row>
    <row r="337" spans="8:8" x14ac:dyDescent="0.25">
      <c r="H337" s="30"/>
    </row>
    <row r="338" spans="8:8" x14ac:dyDescent="0.25">
      <c r="H338" s="30"/>
    </row>
    <row r="339" spans="8:8" x14ac:dyDescent="0.25">
      <c r="H339" s="30"/>
    </row>
    <row r="340" spans="8:8" x14ac:dyDescent="0.25">
      <c r="H340" s="30"/>
    </row>
    <row r="341" spans="8:8" x14ac:dyDescent="0.25">
      <c r="H341" s="30"/>
    </row>
    <row r="342" spans="8:8" x14ac:dyDescent="0.25">
      <c r="H342" s="30"/>
    </row>
    <row r="343" spans="8:8" x14ac:dyDescent="0.25">
      <c r="H343" s="30"/>
    </row>
    <row r="344" spans="8:8" x14ac:dyDescent="0.25">
      <c r="H344" s="30"/>
    </row>
    <row r="345" spans="8:8" x14ac:dyDescent="0.25">
      <c r="H345" s="30"/>
    </row>
    <row r="346" spans="8:8" x14ac:dyDescent="0.25">
      <c r="H346" s="30"/>
    </row>
    <row r="347" spans="8:8" x14ac:dyDescent="0.25">
      <c r="H347" s="30"/>
    </row>
    <row r="348" spans="8:8" x14ac:dyDescent="0.25">
      <c r="H348" s="30"/>
    </row>
    <row r="349" spans="8:8" x14ac:dyDescent="0.25">
      <c r="H349" s="30"/>
    </row>
    <row r="350" spans="8:8" x14ac:dyDescent="0.25">
      <c r="H350" s="30"/>
    </row>
    <row r="351" spans="8:8" x14ac:dyDescent="0.25">
      <c r="H351" s="30"/>
    </row>
    <row r="352" spans="8:8" x14ac:dyDescent="0.25">
      <c r="H352" s="30"/>
    </row>
    <row r="353" spans="6:8" x14ac:dyDescent="0.25">
      <c r="H353" s="30"/>
    </row>
    <row r="354" spans="6:8" x14ac:dyDescent="0.25">
      <c r="F354" s="31"/>
      <c r="H354" s="30"/>
    </row>
    <row r="355" spans="6:8" x14ac:dyDescent="0.25">
      <c r="H355" s="30"/>
    </row>
    <row r="356" spans="6:8" x14ac:dyDescent="0.25">
      <c r="H356" s="30"/>
    </row>
    <row r="357" spans="6:8" x14ac:dyDescent="0.25">
      <c r="H357" s="30"/>
    </row>
    <row r="358" spans="6:8" x14ac:dyDescent="0.25">
      <c r="H358" s="30"/>
    </row>
    <row r="359" spans="6:8" x14ac:dyDescent="0.25">
      <c r="H359" s="30"/>
    </row>
    <row r="360" spans="6:8" x14ac:dyDescent="0.25">
      <c r="H360" s="30"/>
    </row>
    <row r="361" spans="6:8" x14ac:dyDescent="0.25">
      <c r="H361" s="30"/>
    </row>
    <row r="362" spans="6:8" x14ac:dyDescent="0.25">
      <c r="H362" s="30"/>
    </row>
    <row r="363" spans="6:8" x14ac:dyDescent="0.25">
      <c r="H363" s="30"/>
    </row>
    <row r="364" spans="6:8" x14ac:dyDescent="0.25">
      <c r="H364" s="30"/>
    </row>
    <row r="365" spans="6:8" x14ac:dyDescent="0.25">
      <c r="H365" s="30"/>
    </row>
    <row r="366" spans="6:8" x14ac:dyDescent="0.25">
      <c r="H366" s="30"/>
    </row>
    <row r="367" spans="6:8" x14ac:dyDescent="0.25">
      <c r="H367" s="30"/>
    </row>
    <row r="368" spans="6:8" x14ac:dyDescent="0.25">
      <c r="H368" s="30"/>
    </row>
    <row r="369" spans="8:8" x14ac:dyDescent="0.25">
      <c r="H369" s="30"/>
    </row>
    <row r="370" spans="8:8" x14ac:dyDescent="0.25">
      <c r="H370" s="30"/>
    </row>
    <row r="371" spans="8:8" x14ac:dyDescent="0.25">
      <c r="H371" s="30"/>
    </row>
    <row r="372" spans="8:8" x14ac:dyDescent="0.25">
      <c r="H372" s="30"/>
    </row>
    <row r="373" spans="8:8" x14ac:dyDescent="0.25">
      <c r="H373" s="30"/>
    </row>
    <row r="374" spans="8:8" x14ac:dyDescent="0.25">
      <c r="H374" s="30"/>
    </row>
    <row r="375" spans="8:8" x14ac:dyDescent="0.25">
      <c r="H375" s="30"/>
    </row>
    <row r="376" spans="8:8" x14ac:dyDescent="0.25">
      <c r="H376" s="30"/>
    </row>
    <row r="377" spans="8:8" x14ac:dyDescent="0.25">
      <c r="H377" s="30"/>
    </row>
    <row r="378" spans="8:8" x14ac:dyDescent="0.25">
      <c r="H378" s="30"/>
    </row>
    <row r="379" spans="8:8" x14ac:dyDescent="0.25">
      <c r="H379" s="30"/>
    </row>
    <row r="380" spans="8:8" x14ac:dyDescent="0.25">
      <c r="H380" s="30"/>
    </row>
    <row r="381" spans="8:8" x14ac:dyDescent="0.25">
      <c r="H381" s="30"/>
    </row>
    <row r="382" spans="8:8" x14ac:dyDescent="0.25">
      <c r="H382" s="30"/>
    </row>
    <row r="383" spans="8:8" x14ac:dyDescent="0.25">
      <c r="H383" s="30"/>
    </row>
    <row r="384" spans="8:8" x14ac:dyDescent="0.25">
      <c r="H384" s="30"/>
    </row>
    <row r="385" spans="8:8" x14ac:dyDescent="0.25">
      <c r="H385" s="30"/>
    </row>
    <row r="386" spans="8:8" x14ac:dyDescent="0.25">
      <c r="H386" s="30"/>
    </row>
    <row r="387" spans="8:8" x14ac:dyDescent="0.25">
      <c r="H387" s="30"/>
    </row>
    <row r="388" spans="8:8" x14ac:dyDescent="0.25">
      <c r="H388" s="30"/>
    </row>
    <row r="389" spans="8:8" x14ac:dyDescent="0.25">
      <c r="H389" s="30"/>
    </row>
    <row r="390" spans="8:8" x14ac:dyDescent="0.25">
      <c r="H390" s="30"/>
    </row>
    <row r="391" spans="8:8" x14ac:dyDescent="0.25">
      <c r="H391" s="30"/>
    </row>
    <row r="392" spans="8:8" x14ac:dyDescent="0.25">
      <c r="H392" s="30"/>
    </row>
    <row r="393" spans="8:8" x14ac:dyDescent="0.25">
      <c r="H393" s="30"/>
    </row>
    <row r="394" spans="8:8" x14ac:dyDescent="0.25">
      <c r="H394" s="30"/>
    </row>
    <row r="395" spans="8:8" x14ac:dyDescent="0.25">
      <c r="H395" s="30"/>
    </row>
    <row r="396" spans="8:8" x14ac:dyDescent="0.25">
      <c r="H396" s="30"/>
    </row>
    <row r="397" spans="8:8" x14ac:dyDescent="0.25">
      <c r="H397" s="30"/>
    </row>
    <row r="398" spans="8:8" x14ac:dyDescent="0.25">
      <c r="H398" s="30"/>
    </row>
    <row r="399" spans="8:8" x14ac:dyDescent="0.25">
      <c r="H399" s="30"/>
    </row>
    <row r="400" spans="8:8" x14ac:dyDescent="0.25">
      <c r="H400" s="30"/>
    </row>
  </sheetData>
  <hyperlinks>
    <hyperlink ref="K3" r:id="rId1" xr:uid="{9A1281E3-5DA8-48A9-8E4E-4059294B8826}"/>
    <hyperlink ref="K5" r:id="rId2" xr:uid="{99CD8A90-D3A0-4814-A8B6-F8AD3B6EB0EC}"/>
    <hyperlink ref="K6" r:id="rId3" xr:uid="{6F01C39B-7CC5-482A-8323-3B208E4A9C8A}"/>
    <hyperlink ref="K7" r:id="rId4" xr:uid="{2476F13E-EE31-4891-B3A5-DE29D7992367}"/>
    <hyperlink ref="K9" r:id="rId5" xr:uid="{05F8EB4D-D67D-4316-8BB3-43DB18F5FD5C}"/>
    <hyperlink ref="K10" r:id="rId6" xr:uid="{E3B9ACC6-DA4D-4053-8E18-B15E5BE02F0E}"/>
    <hyperlink ref="K11" r:id="rId7" xr:uid="{C4F7E287-BF38-45B8-989B-C04FE311DD32}"/>
    <hyperlink ref="K12" r:id="rId8" xr:uid="{DA07759D-40A8-40FA-B3E1-A0BF018F6C95}"/>
    <hyperlink ref="K13" r:id="rId9" xr:uid="{C07D2508-93D9-4C4C-A5BB-3CDDCC5DD710}"/>
    <hyperlink ref="K14" r:id="rId10" xr:uid="{C0AA4BE4-B6F6-4E86-9C25-BD461B4B18B2}"/>
    <hyperlink ref="K15" r:id="rId11" xr:uid="{5B5758FF-C3B8-4A48-A6E3-F59B30E4C4FD}"/>
    <hyperlink ref="K16" r:id="rId12" xr:uid="{073207EF-526C-48AE-BC6B-8D0CFD28E41B}"/>
    <hyperlink ref="K17" r:id="rId13" xr:uid="{93B3A276-966A-475D-80C4-0ECECCED118E}"/>
    <hyperlink ref="K19" r:id="rId14" xr:uid="{C21C26A4-710B-41EB-B40B-FC3F4E426D10}"/>
    <hyperlink ref="K20" r:id="rId15" xr:uid="{E4EDE489-65CA-4D71-9C29-441CA016171E}"/>
    <hyperlink ref="K21" r:id="rId16" xr:uid="{9F78196A-5671-415C-BFB0-EE811887CFC1}"/>
    <hyperlink ref="K22" r:id="rId17" xr:uid="{907EB1FA-9ACC-4DE4-A637-B1D40F03A700}"/>
    <hyperlink ref="K23" r:id="rId18" xr:uid="{B7A5A910-5039-44C2-9277-863438318AF0}"/>
    <hyperlink ref="K24" r:id="rId19" xr:uid="{08051F2D-6CB5-4D12-89A7-E020FF0250B6}"/>
    <hyperlink ref="K31" r:id="rId20" xr:uid="{8354B36B-4FCC-4AD4-B261-2502F3296820}"/>
    <hyperlink ref="K30" r:id="rId21" xr:uid="{7D04527D-07CF-448F-A114-DC5614C2F7DD}"/>
    <hyperlink ref="K33" r:id="rId22" xr:uid="{3C4DAC62-2CE8-4D29-84AE-8A4A1E9A1699}"/>
    <hyperlink ref="K34" r:id="rId23" xr:uid="{2AECF9FC-05E3-47B7-8641-F21328B778C7}"/>
    <hyperlink ref="K35" r:id="rId24" xr:uid="{282E19A8-03C6-4598-8023-10782AF36BF8}"/>
    <hyperlink ref="K26" r:id="rId25" xr:uid="{EA59501E-0E94-4ACC-BD02-8A3DCABF71BE}"/>
    <hyperlink ref="K27" r:id="rId26" xr:uid="{DF75F91F-6310-462A-8A45-04F73CE7F7D2}"/>
    <hyperlink ref="K28" r:id="rId27" xr:uid="{985E6902-3907-40B1-BB57-C6A4C33C1EF2}"/>
    <hyperlink ref="K29" r:id="rId28" xr:uid="{DBE922E2-07DB-46C7-ABE6-B358D7DB46C9}"/>
    <hyperlink ref="K32" r:id="rId29" xr:uid="{4A47EBA7-0BD7-48AE-B319-BB9FEFE1E14F}"/>
    <hyperlink ref="K36" r:id="rId30" xr:uid="{62F9DF3C-3306-45C5-B5BE-24C3FE118B63}"/>
    <hyperlink ref="K37" r:id="rId31" xr:uid="{27184E5E-229B-46E6-B253-9B199E033467}"/>
    <hyperlink ref="K38" r:id="rId32" xr:uid="{B780B441-0915-45C5-AACA-04149FA3BDAC}"/>
    <hyperlink ref="K39" r:id="rId33" xr:uid="{04FABBC9-9287-4F80-8A20-BC6250DEC7E6}"/>
    <hyperlink ref="K45" r:id="rId34" xr:uid="{51956344-348F-4CFC-ACCC-E332B31A75E2}"/>
    <hyperlink ref="K41" r:id="rId35" xr:uid="{584632E3-D4B4-4C4C-B0F9-789B29E21883}"/>
    <hyperlink ref="K43" r:id="rId36" xr:uid="{BD856926-8111-42F8-8442-0C7D8528860F}"/>
    <hyperlink ref="K44" r:id="rId37" xr:uid="{0CD48B4F-07F8-4E47-907F-FF9AB7859F93}"/>
    <hyperlink ref="K46" r:id="rId38" xr:uid="{3A8CDF97-AB19-40DA-AC6C-3FA8EDC81CD2}"/>
    <hyperlink ref="K47" r:id="rId39" xr:uid="{156EF9DC-F516-427F-B328-B2808D6AE419}"/>
    <hyperlink ref="K18" r:id="rId40" display="../../../../../:i:/s/AdvancedSurfacePlatingApS/EbeC_yloyplNpD6LYhv2CCwBT7jeHT_3jB4Lv8_Qz36dTg?e=F0hJz7" xr:uid="{63D520BE-EC28-4CE7-8F09-7ABF5CC3CB3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EC443-6DFC-4885-ABA7-AAF890BF821D}">
  <dimension ref="A1:K12"/>
  <sheetViews>
    <sheetView workbookViewId="0">
      <selection activeCell="A11" sqref="A11"/>
    </sheetView>
  </sheetViews>
  <sheetFormatPr defaultRowHeight="15" x14ac:dyDescent="0.25"/>
  <cols>
    <col min="1" max="1" width="70.7109375" customWidth="1"/>
    <col min="2" max="2" width="15.5703125" customWidth="1"/>
    <col min="3" max="3" width="13" customWidth="1"/>
    <col min="4" max="4" width="19.42578125" customWidth="1"/>
    <col min="5" max="5" width="14.5703125" customWidth="1"/>
    <col min="6" max="6" width="30.140625" bestFit="1" customWidth="1"/>
    <col min="7" max="7" width="14.42578125" bestFit="1" customWidth="1"/>
    <col min="8" max="8" width="22.28515625" style="27" bestFit="1" customWidth="1"/>
    <col min="9" max="9" width="44.85546875" customWidth="1"/>
    <col min="10" max="10" width="22.28515625" customWidth="1"/>
    <col min="11" max="11" width="32" customWidth="1"/>
  </cols>
  <sheetData>
    <row r="1" spans="1:11" x14ac:dyDescent="0.25">
      <c r="A1" s="6" t="s">
        <v>28</v>
      </c>
      <c r="B1" s="7" t="s">
        <v>29</v>
      </c>
      <c r="C1" s="7" t="s">
        <v>30</v>
      </c>
      <c r="D1" s="7" t="s">
        <v>31</v>
      </c>
      <c r="E1" s="7" t="s">
        <v>32</v>
      </c>
      <c r="F1" s="7" t="s">
        <v>33</v>
      </c>
      <c r="G1" s="7" t="s">
        <v>34</v>
      </c>
      <c r="H1" s="15" t="s">
        <v>35</v>
      </c>
      <c r="I1" s="11" t="s">
        <v>36</v>
      </c>
      <c r="J1" s="97" t="s">
        <v>37</v>
      </c>
      <c r="K1" s="12" t="s">
        <v>38</v>
      </c>
    </row>
    <row r="2" spans="1:11" x14ac:dyDescent="0.25">
      <c r="A2" t="s">
        <v>1896</v>
      </c>
      <c r="B2" t="s">
        <v>40</v>
      </c>
      <c r="C2" t="s">
        <v>194</v>
      </c>
      <c r="D2" t="s">
        <v>245</v>
      </c>
      <c r="E2">
        <v>168</v>
      </c>
      <c r="F2" t="s">
        <v>1897</v>
      </c>
      <c r="G2" t="s">
        <v>246</v>
      </c>
      <c r="H2" s="27">
        <v>45812</v>
      </c>
      <c r="K2" s="42"/>
    </row>
    <row r="3" spans="1:11" x14ac:dyDescent="0.25">
      <c r="A3" t="s">
        <v>1898</v>
      </c>
      <c r="B3" t="s">
        <v>40</v>
      </c>
      <c r="C3" t="s">
        <v>194</v>
      </c>
      <c r="D3" t="s">
        <v>245</v>
      </c>
      <c r="E3">
        <v>168</v>
      </c>
      <c r="F3" s="24" t="s">
        <v>1897</v>
      </c>
      <c r="G3" t="s">
        <v>246</v>
      </c>
      <c r="H3" s="27">
        <v>45812</v>
      </c>
    </row>
    <row r="4" spans="1:11" x14ac:dyDescent="0.25">
      <c r="A4" t="s">
        <v>1899</v>
      </c>
      <c r="B4" t="s">
        <v>40</v>
      </c>
      <c r="C4" t="s">
        <v>194</v>
      </c>
      <c r="D4" t="s">
        <v>194</v>
      </c>
      <c r="E4">
        <v>42.5</v>
      </c>
      <c r="F4" t="s">
        <v>1900</v>
      </c>
      <c r="G4" t="s">
        <v>246</v>
      </c>
      <c r="H4" s="27">
        <v>45814</v>
      </c>
      <c r="I4" t="s">
        <v>1901</v>
      </c>
      <c r="J4" t="s">
        <v>196</v>
      </c>
    </row>
    <row r="5" spans="1:11" x14ac:dyDescent="0.25">
      <c r="A5" t="s">
        <v>1902</v>
      </c>
      <c r="B5" t="s">
        <v>40</v>
      </c>
      <c r="C5" t="s">
        <v>194</v>
      </c>
      <c r="D5" t="s">
        <v>194</v>
      </c>
      <c r="E5">
        <v>42.5</v>
      </c>
      <c r="F5" t="s">
        <v>1900</v>
      </c>
      <c r="G5" t="s">
        <v>246</v>
      </c>
      <c r="H5" s="27">
        <v>45814</v>
      </c>
      <c r="I5" t="s">
        <v>1901</v>
      </c>
    </row>
    <row r="6" spans="1:11" x14ac:dyDescent="0.25">
      <c r="A6" t="s">
        <v>1903</v>
      </c>
      <c r="B6" t="s">
        <v>40</v>
      </c>
      <c r="C6" t="s">
        <v>194</v>
      </c>
      <c r="D6" t="s">
        <v>194</v>
      </c>
      <c r="E6">
        <v>168</v>
      </c>
      <c r="F6" t="s">
        <v>1904</v>
      </c>
      <c r="G6" t="s">
        <v>246</v>
      </c>
      <c r="H6" s="27">
        <v>45827</v>
      </c>
    </row>
    <row r="7" spans="1:11" x14ac:dyDescent="0.25">
      <c r="A7" t="s">
        <v>1905</v>
      </c>
      <c r="B7" t="s">
        <v>40</v>
      </c>
      <c r="C7" t="s">
        <v>194</v>
      </c>
      <c r="D7" t="s">
        <v>194</v>
      </c>
      <c r="E7">
        <v>168</v>
      </c>
      <c r="F7" t="s">
        <v>1904</v>
      </c>
      <c r="G7" t="s">
        <v>246</v>
      </c>
      <c r="H7" s="27">
        <v>45827</v>
      </c>
    </row>
    <row r="8" spans="1:11" x14ac:dyDescent="0.25">
      <c r="A8" t="s">
        <v>1906</v>
      </c>
      <c r="B8" t="s">
        <v>566</v>
      </c>
      <c r="C8" t="s">
        <v>566</v>
      </c>
      <c r="E8">
        <v>236</v>
      </c>
      <c r="F8" t="s">
        <v>1907</v>
      </c>
      <c r="G8" t="s">
        <v>358</v>
      </c>
      <c r="H8" s="27">
        <v>46116</v>
      </c>
    </row>
    <row r="9" spans="1:11" x14ac:dyDescent="0.25">
      <c r="A9" t="s">
        <v>1908</v>
      </c>
      <c r="B9" t="s">
        <v>566</v>
      </c>
      <c r="C9" t="s">
        <v>363</v>
      </c>
      <c r="D9" t="s">
        <v>363</v>
      </c>
      <c r="E9">
        <v>245</v>
      </c>
      <c r="F9" t="s">
        <v>1907</v>
      </c>
      <c r="G9" t="s">
        <v>358</v>
      </c>
      <c r="H9" s="27">
        <v>46122</v>
      </c>
      <c r="I9" t="s">
        <v>1909</v>
      </c>
      <c r="J9" t="s">
        <v>411</v>
      </c>
    </row>
    <row r="10" spans="1:11" x14ac:dyDescent="0.25">
      <c r="A10" t="s">
        <v>1910</v>
      </c>
      <c r="B10" t="s">
        <v>40</v>
      </c>
      <c r="C10" t="s">
        <v>1911</v>
      </c>
      <c r="D10" t="s">
        <v>1234</v>
      </c>
      <c r="E10">
        <v>142</v>
      </c>
      <c r="F10" t="s">
        <v>1912</v>
      </c>
      <c r="G10" t="s">
        <v>358</v>
      </c>
      <c r="H10" s="27">
        <v>46177</v>
      </c>
      <c r="I10" t="s">
        <v>1913</v>
      </c>
      <c r="J10" t="s">
        <v>1824</v>
      </c>
    </row>
    <row r="11" spans="1:11" x14ac:dyDescent="0.25">
      <c r="A11" t="s">
        <v>1914</v>
      </c>
      <c r="B11" t="s">
        <v>40</v>
      </c>
      <c r="C11" t="s">
        <v>1911</v>
      </c>
      <c r="D11" t="s">
        <v>1234</v>
      </c>
      <c r="E11">
        <v>142</v>
      </c>
      <c r="F11" t="s">
        <v>1912</v>
      </c>
      <c r="G11" t="s">
        <v>358</v>
      </c>
      <c r="H11" s="27">
        <v>46177</v>
      </c>
      <c r="I11" t="s">
        <v>1913</v>
      </c>
      <c r="J11" t="s">
        <v>1824</v>
      </c>
    </row>
    <row r="12" spans="1:11" x14ac:dyDescent="0.25">
      <c r="A12" t="s">
        <v>1915</v>
      </c>
      <c r="B12" t="s">
        <v>1916</v>
      </c>
      <c r="C12" t="s">
        <v>414</v>
      </c>
      <c r="D12" t="s">
        <v>1232</v>
      </c>
      <c r="E12">
        <v>845</v>
      </c>
      <c r="F12" t="s">
        <v>1917</v>
      </c>
      <c r="G12" t="s">
        <v>358</v>
      </c>
      <c r="H12" s="27">
        <v>46216</v>
      </c>
      <c r="I12" t="s">
        <v>1918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FAA7-7452-42A9-B73C-B76195D3F063}">
  <dimension ref="A1:K62"/>
  <sheetViews>
    <sheetView topLeftCell="F38" workbookViewId="0">
      <selection activeCell="I71" sqref="I71"/>
    </sheetView>
  </sheetViews>
  <sheetFormatPr defaultRowHeight="15" customHeight="1" x14ac:dyDescent="0.25"/>
  <cols>
    <col min="1" max="1" width="61.28515625" customWidth="1"/>
    <col min="2" max="2" width="6.7109375" bestFit="1" customWidth="1"/>
    <col min="3" max="3" width="13.28515625" bestFit="1" customWidth="1"/>
    <col min="4" max="4" width="15.7109375" bestFit="1" customWidth="1"/>
    <col min="5" max="5" width="13" bestFit="1" customWidth="1"/>
    <col min="6" max="6" width="51.28515625" bestFit="1" customWidth="1"/>
    <col min="7" max="7" width="16.7109375" customWidth="1"/>
    <col min="8" max="8" width="20.42578125" style="27" bestFit="1" customWidth="1"/>
    <col min="9" max="9" width="135.28515625" bestFit="1" customWidth="1"/>
    <col min="10" max="10" width="31.42578125" customWidth="1"/>
  </cols>
  <sheetData>
    <row r="1" spans="1:11" x14ac:dyDescent="0.25">
      <c r="A1" s="4" t="s">
        <v>28</v>
      </c>
      <c r="B1" s="4" t="s">
        <v>29</v>
      </c>
      <c r="C1" s="4" t="s">
        <v>30</v>
      </c>
      <c r="D1" s="4" t="s">
        <v>31</v>
      </c>
      <c r="E1" s="4" t="s">
        <v>32</v>
      </c>
      <c r="F1" s="4" t="s">
        <v>33</v>
      </c>
      <c r="G1" s="9" t="s">
        <v>34</v>
      </c>
      <c r="H1" s="5" t="s">
        <v>35</v>
      </c>
      <c r="I1" s="4" t="s">
        <v>36</v>
      </c>
      <c r="J1" s="98" t="s">
        <v>37</v>
      </c>
      <c r="K1" s="12" t="s">
        <v>38</v>
      </c>
    </row>
    <row r="2" spans="1:11" x14ac:dyDescent="0.25">
      <c r="A2" t="s">
        <v>1919</v>
      </c>
      <c r="B2" t="s">
        <v>428</v>
      </c>
      <c r="C2" t="s">
        <v>1920</v>
      </c>
      <c r="D2" t="s">
        <v>1920</v>
      </c>
      <c r="E2">
        <v>6</v>
      </c>
      <c r="F2" t="s">
        <v>1921</v>
      </c>
      <c r="G2" t="s">
        <v>52</v>
      </c>
      <c r="H2" s="27">
        <v>45716</v>
      </c>
      <c r="I2" t="s">
        <v>1922</v>
      </c>
      <c r="J2" t="s">
        <v>1923</v>
      </c>
      <c r="K2" s="42" t="s">
        <v>1924</v>
      </c>
    </row>
    <row r="3" spans="1:11" x14ac:dyDescent="0.25">
      <c r="A3" t="s">
        <v>1925</v>
      </c>
      <c r="B3" t="s">
        <v>428</v>
      </c>
      <c r="C3" t="s">
        <v>1920</v>
      </c>
      <c r="D3" t="s">
        <v>1920</v>
      </c>
      <c r="E3">
        <v>6</v>
      </c>
      <c r="F3" t="s">
        <v>1921</v>
      </c>
      <c r="G3" t="s">
        <v>52</v>
      </c>
      <c r="H3" s="27">
        <v>45716</v>
      </c>
      <c r="J3" t="s">
        <v>1923</v>
      </c>
    </row>
    <row r="4" spans="1:11" x14ac:dyDescent="0.25">
      <c r="A4" t="s">
        <v>1926</v>
      </c>
      <c r="B4" t="s">
        <v>428</v>
      </c>
      <c r="C4" t="s">
        <v>1920</v>
      </c>
      <c r="D4" t="s">
        <v>1920</v>
      </c>
      <c r="E4">
        <v>6</v>
      </c>
      <c r="F4" t="s">
        <v>1921</v>
      </c>
      <c r="G4" t="s">
        <v>52</v>
      </c>
      <c r="H4" s="27">
        <v>45716</v>
      </c>
      <c r="J4" t="s">
        <v>1923</v>
      </c>
    </row>
    <row r="5" spans="1:11" x14ac:dyDescent="0.25">
      <c r="A5" t="s">
        <v>1927</v>
      </c>
      <c r="B5" t="s">
        <v>428</v>
      </c>
      <c r="C5" t="s">
        <v>1920</v>
      </c>
      <c r="D5" t="s">
        <v>203</v>
      </c>
      <c r="E5">
        <v>6</v>
      </c>
      <c r="F5" t="s">
        <v>1928</v>
      </c>
      <c r="G5" t="s">
        <v>52</v>
      </c>
      <c r="H5" s="27">
        <v>45720</v>
      </c>
      <c r="I5" t="s">
        <v>1929</v>
      </c>
      <c r="J5" t="s">
        <v>1923</v>
      </c>
    </row>
    <row r="6" spans="1:11" x14ac:dyDescent="0.25">
      <c r="A6" t="s">
        <v>1930</v>
      </c>
      <c r="B6" t="s">
        <v>428</v>
      </c>
      <c r="C6" t="s">
        <v>1920</v>
      </c>
      <c r="D6" t="s">
        <v>1920</v>
      </c>
      <c r="E6">
        <v>6</v>
      </c>
      <c r="F6" t="s">
        <v>1928</v>
      </c>
      <c r="G6" t="s">
        <v>52</v>
      </c>
      <c r="H6" s="27">
        <v>45720</v>
      </c>
      <c r="J6" t="s">
        <v>1923</v>
      </c>
    </row>
    <row r="7" spans="1:11" x14ac:dyDescent="0.25">
      <c r="A7" t="s">
        <v>1931</v>
      </c>
      <c r="B7" t="s">
        <v>428</v>
      </c>
      <c r="C7" t="s">
        <v>1920</v>
      </c>
      <c r="D7" t="s">
        <v>1920</v>
      </c>
      <c r="E7">
        <v>6</v>
      </c>
      <c r="F7" t="s">
        <v>1928</v>
      </c>
      <c r="G7" t="s">
        <v>52</v>
      </c>
      <c r="H7" s="27">
        <v>45720</v>
      </c>
      <c r="J7" t="s">
        <v>1923</v>
      </c>
    </row>
    <row r="8" spans="1:11" x14ac:dyDescent="0.25">
      <c r="A8" s="13" t="s">
        <v>1932</v>
      </c>
      <c r="B8" t="s">
        <v>428</v>
      </c>
      <c r="C8" t="s">
        <v>1920</v>
      </c>
      <c r="D8" t="s">
        <v>203</v>
      </c>
      <c r="E8">
        <v>3</v>
      </c>
      <c r="F8" t="s">
        <v>1933</v>
      </c>
      <c r="G8" t="s">
        <v>52</v>
      </c>
      <c r="H8" s="27">
        <v>45720</v>
      </c>
      <c r="I8" t="s">
        <v>1934</v>
      </c>
      <c r="J8" t="s">
        <v>1923</v>
      </c>
    </row>
    <row r="9" spans="1:11" x14ac:dyDescent="0.25">
      <c r="A9" s="13" t="s">
        <v>1935</v>
      </c>
      <c r="B9" t="s">
        <v>428</v>
      </c>
      <c r="C9" t="s">
        <v>1920</v>
      </c>
      <c r="D9" t="s">
        <v>178</v>
      </c>
      <c r="E9">
        <v>3</v>
      </c>
      <c r="F9" t="s">
        <v>1933</v>
      </c>
      <c r="G9" t="s">
        <v>52</v>
      </c>
      <c r="H9" s="27">
        <v>45721</v>
      </c>
      <c r="I9" t="s">
        <v>1936</v>
      </c>
      <c r="J9" t="s">
        <v>1923</v>
      </c>
    </row>
    <row r="10" spans="1:11" x14ac:dyDescent="0.25">
      <c r="A10" s="13" t="s">
        <v>1937</v>
      </c>
      <c r="B10" t="s">
        <v>428</v>
      </c>
      <c r="C10" t="s">
        <v>1920</v>
      </c>
      <c r="D10" t="s">
        <v>178</v>
      </c>
      <c r="E10">
        <v>3</v>
      </c>
      <c r="F10" t="s">
        <v>1933</v>
      </c>
      <c r="G10" t="s">
        <v>52</v>
      </c>
      <c r="H10" s="27">
        <v>45721</v>
      </c>
      <c r="I10" t="s">
        <v>1936</v>
      </c>
      <c r="J10" t="s">
        <v>1923</v>
      </c>
    </row>
    <row r="11" spans="1:11" x14ac:dyDescent="0.25">
      <c r="A11" t="s">
        <v>1938</v>
      </c>
      <c r="B11" t="s">
        <v>428</v>
      </c>
      <c r="C11" t="s">
        <v>1920</v>
      </c>
      <c r="D11" t="s">
        <v>1920</v>
      </c>
      <c r="E11">
        <v>3</v>
      </c>
      <c r="F11" t="s">
        <v>1933</v>
      </c>
      <c r="G11" t="s">
        <v>52</v>
      </c>
      <c r="H11" s="27">
        <v>45722</v>
      </c>
      <c r="I11" t="s">
        <v>1929</v>
      </c>
      <c r="J11" t="s">
        <v>1923</v>
      </c>
    </row>
    <row r="12" spans="1:11" x14ac:dyDescent="0.25">
      <c r="A12" t="s">
        <v>1939</v>
      </c>
      <c r="B12" t="s">
        <v>428</v>
      </c>
      <c r="C12" t="s">
        <v>1920</v>
      </c>
      <c r="D12" t="s">
        <v>1920</v>
      </c>
      <c r="E12">
        <v>3</v>
      </c>
      <c r="F12" t="s">
        <v>1933</v>
      </c>
      <c r="G12" t="s">
        <v>52</v>
      </c>
      <c r="H12" s="27">
        <v>45722</v>
      </c>
      <c r="I12" t="s">
        <v>1929</v>
      </c>
      <c r="J12" t="s">
        <v>1923</v>
      </c>
    </row>
    <row r="13" spans="1:11" x14ac:dyDescent="0.25">
      <c r="A13" t="s">
        <v>1940</v>
      </c>
      <c r="B13" t="s">
        <v>428</v>
      </c>
      <c r="C13" t="s">
        <v>1920</v>
      </c>
      <c r="D13" t="s">
        <v>1920</v>
      </c>
      <c r="E13">
        <v>3</v>
      </c>
      <c r="F13" t="s">
        <v>1933</v>
      </c>
      <c r="G13" t="s">
        <v>52</v>
      </c>
      <c r="H13" s="27">
        <v>45722</v>
      </c>
      <c r="I13" t="s">
        <v>1929</v>
      </c>
      <c r="J13" t="s">
        <v>196</v>
      </c>
    </row>
    <row r="14" spans="1:11" ht="27.75" customHeight="1" x14ac:dyDescent="0.25">
      <c r="A14" s="13" t="s">
        <v>1941</v>
      </c>
      <c r="B14" t="s">
        <v>428</v>
      </c>
      <c r="C14" t="s">
        <v>194</v>
      </c>
      <c r="D14" t="s">
        <v>194</v>
      </c>
      <c r="E14">
        <v>1</v>
      </c>
      <c r="F14" t="s">
        <v>1942</v>
      </c>
      <c r="G14" t="s">
        <v>52</v>
      </c>
      <c r="H14" s="27">
        <v>45730</v>
      </c>
      <c r="I14" t="s">
        <v>1929</v>
      </c>
      <c r="J14" t="s">
        <v>196</v>
      </c>
    </row>
    <row r="15" spans="1:11" ht="30" x14ac:dyDescent="0.25">
      <c r="A15" s="13" t="s">
        <v>1943</v>
      </c>
      <c r="B15" t="s">
        <v>428</v>
      </c>
      <c r="C15" t="s">
        <v>194</v>
      </c>
      <c r="D15" t="s">
        <v>194</v>
      </c>
      <c r="E15">
        <v>1</v>
      </c>
      <c r="F15" t="s">
        <v>1942</v>
      </c>
      <c r="G15" t="s">
        <v>52</v>
      </c>
      <c r="H15" s="27">
        <v>45730</v>
      </c>
      <c r="I15" t="s">
        <v>1929</v>
      </c>
    </row>
    <row r="16" spans="1:11" x14ac:dyDescent="0.25">
      <c r="A16" s="13" t="s">
        <v>1944</v>
      </c>
      <c r="B16" t="s">
        <v>428</v>
      </c>
      <c r="C16" t="s">
        <v>194</v>
      </c>
      <c r="D16" t="s">
        <v>194</v>
      </c>
      <c r="E16">
        <v>1</v>
      </c>
      <c r="F16" t="s">
        <v>1942</v>
      </c>
      <c r="G16" t="s">
        <v>52</v>
      </c>
      <c r="H16" s="27">
        <v>45730</v>
      </c>
      <c r="I16" t="s">
        <v>1929</v>
      </c>
    </row>
    <row r="17" spans="1:10" ht="30" x14ac:dyDescent="0.25">
      <c r="A17" s="13" t="s">
        <v>1945</v>
      </c>
      <c r="B17" t="s">
        <v>428</v>
      </c>
      <c r="C17" t="s">
        <v>194</v>
      </c>
      <c r="D17" t="s">
        <v>194</v>
      </c>
      <c r="E17">
        <v>1</v>
      </c>
      <c r="F17" t="s">
        <v>1942</v>
      </c>
      <c r="G17" t="s">
        <v>52</v>
      </c>
      <c r="H17" s="27">
        <v>45730</v>
      </c>
      <c r="I17" t="s">
        <v>1929</v>
      </c>
    </row>
    <row r="18" spans="1:10" x14ac:dyDescent="0.25">
      <c r="A18" s="13" t="s">
        <v>1946</v>
      </c>
      <c r="B18" t="s">
        <v>428</v>
      </c>
      <c r="C18" t="s">
        <v>178</v>
      </c>
      <c r="D18" t="s">
        <v>194</v>
      </c>
      <c r="E18">
        <v>6</v>
      </c>
      <c r="F18" t="s">
        <v>1928</v>
      </c>
      <c r="G18" t="s">
        <v>52</v>
      </c>
      <c r="H18" s="27">
        <v>45730</v>
      </c>
      <c r="I18" t="s">
        <v>1929</v>
      </c>
      <c r="J18" t="s">
        <v>1923</v>
      </c>
    </row>
    <row r="19" spans="1:10" x14ac:dyDescent="0.25">
      <c r="A19" t="s">
        <v>1947</v>
      </c>
      <c r="B19" t="s">
        <v>428</v>
      </c>
      <c r="C19" t="s">
        <v>178</v>
      </c>
      <c r="D19" t="s">
        <v>194</v>
      </c>
      <c r="E19">
        <v>3</v>
      </c>
      <c r="F19" t="s">
        <v>1933</v>
      </c>
      <c r="G19" t="s">
        <v>52</v>
      </c>
      <c r="H19" s="27">
        <v>45730</v>
      </c>
      <c r="I19" t="s">
        <v>1929</v>
      </c>
      <c r="J19" t="s">
        <v>1923</v>
      </c>
    </row>
    <row r="20" spans="1:10" x14ac:dyDescent="0.25">
      <c r="A20" t="s">
        <v>1948</v>
      </c>
      <c r="B20" t="s">
        <v>428</v>
      </c>
      <c r="C20" t="s">
        <v>178</v>
      </c>
      <c r="D20" t="s">
        <v>194</v>
      </c>
      <c r="E20">
        <v>3</v>
      </c>
      <c r="F20" t="s">
        <v>1933</v>
      </c>
      <c r="G20" t="s">
        <v>52</v>
      </c>
      <c r="H20" s="27">
        <v>45730</v>
      </c>
      <c r="I20" t="s">
        <v>1929</v>
      </c>
    </row>
    <row r="21" spans="1:10" x14ac:dyDescent="0.25">
      <c r="A21" s="36" t="s">
        <v>1949</v>
      </c>
      <c r="B21" t="s">
        <v>428</v>
      </c>
      <c r="C21" t="s">
        <v>194</v>
      </c>
      <c r="D21" t="s">
        <v>1920</v>
      </c>
      <c r="E21">
        <v>1</v>
      </c>
      <c r="F21" t="s">
        <v>1942</v>
      </c>
      <c r="G21" t="s">
        <v>52</v>
      </c>
      <c r="H21" s="27">
        <v>45730</v>
      </c>
      <c r="I21" t="s">
        <v>1929</v>
      </c>
    </row>
    <row r="22" spans="1:10" x14ac:dyDescent="0.25">
      <c r="A22" s="13" t="s">
        <v>1950</v>
      </c>
      <c r="B22" t="s">
        <v>428</v>
      </c>
      <c r="C22" t="s">
        <v>1920</v>
      </c>
      <c r="D22" t="s">
        <v>1920</v>
      </c>
      <c r="E22">
        <v>9</v>
      </c>
      <c r="F22" t="s">
        <v>1951</v>
      </c>
      <c r="G22" t="s">
        <v>52</v>
      </c>
      <c r="H22" s="27">
        <v>45733</v>
      </c>
      <c r="I22" t="s">
        <v>1952</v>
      </c>
      <c r="J22" t="s">
        <v>1923</v>
      </c>
    </row>
    <row r="23" spans="1:10" x14ac:dyDescent="0.25">
      <c r="A23" s="13" t="s">
        <v>1953</v>
      </c>
      <c r="B23" t="s">
        <v>428</v>
      </c>
      <c r="C23" t="s">
        <v>1920</v>
      </c>
      <c r="D23" t="s">
        <v>1920</v>
      </c>
      <c r="E23">
        <v>9</v>
      </c>
      <c r="F23" t="s">
        <v>1951</v>
      </c>
      <c r="G23" t="s">
        <v>52</v>
      </c>
      <c r="H23" s="27">
        <v>45733</v>
      </c>
      <c r="I23" t="s">
        <v>1952</v>
      </c>
      <c r="J23" t="s">
        <v>1923</v>
      </c>
    </row>
    <row r="24" spans="1:10" x14ac:dyDescent="0.25">
      <c r="A24" s="13" t="s">
        <v>1954</v>
      </c>
      <c r="B24" t="s">
        <v>428</v>
      </c>
      <c r="C24" t="s">
        <v>1920</v>
      </c>
      <c r="D24" t="s">
        <v>1920</v>
      </c>
      <c r="E24">
        <v>9</v>
      </c>
      <c r="F24" t="s">
        <v>1951</v>
      </c>
      <c r="G24" t="s">
        <v>52</v>
      </c>
      <c r="H24" s="27">
        <v>45733</v>
      </c>
      <c r="I24" t="s">
        <v>1952</v>
      </c>
      <c r="J24" t="s">
        <v>1923</v>
      </c>
    </row>
    <row r="25" spans="1:10" x14ac:dyDescent="0.25">
      <c r="A25" t="s">
        <v>1955</v>
      </c>
      <c r="B25" t="s">
        <v>428</v>
      </c>
      <c r="C25" t="s">
        <v>194</v>
      </c>
      <c r="D25" t="s">
        <v>194</v>
      </c>
      <c r="E25">
        <v>6</v>
      </c>
      <c r="F25" t="s">
        <v>1928</v>
      </c>
      <c r="G25" t="s">
        <v>52</v>
      </c>
      <c r="H25" s="27">
        <v>45733</v>
      </c>
      <c r="I25" t="s">
        <v>1929</v>
      </c>
      <c r="J25" t="s">
        <v>1923</v>
      </c>
    </row>
    <row r="26" spans="1:10" x14ac:dyDescent="0.25">
      <c r="A26" t="s">
        <v>1956</v>
      </c>
      <c r="B26" t="s">
        <v>428</v>
      </c>
      <c r="C26" t="s">
        <v>194</v>
      </c>
      <c r="D26" t="s">
        <v>194</v>
      </c>
      <c r="E26">
        <v>6</v>
      </c>
      <c r="F26" t="s">
        <v>1928</v>
      </c>
      <c r="G26" t="s">
        <v>52</v>
      </c>
      <c r="H26" s="27">
        <v>45733</v>
      </c>
      <c r="I26" t="s">
        <v>1929</v>
      </c>
      <c r="J26" t="s">
        <v>1923</v>
      </c>
    </row>
    <row r="27" spans="1:10" ht="45" x14ac:dyDescent="0.25">
      <c r="A27" s="13" t="s">
        <v>1957</v>
      </c>
      <c r="B27" t="s">
        <v>428</v>
      </c>
      <c r="C27" t="s">
        <v>194</v>
      </c>
      <c r="D27" t="s">
        <v>1920</v>
      </c>
      <c r="E27">
        <v>9</v>
      </c>
      <c r="F27" t="s">
        <v>1951</v>
      </c>
      <c r="G27" t="s">
        <v>1951</v>
      </c>
      <c r="H27" s="27">
        <v>45733</v>
      </c>
      <c r="I27" t="s">
        <v>1952</v>
      </c>
      <c r="J27" t="s">
        <v>1923</v>
      </c>
    </row>
    <row r="28" spans="1:10" x14ac:dyDescent="0.25">
      <c r="A28" s="13" t="s">
        <v>1958</v>
      </c>
      <c r="B28" t="s">
        <v>428</v>
      </c>
      <c r="C28" t="s">
        <v>178</v>
      </c>
      <c r="D28" t="s">
        <v>1920</v>
      </c>
      <c r="E28">
        <v>20</v>
      </c>
      <c r="F28" t="s">
        <v>1959</v>
      </c>
    </row>
    <row r="29" spans="1:10" ht="30" x14ac:dyDescent="0.25">
      <c r="A29" s="13" t="s">
        <v>1960</v>
      </c>
      <c r="B29" t="s">
        <v>428</v>
      </c>
      <c r="C29" t="s">
        <v>657</v>
      </c>
      <c r="D29" t="s">
        <v>178</v>
      </c>
      <c r="E29">
        <v>9</v>
      </c>
      <c r="F29" t="s">
        <v>1951</v>
      </c>
      <c r="G29" t="s">
        <v>1951</v>
      </c>
      <c r="H29" s="27">
        <v>45736</v>
      </c>
      <c r="J29" t="s">
        <v>1923</v>
      </c>
    </row>
    <row r="30" spans="1:10" ht="30" x14ac:dyDescent="0.25">
      <c r="A30" s="13" t="s">
        <v>1961</v>
      </c>
      <c r="B30" t="s">
        <v>428</v>
      </c>
      <c r="C30" t="s">
        <v>657</v>
      </c>
      <c r="D30" t="s">
        <v>178</v>
      </c>
      <c r="E30">
        <v>9</v>
      </c>
      <c r="F30" t="s">
        <v>1951</v>
      </c>
      <c r="G30" t="s">
        <v>1951</v>
      </c>
      <c r="H30" s="27">
        <v>45736</v>
      </c>
      <c r="J30" t="s">
        <v>1923</v>
      </c>
    </row>
    <row r="31" spans="1:10" x14ac:dyDescent="0.25">
      <c r="A31" s="13" t="s">
        <v>1962</v>
      </c>
      <c r="B31" t="s">
        <v>428</v>
      </c>
      <c r="C31" t="s">
        <v>657</v>
      </c>
      <c r="D31" t="s">
        <v>178</v>
      </c>
      <c r="E31">
        <v>9</v>
      </c>
      <c r="F31" t="s">
        <v>1951</v>
      </c>
      <c r="G31" t="s">
        <v>1951</v>
      </c>
      <c r="H31" s="27">
        <v>45736</v>
      </c>
      <c r="J31" t="s">
        <v>1923</v>
      </c>
    </row>
    <row r="32" spans="1:10" x14ac:dyDescent="0.25">
      <c r="A32" s="13" t="s">
        <v>1963</v>
      </c>
      <c r="B32" t="s">
        <v>428</v>
      </c>
      <c r="C32" t="s">
        <v>1234</v>
      </c>
      <c r="D32" t="s">
        <v>1234</v>
      </c>
      <c r="E32">
        <v>168</v>
      </c>
      <c r="F32" t="s">
        <v>48</v>
      </c>
      <c r="G32" t="s">
        <v>52</v>
      </c>
      <c r="H32" s="27">
        <v>45748</v>
      </c>
      <c r="I32" s="13" t="s">
        <v>1964</v>
      </c>
      <c r="J32" t="s">
        <v>1923</v>
      </c>
    </row>
    <row r="33" spans="1:10" ht="30" x14ac:dyDescent="0.25">
      <c r="A33" s="13" t="s">
        <v>1965</v>
      </c>
      <c r="B33" t="s">
        <v>428</v>
      </c>
      <c r="C33" t="s">
        <v>1234</v>
      </c>
      <c r="D33" t="s">
        <v>1234</v>
      </c>
      <c r="E33">
        <v>168</v>
      </c>
      <c r="F33" t="s">
        <v>48</v>
      </c>
      <c r="G33" t="s">
        <v>52</v>
      </c>
      <c r="H33" s="27">
        <v>45748</v>
      </c>
      <c r="I33" s="13" t="s">
        <v>1964</v>
      </c>
      <c r="J33" t="s">
        <v>1923</v>
      </c>
    </row>
    <row r="34" spans="1:10" x14ac:dyDescent="0.25">
      <c r="A34" s="13" t="s">
        <v>1966</v>
      </c>
      <c r="B34" t="s">
        <v>428</v>
      </c>
      <c r="C34" t="s">
        <v>1234</v>
      </c>
      <c r="D34" t="s">
        <v>194</v>
      </c>
      <c r="E34">
        <v>58.5</v>
      </c>
      <c r="F34" s="13" t="s">
        <v>1967</v>
      </c>
      <c r="G34" t="s">
        <v>52</v>
      </c>
      <c r="H34" s="27">
        <v>45751</v>
      </c>
      <c r="I34" t="s">
        <v>1968</v>
      </c>
      <c r="J34" t="s">
        <v>1923</v>
      </c>
    </row>
    <row r="35" spans="1:10" x14ac:dyDescent="0.25">
      <c r="A35" s="13" t="s">
        <v>1969</v>
      </c>
      <c r="B35" t="s">
        <v>428</v>
      </c>
      <c r="C35" t="s">
        <v>1234</v>
      </c>
      <c r="D35" t="s">
        <v>194</v>
      </c>
      <c r="E35">
        <v>58.5</v>
      </c>
      <c r="F35" s="13" t="s">
        <v>1967</v>
      </c>
      <c r="G35" t="s">
        <v>52</v>
      </c>
      <c r="H35" s="27">
        <v>45751</v>
      </c>
      <c r="I35" s="13" t="s">
        <v>1970</v>
      </c>
      <c r="J35" t="s">
        <v>1923</v>
      </c>
    </row>
    <row r="36" spans="1:10" x14ac:dyDescent="0.25">
      <c r="A36" s="13" t="s">
        <v>1971</v>
      </c>
      <c r="B36" t="s">
        <v>428</v>
      </c>
      <c r="C36" t="s">
        <v>1234</v>
      </c>
      <c r="D36" t="s">
        <v>155</v>
      </c>
      <c r="E36">
        <v>58.5</v>
      </c>
      <c r="F36" s="13" t="s">
        <v>1972</v>
      </c>
      <c r="G36" t="s">
        <v>52</v>
      </c>
      <c r="H36" s="27">
        <v>45757</v>
      </c>
      <c r="I36" t="s">
        <v>1973</v>
      </c>
      <c r="J36" t="s">
        <v>1923</v>
      </c>
    </row>
    <row r="37" spans="1:10" x14ac:dyDescent="0.25">
      <c r="A37" s="13" t="s">
        <v>1974</v>
      </c>
      <c r="B37" t="s">
        <v>428</v>
      </c>
      <c r="C37" t="s">
        <v>1234</v>
      </c>
      <c r="D37" t="s">
        <v>155</v>
      </c>
      <c r="E37">
        <v>58.5</v>
      </c>
      <c r="F37" s="13" t="s">
        <v>1972</v>
      </c>
      <c r="G37" t="s">
        <v>52</v>
      </c>
      <c r="H37" s="27">
        <v>45757</v>
      </c>
      <c r="I37" t="s">
        <v>1975</v>
      </c>
      <c r="J37" t="s">
        <v>1923</v>
      </c>
    </row>
    <row r="38" spans="1:10" x14ac:dyDescent="0.25">
      <c r="A38" s="13" t="s">
        <v>1976</v>
      </c>
      <c r="B38" t="s">
        <v>428</v>
      </c>
      <c r="C38" t="s">
        <v>1234</v>
      </c>
      <c r="D38" t="s">
        <v>245</v>
      </c>
      <c r="E38">
        <v>70.5</v>
      </c>
      <c r="F38" s="13" t="s">
        <v>1972</v>
      </c>
      <c r="G38" t="s">
        <v>52</v>
      </c>
      <c r="H38" s="27">
        <v>45761</v>
      </c>
      <c r="I38" s="13" t="s">
        <v>1977</v>
      </c>
      <c r="J38" t="s">
        <v>1923</v>
      </c>
    </row>
    <row r="39" spans="1:10" x14ac:dyDescent="0.25">
      <c r="A39" s="13" t="s">
        <v>1978</v>
      </c>
      <c r="B39" t="s">
        <v>428</v>
      </c>
      <c r="C39" t="s">
        <v>1234</v>
      </c>
      <c r="D39" t="s">
        <v>245</v>
      </c>
      <c r="E39">
        <v>70.5</v>
      </c>
      <c r="F39" s="13" t="s">
        <v>1972</v>
      </c>
      <c r="G39" t="s">
        <v>52</v>
      </c>
      <c r="H39" s="27">
        <v>45761</v>
      </c>
      <c r="I39" s="13" t="s">
        <v>1977</v>
      </c>
      <c r="J39" t="s">
        <v>1923</v>
      </c>
    </row>
    <row r="40" spans="1:10" x14ac:dyDescent="0.25">
      <c r="A40" s="13" t="s">
        <v>1979</v>
      </c>
      <c r="B40" t="s">
        <v>428</v>
      </c>
      <c r="C40" t="s">
        <v>1234</v>
      </c>
      <c r="D40" t="s">
        <v>155</v>
      </c>
      <c r="E40">
        <v>70.5</v>
      </c>
      <c r="F40" s="13" t="s">
        <v>1972</v>
      </c>
      <c r="G40" t="s">
        <v>358</v>
      </c>
      <c r="H40" s="27">
        <v>45782</v>
      </c>
      <c r="J40" t="s">
        <v>1923</v>
      </c>
    </row>
    <row r="41" spans="1:10" x14ac:dyDescent="0.25">
      <c r="A41" s="13" t="s">
        <v>1980</v>
      </c>
      <c r="B41" t="s">
        <v>428</v>
      </c>
      <c r="C41" t="s">
        <v>1234</v>
      </c>
      <c r="D41" t="s">
        <v>155</v>
      </c>
      <c r="E41">
        <v>70.5</v>
      </c>
      <c r="F41" s="13" t="s">
        <v>1972</v>
      </c>
      <c r="G41" t="s">
        <v>358</v>
      </c>
      <c r="H41" s="27">
        <v>45782</v>
      </c>
      <c r="J41" t="s">
        <v>1923</v>
      </c>
    </row>
    <row r="42" spans="1:10" x14ac:dyDescent="0.25">
      <c r="A42" t="s">
        <v>1981</v>
      </c>
      <c r="B42" t="s">
        <v>428</v>
      </c>
      <c r="C42" t="s">
        <v>1234</v>
      </c>
      <c r="D42" t="s">
        <v>257</v>
      </c>
      <c r="E42">
        <v>70.5</v>
      </c>
      <c r="F42" s="13" t="s">
        <v>1972</v>
      </c>
      <c r="G42" t="s">
        <v>358</v>
      </c>
      <c r="H42" s="27">
        <v>45789</v>
      </c>
      <c r="J42" t="s">
        <v>1923</v>
      </c>
    </row>
    <row r="43" spans="1:10" x14ac:dyDescent="0.25">
      <c r="A43" t="s">
        <v>1982</v>
      </c>
      <c r="B43" t="s">
        <v>428</v>
      </c>
      <c r="C43" t="s">
        <v>1234</v>
      </c>
      <c r="D43" t="s">
        <v>178</v>
      </c>
      <c r="E43">
        <v>70.5</v>
      </c>
      <c r="F43" s="13" t="s">
        <v>1972</v>
      </c>
      <c r="G43" t="s">
        <v>358</v>
      </c>
      <c r="H43" s="27">
        <v>45789</v>
      </c>
      <c r="J43" t="s">
        <v>1923</v>
      </c>
    </row>
    <row r="44" spans="1:10" x14ac:dyDescent="0.25">
      <c r="A44" t="s">
        <v>1983</v>
      </c>
      <c r="B44" t="s">
        <v>428</v>
      </c>
      <c r="C44" t="s">
        <v>1234</v>
      </c>
      <c r="D44" t="s">
        <v>178</v>
      </c>
      <c r="E44">
        <v>70.5</v>
      </c>
      <c r="F44" s="13" t="s">
        <v>1972</v>
      </c>
      <c r="G44" t="s">
        <v>358</v>
      </c>
      <c r="H44" s="27">
        <v>45789</v>
      </c>
      <c r="I44" s="13" t="s">
        <v>1984</v>
      </c>
      <c r="J44" s="13"/>
    </row>
    <row r="45" spans="1:10" x14ac:dyDescent="0.25">
      <c r="A45" t="s">
        <v>1985</v>
      </c>
      <c r="B45" t="s">
        <v>428</v>
      </c>
      <c r="C45" t="s">
        <v>155</v>
      </c>
      <c r="D45" t="s">
        <v>1986</v>
      </c>
      <c r="E45">
        <v>168</v>
      </c>
      <c r="F45" t="s">
        <v>382</v>
      </c>
      <c r="G45" t="s">
        <v>358</v>
      </c>
      <c r="H45" s="27">
        <v>45838</v>
      </c>
      <c r="I45" t="s">
        <v>1987</v>
      </c>
      <c r="J45" t="s">
        <v>1923</v>
      </c>
    </row>
    <row r="46" spans="1:10" x14ac:dyDescent="0.25">
      <c r="A46" t="s">
        <v>1988</v>
      </c>
      <c r="B46" t="s">
        <v>428</v>
      </c>
      <c r="C46" t="s">
        <v>155</v>
      </c>
      <c r="D46" t="s">
        <v>1986</v>
      </c>
      <c r="E46">
        <v>58.5</v>
      </c>
      <c r="F46" s="13" t="s">
        <v>1967</v>
      </c>
      <c r="G46" t="s">
        <v>358</v>
      </c>
      <c r="H46" s="27">
        <v>45838</v>
      </c>
      <c r="I46" t="s">
        <v>1989</v>
      </c>
      <c r="J46" t="s">
        <v>1923</v>
      </c>
    </row>
    <row r="47" spans="1:10" x14ac:dyDescent="0.25">
      <c r="A47" t="s">
        <v>1990</v>
      </c>
      <c r="B47" t="s">
        <v>428</v>
      </c>
      <c r="C47" t="s">
        <v>155</v>
      </c>
      <c r="D47" t="s">
        <v>1986</v>
      </c>
      <c r="E47">
        <v>58.5</v>
      </c>
      <c r="F47" s="13" t="s">
        <v>1967</v>
      </c>
      <c r="G47" t="s">
        <v>358</v>
      </c>
      <c r="H47" s="27">
        <v>45838</v>
      </c>
      <c r="I47" t="s">
        <v>1991</v>
      </c>
      <c r="J47" t="s">
        <v>1923</v>
      </c>
    </row>
    <row r="48" spans="1:10" x14ac:dyDescent="0.25">
      <c r="A48" t="s">
        <v>1992</v>
      </c>
      <c r="B48" t="s">
        <v>428</v>
      </c>
      <c r="C48" t="s">
        <v>155</v>
      </c>
      <c r="D48" t="s">
        <v>1986</v>
      </c>
      <c r="E48">
        <v>58.5</v>
      </c>
      <c r="F48" s="13" t="s">
        <v>1967</v>
      </c>
      <c r="G48" t="s">
        <v>358</v>
      </c>
      <c r="H48" s="27">
        <v>45838</v>
      </c>
      <c r="I48" t="s">
        <v>1993</v>
      </c>
      <c r="J48" t="s">
        <v>1923</v>
      </c>
    </row>
    <row r="49" spans="1:10" x14ac:dyDescent="0.25">
      <c r="A49" t="s">
        <v>1994</v>
      </c>
      <c r="B49" t="s">
        <v>428</v>
      </c>
      <c r="C49" t="s">
        <v>1234</v>
      </c>
      <c r="D49" t="s">
        <v>378</v>
      </c>
      <c r="E49">
        <v>58.5</v>
      </c>
      <c r="F49" t="s">
        <v>1995</v>
      </c>
      <c r="G49" t="s">
        <v>358</v>
      </c>
      <c r="H49" s="27">
        <v>45852</v>
      </c>
      <c r="J49" t="s">
        <v>1923</v>
      </c>
    </row>
    <row r="50" spans="1:10" x14ac:dyDescent="0.25">
      <c r="A50" t="s">
        <v>1996</v>
      </c>
      <c r="B50" t="s">
        <v>428</v>
      </c>
      <c r="C50" t="s">
        <v>1234</v>
      </c>
      <c r="D50" t="s">
        <v>378</v>
      </c>
      <c r="E50">
        <v>58.5</v>
      </c>
      <c r="F50" t="s">
        <v>1995</v>
      </c>
      <c r="G50" t="s">
        <v>358</v>
      </c>
      <c r="H50" s="27">
        <v>45852</v>
      </c>
      <c r="J50" t="s">
        <v>1923</v>
      </c>
    </row>
    <row r="51" spans="1:10" x14ac:dyDescent="0.25">
      <c r="A51" t="s">
        <v>1997</v>
      </c>
      <c r="B51" t="s">
        <v>428</v>
      </c>
      <c r="C51" t="s">
        <v>1234</v>
      </c>
      <c r="D51" t="s">
        <v>378</v>
      </c>
      <c r="E51">
        <v>58.5</v>
      </c>
      <c r="F51" t="s">
        <v>1995</v>
      </c>
      <c r="G51" t="s">
        <v>358</v>
      </c>
      <c r="H51" s="27">
        <v>45852</v>
      </c>
      <c r="J51" t="s">
        <v>1923</v>
      </c>
    </row>
    <row r="52" spans="1:10" x14ac:dyDescent="0.25">
      <c r="A52" t="s">
        <v>1998</v>
      </c>
      <c r="B52" t="s">
        <v>428</v>
      </c>
      <c r="C52" t="s">
        <v>1234</v>
      </c>
      <c r="D52" t="s">
        <v>378</v>
      </c>
      <c r="E52">
        <v>58.5</v>
      </c>
      <c r="F52" t="s">
        <v>1995</v>
      </c>
      <c r="G52" t="s">
        <v>358</v>
      </c>
      <c r="H52" s="27">
        <v>45852</v>
      </c>
      <c r="J52" t="s">
        <v>360</v>
      </c>
    </row>
    <row r="53" spans="1:10" x14ac:dyDescent="0.25">
      <c r="A53" t="s">
        <v>1999</v>
      </c>
      <c r="B53" t="s">
        <v>428</v>
      </c>
      <c r="C53" t="s">
        <v>1234</v>
      </c>
      <c r="D53" t="s">
        <v>377</v>
      </c>
      <c r="E53">
        <v>5</v>
      </c>
      <c r="F53" t="s">
        <v>2000</v>
      </c>
      <c r="G53" t="s">
        <v>358</v>
      </c>
      <c r="H53" s="27">
        <v>45876</v>
      </c>
      <c r="I53" t="s">
        <v>2001</v>
      </c>
      <c r="J53" t="s">
        <v>360</v>
      </c>
    </row>
    <row r="54" spans="1:10" x14ac:dyDescent="0.25">
      <c r="A54" t="s">
        <v>2002</v>
      </c>
      <c r="B54" t="s">
        <v>428</v>
      </c>
      <c r="D54" t="s">
        <v>257</v>
      </c>
      <c r="E54">
        <v>58.5</v>
      </c>
      <c r="F54" s="49" t="s">
        <v>1972</v>
      </c>
      <c r="G54" t="s">
        <v>246</v>
      </c>
      <c r="H54" s="10">
        <v>45824</v>
      </c>
      <c r="I54" t="s">
        <v>2003</v>
      </c>
      <c r="J54" t="s">
        <v>1923</v>
      </c>
    </row>
    <row r="55" spans="1:10" x14ac:dyDescent="0.25">
      <c r="A55" t="s">
        <v>2004</v>
      </c>
      <c r="B55" t="s">
        <v>428</v>
      </c>
      <c r="D55" t="s">
        <v>257</v>
      </c>
      <c r="E55">
        <v>58.5</v>
      </c>
      <c r="F55" s="49" t="s">
        <v>1972</v>
      </c>
      <c r="G55" t="s">
        <v>246</v>
      </c>
      <c r="H55" s="10">
        <v>45824</v>
      </c>
      <c r="I55" t="s">
        <v>2003</v>
      </c>
      <c r="J55" t="s">
        <v>1923</v>
      </c>
    </row>
    <row r="56" spans="1:10" x14ac:dyDescent="0.25">
      <c r="A56" t="s">
        <v>2005</v>
      </c>
      <c r="B56" t="s">
        <v>428</v>
      </c>
      <c r="D56" t="s">
        <v>257</v>
      </c>
      <c r="E56">
        <v>58.5</v>
      </c>
      <c r="F56" s="49" t="s">
        <v>1972</v>
      </c>
      <c r="G56" t="s">
        <v>246</v>
      </c>
      <c r="H56" s="10">
        <v>45824</v>
      </c>
      <c r="I56" t="s">
        <v>2003</v>
      </c>
      <c r="J56" t="s">
        <v>1923</v>
      </c>
    </row>
    <row r="57" spans="1:10" x14ac:dyDescent="0.25">
      <c r="A57" t="s">
        <v>2006</v>
      </c>
      <c r="B57" t="s">
        <v>428</v>
      </c>
      <c r="D57" t="s">
        <v>257</v>
      </c>
      <c r="E57">
        <v>58.5</v>
      </c>
      <c r="F57" s="49" t="s">
        <v>1972</v>
      </c>
      <c r="G57" t="s">
        <v>246</v>
      </c>
      <c r="H57" s="10">
        <v>45825</v>
      </c>
      <c r="I57" t="s">
        <v>2003</v>
      </c>
      <c r="J57" t="s">
        <v>1923</v>
      </c>
    </row>
    <row r="58" spans="1:10" x14ac:dyDescent="0.25">
      <c r="A58" t="s">
        <v>2007</v>
      </c>
      <c r="B58" t="s">
        <v>428</v>
      </c>
      <c r="C58" t="s">
        <v>1234</v>
      </c>
      <c r="D58" t="s">
        <v>378</v>
      </c>
      <c r="E58">
        <v>58.5</v>
      </c>
      <c r="F58" t="s">
        <v>2008</v>
      </c>
      <c r="G58" t="s">
        <v>246</v>
      </c>
      <c r="H58" s="10">
        <v>45874</v>
      </c>
      <c r="I58" t="s">
        <v>2009</v>
      </c>
      <c r="J58" t="s">
        <v>1923</v>
      </c>
    </row>
    <row r="59" spans="1:10" x14ac:dyDescent="0.25">
      <c r="A59" t="s">
        <v>2010</v>
      </c>
      <c r="B59" t="s">
        <v>428</v>
      </c>
      <c r="C59" t="s">
        <v>1234</v>
      </c>
      <c r="D59" t="s">
        <v>378</v>
      </c>
      <c r="E59">
        <v>58.5</v>
      </c>
      <c r="F59" t="s">
        <v>2008</v>
      </c>
      <c r="G59" t="s">
        <v>246</v>
      </c>
      <c r="H59" s="10">
        <v>45874</v>
      </c>
      <c r="I59" t="s">
        <v>2009</v>
      </c>
      <c r="J59" t="s">
        <v>1923</v>
      </c>
    </row>
    <row r="60" spans="1:10" x14ac:dyDescent="0.25">
      <c r="A60" t="s">
        <v>2011</v>
      </c>
      <c r="B60" t="s">
        <v>428</v>
      </c>
      <c r="C60" t="s">
        <v>1234</v>
      </c>
      <c r="D60" t="s">
        <v>378</v>
      </c>
      <c r="E60">
        <v>58.5</v>
      </c>
      <c r="F60" t="s">
        <v>2008</v>
      </c>
      <c r="G60" t="s">
        <v>246</v>
      </c>
      <c r="H60" s="10">
        <v>45874</v>
      </c>
      <c r="I60" t="s">
        <v>2009</v>
      </c>
      <c r="J60" t="s">
        <v>1923</v>
      </c>
    </row>
    <row r="61" spans="1:10" x14ac:dyDescent="0.25">
      <c r="A61" t="s">
        <v>2012</v>
      </c>
      <c r="B61" t="s">
        <v>428</v>
      </c>
      <c r="C61" t="s">
        <v>1234</v>
      </c>
      <c r="D61" t="s">
        <v>378</v>
      </c>
      <c r="E61">
        <v>58.5</v>
      </c>
      <c r="F61" t="s">
        <v>2008</v>
      </c>
      <c r="G61" t="s">
        <v>246</v>
      </c>
      <c r="H61" s="10">
        <v>45874</v>
      </c>
      <c r="I61" t="s">
        <v>2009</v>
      </c>
      <c r="J61" t="s">
        <v>1923</v>
      </c>
    </row>
    <row r="62" spans="1:10" x14ac:dyDescent="0.25">
      <c r="A62" s="13" t="s">
        <v>2013</v>
      </c>
      <c r="B62" t="s">
        <v>428</v>
      </c>
      <c r="C62" t="s">
        <v>363</v>
      </c>
      <c r="D62" t="s">
        <v>363</v>
      </c>
      <c r="E62">
        <v>58.5</v>
      </c>
      <c r="F62" t="s">
        <v>2000</v>
      </c>
      <c r="G62" t="s">
        <v>246</v>
      </c>
      <c r="H62" s="10">
        <v>45886</v>
      </c>
      <c r="J62" s="108" t="s">
        <v>2014</v>
      </c>
    </row>
  </sheetData>
  <hyperlinks>
    <hyperlink ref="K2" r:id="rId1" xr:uid="{947984AE-9CB0-4763-84DD-810367ED78B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7865-7DE2-4777-BCA5-E441989E0102}">
  <dimension ref="A1:K71"/>
  <sheetViews>
    <sheetView topLeftCell="J37" workbookViewId="0">
      <selection activeCell="J2" sqref="J2"/>
    </sheetView>
  </sheetViews>
  <sheetFormatPr defaultRowHeight="15" customHeight="1" x14ac:dyDescent="0.25"/>
  <cols>
    <col min="1" max="1" width="64.28515625" customWidth="1"/>
    <col min="3" max="3" width="13.7109375" bestFit="1" customWidth="1"/>
    <col min="4" max="4" width="16.28515625" bestFit="1" customWidth="1"/>
    <col min="5" max="5" width="13" bestFit="1" customWidth="1"/>
    <col min="6" max="6" width="35.7109375" customWidth="1"/>
    <col min="8" max="8" width="22.28515625" style="17" bestFit="1" customWidth="1"/>
    <col min="9" max="9" width="36.5703125" bestFit="1" customWidth="1"/>
    <col min="10" max="10" width="36.5703125" customWidth="1"/>
    <col min="11" max="11" width="36.5703125" bestFit="1" customWidth="1"/>
  </cols>
  <sheetData>
    <row r="1" spans="1:11" x14ac:dyDescent="0.25">
      <c r="A1" s="6" t="s">
        <v>28</v>
      </c>
      <c r="B1" s="7" t="s">
        <v>29</v>
      </c>
      <c r="C1" s="7" t="s">
        <v>30</v>
      </c>
      <c r="D1" s="7" t="s">
        <v>31</v>
      </c>
      <c r="E1" s="7" t="s">
        <v>32</v>
      </c>
      <c r="F1" s="7" t="s">
        <v>33</v>
      </c>
      <c r="G1" s="7" t="s">
        <v>34</v>
      </c>
      <c r="H1" s="15" t="s">
        <v>35</v>
      </c>
      <c r="I1" s="11" t="s">
        <v>36</v>
      </c>
      <c r="J1" s="97" t="s">
        <v>37</v>
      </c>
      <c r="K1" s="12" t="s">
        <v>38</v>
      </c>
    </row>
    <row r="2" spans="1:11" x14ac:dyDescent="0.25">
      <c r="A2" t="s">
        <v>2015</v>
      </c>
      <c r="B2" t="s">
        <v>155</v>
      </c>
      <c r="E2">
        <v>167</v>
      </c>
      <c r="F2" t="s">
        <v>56</v>
      </c>
      <c r="G2" s="1" t="s">
        <v>52</v>
      </c>
      <c r="H2" s="87">
        <v>45547</v>
      </c>
      <c r="J2" t="s">
        <v>2016</v>
      </c>
      <c r="K2" s="42" t="s">
        <v>2017</v>
      </c>
    </row>
    <row r="3" spans="1:11" s="16" customFormat="1" x14ac:dyDescent="0.25">
      <c r="A3" t="s">
        <v>2018</v>
      </c>
      <c r="B3" t="s">
        <v>155</v>
      </c>
      <c r="C3"/>
      <c r="D3"/>
      <c r="E3">
        <v>97</v>
      </c>
      <c r="F3" t="s">
        <v>56</v>
      </c>
      <c r="G3" s="1" t="s">
        <v>52</v>
      </c>
      <c r="H3" s="87">
        <v>45547</v>
      </c>
      <c r="I3" t="s">
        <v>2019</v>
      </c>
      <c r="J3" t="s">
        <v>2016</v>
      </c>
      <c r="K3" s="42" t="s">
        <v>2020</v>
      </c>
    </row>
    <row r="4" spans="1:11" s="16" customFormat="1" x14ac:dyDescent="0.25">
      <c r="A4" s="1" t="s">
        <v>2021</v>
      </c>
      <c r="B4" s="1" t="s">
        <v>155</v>
      </c>
      <c r="C4" s="1"/>
      <c r="D4" s="1"/>
      <c r="E4" s="1">
        <v>171</v>
      </c>
      <c r="F4" s="1" t="s">
        <v>48</v>
      </c>
      <c r="G4" s="1" t="s">
        <v>52</v>
      </c>
      <c r="H4" s="87">
        <v>45604</v>
      </c>
      <c r="I4" s="1" t="s">
        <v>2022</v>
      </c>
      <c r="J4" t="s">
        <v>2016</v>
      </c>
      <c r="K4" s="42" t="s">
        <v>2023</v>
      </c>
    </row>
    <row r="5" spans="1:11" s="16" customFormat="1" x14ac:dyDescent="0.25">
      <c r="A5" s="1" t="s">
        <v>2024</v>
      </c>
      <c r="B5" s="1" t="s">
        <v>155</v>
      </c>
      <c r="C5" s="1"/>
      <c r="D5" s="1"/>
      <c r="E5" s="1">
        <v>171</v>
      </c>
      <c r="F5" s="1" t="s">
        <v>48</v>
      </c>
      <c r="G5" s="1" t="s">
        <v>52</v>
      </c>
      <c r="H5" s="87">
        <v>45604</v>
      </c>
      <c r="I5" s="1" t="s">
        <v>2025</v>
      </c>
      <c r="J5" t="s">
        <v>2016</v>
      </c>
      <c r="K5" s="42" t="s">
        <v>2026</v>
      </c>
    </row>
    <row r="6" spans="1:11" s="16" customFormat="1" x14ac:dyDescent="0.25">
      <c r="A6" s="1" t="s">
        <v>2027</v>
      </c>
      <c r="B6" s="1" t="s">
        <v>155</v>
      </c>
      <c r="C6" s="1"/>
      <c r="D6" s="1"/>
      <c r="E6" s="1">
        <v>171</v>
      </c>
      <c r="F6" s="1" t="s">
        <v>48</v>
      </c>
      <c r="G6" s="1" t="s">
        <v>52</v>
      </c>
      <c r="H6" s="87">
        <v>45613</v>
      </c>
      <c r="I6" s="1"/>
      <c r="J6" t="s">
        <v>2016</v>
      </c>
      <c r="K6" s="42" t="s">
        <v>2028</v>
      </c>
    </row>
    <row r="7" spans="1:11" s="16" customFormat="1" x14ac:dyDescent="0.25">
      <c r="A7" s="1" t="s">
        <v>2029</v>
      </c>
      <c r="B7" s="1" t="s">
        <v>155</v>
      </c>
      <c r="C7" s="1"/>
      <c r="D7" s="1"/>
      <c r="E7" s="1">
        <v>171</v>
      </c>
      <c r="F7" s="1" t="s">
        <v>48</v>
      </c>
      <c r="G7" s="1" t="s">
        <v>52</v>
      </c>
      <c r="H7" s="87">
        <v>45613</v>
      </c>
      <c r="I7" s="1"/>
      <c r="J7" t="s">
        <v>2016</v>
      </c>
      <c r="K7" s="42" t="s">
        <v>2030</v>
      </c>
    </row>
    <row r="8" spans="1:11" s="16" customFormat="1" x14ac:dyDescent="0.25">
      <c r="A8" s="1" t="s">
        <v>2031</v>
      </c>
      <c r="B8" s="1" t="s">
        <v>155</v>
      </c>
      <c r="C8" s="1"/>
      <c r="D8" s="1"/>
      <c r="E8" s="1">
        <v>171</v>
      </c>
      <c r="F8" s="1" t="s">
        <v>48</v>
      </c>
      <c r="G8" s="1" t="s">
        <v>52</v>
      </c>
      <c r="H8" s="87">
        <v>45622</v>
      </c>
      <c r="I8" s="1" t="s">
        <v>2032</v>
      </c>
      <c r="J8" t="s">
        <v>2016</v>
      </c>
      <c r="K8" s="42" t="s">
        <v>2033</v>
      </c>
    </row>
    <row r="9" spans="1:11" s="16" customFormat="1" x14ac:dyDescent="0.25">
      <c r="A9" s="1" t="s">
        <v>2034</v>
      </c>
      <c r="B9" s="1" t="s">
        <v>155</v>
      </c>
      <c r="C9" s="1"/>
      <c r="D9" s="1"/>
      <c r="E9" s="1">
        <v>171</v>
      </c>
      <c r="F9" s="1" t="s">
        <v>48</v>
      </c>
      <c r="G9" s="1" t="s">
        <v>52</v>
      </c>
      <c r="H9" s="87">
        <v>45622</v>
      </c>
      <c r="I9" s="1" t="s">
        <v>2035</v>
      </c>
      <c r="J9" t="s">
        <v>2016</v>
      </c>
      <c r="K9" s="42" t="s">
        <v>2036</v>
      </c>
    </row>
    <row r="10" spans="1:11" s="16" customFormat="1" ht="30" x14ac:dyDescent="0.25">
      <c r="A10" s="1" t="s">
        <v>2037</v>
      </c>
      <c r="B10" s="1" t="s">
        <v>155</v>
      </c>
      <c r="C10" s="1"/>
      <c r="D10" s="1"/>
      <c r="E10" s="1">
        <v>171</v>
      </c>
      <c r="F10" s="1" t="s">
        <v>48</v>
      </c>
      <c r="G10" s="1" t="s">
        <v>52</v>
      </c>
      <c r="H10" s="87">
        <v>45679</v>
      </c>
      <c r="I10" s="34" t="s">
        <v>2038</v>
      </c>
      <c r="J10" t="s">
        <v>2016</v>
      </c>
      <c r="K10" s="25" t="s">
        <v>2039</v>
      </c>
    </row>
    <row r="11" spans="1:11" s="16" customFormat="1" ht="45" x14ac:dyDescent="0.25">
      <c r="A11" s="1" t="s">
        <v>2040</v>
      </c>
      <c r="B11" s="1" t="s">
        <v>155</v>
      </c>
      <c r="C11" s="1"/>
      <c r="D11" s="1"/>
      <c r="E11" s="1">
        <v>171</v>
      </c>
      <c r="F11" s="1" t="s">
        <v>48</v>
      </c>
      <c r="G11" s="1" t="s">
        <v>52</v>
      </c>
      <c r="H11" s="87">
        <v>45679</v>
      </c>
      <c r="I11" s="34" t="s">
        <v>2041</v>
      </c>
      <c r="J11" t="s">
        <v>2016</v>
      </c>
      <c r="K11" s="25" t="s">
        <v>2042</v>
      </c>
    </row>
    <row r="12" spans="1:11" s="16" customFormat="1" ht="30" x14ac:dyDescent="0.25">
      <c r="A12" s="34" t="s">
        <v>2043</v>
      </c>
      <c r="B12" s="1" t="s">
        <v>155</v>
      </c>
      <c r="C12" s="1" t="s">
        <v>155</v>
      </c>
      <c r="D12" s="1" t="s">
        <v>155</v>
      </c>
      <c r="E12" s="1">
        <v>70</v>
      </c>
      <c r="F12" s="1" t="s">
        <v>1312</v>
      </c>
      <c r="G12" s="1" t="s">
        <v>52</v>
      </c>
      <c r="H12" s="87">
        <v>45698</v>
      </c>
      <c r="I12" s="34" t="s">
        <v>2044</v>
      </c>
      <c r="J12" t="s">
        <v>2016</v>
      </c>
      <c r="K12" s="1" t="s">
        <v>27</v>
      </c>
    </row>
    <row r="13" spans="1:11" s="16" customFormat="1" ht="30" x14ac:dyDescent="0.25">
      <c r="A13" s="34" t="s">
        <v>2045</v>
      </c>
      <c r="B13" s="1" t="s">
        <v>155</v>
      </c>
      <c r="C13" s="1" t="s">
        <v>155</v>
      </c>
      <c r="D13" s="1" t="s">
        <v>155</v>
      </c>
      <c r="E13" s="1">
        <v>70</v>
      </c>
      <c r="F13" s="1" t="s">
        <v>1312</v>
      </c>
      <c r="G13" s="1" t="s">
        <v>52</v>
      </c>
      <c r="H13" s="87">
        <v>45698</v>
      </c>
      <c r="I13" s="34" t="s">
        <v>2046</v>
      </c>
      <c r="J13" t="s">
        <v>2016</v>
      </c>
      <c r="K13" s="1" t="s">
        <v>27</v>
      </c>
    </row>
    <row r="14" spans="1:11" s="16" customFormat="1" ht="30" x14ac:dyDescent="0.25">
      <c r="A14" s="34" t="s">
        <v>2047</v>
      </c>
      <c r="B14" s="1" t="s">
        <v>155</v>
      </c>
      <c r="C14" s="1" t="s">
        <v>155</v>
      </c>
      <c r="D14" s="1" t="s">
        <v>155</v>
      </c>
      <c r="E14" s="1">
        <v>70</v>
      </c>
      <c r="F14" s="1" t="s">
        <v>1312</v>
      </c>
      <c r="G14" s="1" t="s">
        <v>52</v>
      </c>
      <c r="H14" s="87">
        <v>45698</v>
      </c>
      <c r="I14" s="34" t="s">
        <v>2048</v>
      </c>
      <c r="J14" t="s">
        <v>2016</v>
      </c>
      <c r="K14" s="1" t="s">
        <v>27</v>
      </c>
    </row>
    <row r="15" spans="1:11" s="16" customFormat="1" ht="30" x14ac:dyDescent="0.25">
      <c r="A15" s="1" t="s">
        <v>2049</v>
      </c>
      <c r="B15" s="1" t="s">
        <v>155</v>
      </c>
      <c r="C15" s="1" t="s">
        <v>155</v>
      </c>
      <c r="D15" s="1" t="s">
        <v>155</v>
      </c>
      <c r="E15" s="1">
        <v>70</v>
      </c>
      <c r="F15" s="1" t="s">
        <v>1312</v>
      </c>
      <c r="G15" s="1" t="s">
        <v>52</v>
      </c>
      <c r="H15" s="87">
        <v>45705</v>
      </c>
      <c r="I15" s="34" t="s">
        <v>2050</v>
      </c>
      <c r="J15" t="s">
        <v>2016</v>
      </c>
      <c r="K15" s="1" t="s">
        <v>27</v>
      </c>
    </row>
    <row r="16" spans="1:11" s="16" customFormat="1" ht="60" x14ac:dyDescent="0.25">
      <c r="A16" s="34" t="s">
        <v>2051</v>
      </c>
      <c r="B16" s="1" t="s">
        <v>155</v>
      </c>
      <c r="C16" s="1" t="s">
        <v>155</v>
      </c>
      <c r="D16" s="1" t="s">
        <v>155</v>
      </c>
      <c r="E16" s="1">
        <v>64</v>
      </c>
      <c r="F16" s="1" t="s">
        <v>2052</v>
      </c>
      <c r="G16" s="1" t="s">
        <v>52</v>
      </c>
      <c r="H16" s="87">
        <v>45705</v>
      </c>
      <c r="I16" s="34" t="s">
        <v>2053</v>
      </c>
      <c r="J16" s="34"/>
      <c r="K16" s="1" t="s">
        <v>27</v>
      </c>
    </row>
    <row r="17" spans="1:11" s="16" customFormat="1" ht="60" x14ac:dyDescent="0.25">
      <c r="A17" s="34" t="s">
        <v>2054</v>
      </c>
      <c r="B17" s="1" t="s">
        <v>155</v>
      </c>
      <c r="C17" s="1" t="s">
        <v>155</v>
      </c>
      <c r="D17" s="1" t="s">
        <v>155</v>
      </c>
      <c r="E17" s="1">
        <v>64</v>
      </c>
      <c r="F17" s="1" t="s">
        <v>2052</v>
      </c>
      <c r="G17" s="1" t="s">
        <v>52</v>
      </c>
      <c r="H17" s="87">
        <v>45705</v>
      </c>
      <c r="I17" s="34" t="s">
        <v>2055</v>
      </c>
      <c r="J17" s="34"/>
      <c r="K17" s="1" t="s">
        <v>27</v>
      </c>
    </row>
    <row r="18" spans="1:11" s="16" customFormat="1" ht="30" x14ac:dyDescent="0.25">
      <c r="A18" s="34" t="s">
        <v>2056</v>
      </c>
      <c r="B18" s="1" t="s">
        <v>155</v>
      </c>
      <c r="C18" s="1" t="s">
        <v>155</v>
      </c>
      <c r="D18" s="1" t="s">
        <v>178</v>
      </c>
      <c r="E18" s="1">
        <v>64</v>
      </c>
      <c r="F18" s="1" t="s">
        <v>2052</v>
      </c>
      <c r="G18" s="1" t="s">
        <v>52</v>
      </c>
      <c r="H18" s="87">
        <v>45708</v>
      </c>
      <c r="I18" s="34" t="s">
        <v>2057</v>
      </c>
      <c r="J18" t="s">
        <v>2016</v>
      </c>
      <c r="K18" s="1" t="s">
        <v>27</v>
      </c>
    </row>
    <row r="19" spans="1:11" s="16" customFormat="1" ht="30" x14ac:dyDescent="0.25">
      <c r="A19" s="34" t="s">
        <v>2058</v>
      </c>
      <c r="B19" s="1" t="s">
        <v>155</v>
      </c>
      <c r="C19" s="1" t="s">
        <v>155</v>
      </c>
      <c r="D19" s="1" t="s">
        <v>178</v>
      </c>
      <c r="E19" s="1">
        <v>64</v>
      </c>
      <c r="F19" s="1" t="s">
        <v>2052</v>
      </c>
      <c r="G19" s="1" t="s">
        <v>52</v>
      </c>
      <c r="H19" s="87">
        <v>45708</v>
      </c>
      <c r="I19" s="34" t="s">
        <v>2059</v>
      </c>
      <c r="J19" t="s">
        <v>2016</v>
      </c>
      <c r="K19" s="1" t="s">
        <v>27</v>
      </c>
    </row>
    <row r="20" spans="1:11" s="16" customFormat="1" x14ac:dyDescent="0.25">
      <c r="A20" s="1" t="s">
        <v>2060</v>
      </c>
      <c r="B20" s="1" t="s">
        <v>155</v>
      </c>
      <c r="C20" s="1" t="s">
        <v>155</v>
      </c>
      <c r="D20" s="1" t="s">
        <v>155</v>
      </c>
      <c r="E20" s="1">
        <v>64</v>
      </c>
      <c r="F20" s="1" t="s">
        <v>2052</v>
      </c>
      <c r="G20" s="1" t="s">
        <v>52</v>
      </c>
      <c r="H20" s="87">
        <v>45716</v>
      </c>
      <c r="I20" s="1" t="s">
        <v>2061</v>
      </c>
      <c r="J20" t="s">
        <v>2016</v>
      </c>
      <c r="K20" s="1" t="s">
        <v>27</v>
      </c>
    </row>
    <row r="21" spans="1:11" s="16" customFormat="1" x14ac:dyDescent="0.25">
      <c r="A21" s="1" t="s">
        <v>2062</v>
      </c>
      <c r="B21" s="1" t="s">
        <v>155</v>
      </c>
      <c r="C21" s="1" t="s">
        <v>155</v>
      </c>
      <c r="D21" s="1" t="s">
        <v>155</v>
      </c>
      <c r="E21" s="1">
        <v>64</v>
      </c>
      <c r="F21" s="1" t="s">
        <v>2052</v>
      </c>
      <c r="G21" s="1" t="s">
        <v>52</v>
      </c>
      <c r="H21" s="87">
        <v>45719</v>
      </c>
      <c r="I21" s="1" t="s">
        <v>2063</v>
      </c>
      <c r="J21" t="s">
        <v>2016</v>
      </c>
      <c r="K21" s="1" t="s">
        <v>27</v>
      </c>
    </row>
    <row r="22" spans="1:11" s="16" customFormat="1" x14ac:dyDescent="0.25">
      <c r="A22" s="1" t="s">
        <v>2064</v>
      </c>
      <c r="B22" s="1" t="s">
        <v>155</v>
      </c>
      <c r="C22" s="1" t="s">
        <v>155</v>
      </c>
      <c r="D22" s="1" t="s">
        <v>155</v>
      </c>
      <c r="E22" s="1">
        <v>64</v>
      </c>
      <c r="F22" s="1" t="s">
        <v>2052</v>
      </c>
      <c r="G22" s="1" t="s">
        <v>52</v>
      </c>
      <c r="H22" s="87">
        <v>45719</v>
      </c>
      <c r="I22" s="1" t="s">
        <v>2065</v>
      </c>
      <c r="J22" t="s">
        <v>2016</v>
      </c>
      <c r="K22" s="1" t="s">
        <v>27</v>
      </c>
    </row>
    <row r="23" spans="1:11" s="16" customFormat="1" x14ac:dyDescent="0.25">
      <c r="A23" s="1" t="s">
        <v>2066</v>
      </c>
      <c r="B23" s="1" t="s">
        <v>155</v>
      </c>
      <c r="C23" s="1" t="s">
        <v>155</v>
      </c>
      <c r="D23" s="1" t="s">
        <v>155</v>
      </c>
      <c r="E23" s="1">
        <v>64</v>
      </c>
      <c r="F23" s="1" t="s">
        <v>2052</v>
      </c>
      <c r="G23" s="1" t="s">
        <v>52</v>
      </c>
      <c r="H23" s="87">
        <v>45719</v>
      </c>
      <c r="I23" s="1" t="s">
        <v>2067</v>
      </c>
      <c r="J23" t="s">
        <v>2016</v>
      </c>
      <c r="K23" s="1" t="s">
        <v>27</v>
      </c>
    </row>
    <row r="24" spans="1:11" s="16" customFormat="1" x14ac:dyDescent="0.25">
      <c r="A24" s="1" t="s">
        <v>2068</v>
      </c>
      <c r="B24" s="1" t="s">
        <v>155</v>
      </c>
      <c r="C24" s="1" t="s">
        <v>155</v>
      </c>
      <c r="D24" s="1" t="s">
        <v>155</v>
      </c>
      <c r="E24" s="1">
        <v>64</v>
      </c>
      <c r="F24" s="1" t="s">
        <v>2052</v>
      </c>
      <c r="G24" s="1" t="s">
        <v>52</v>
      </c>
      <c r="H24" s="87">
        <v>45719</v>
      </c>
      <c r="I24" s="1" t="s">
        <v>2065</v>
      </c>
      <c r="J24" t="s">
        <v>2016</v>
      </c>
      <c r="K24" s="1" t="s">
        <v>27</v>
      </c>
    </row>
    <row r="25" spans="1:11" s="16" customFormat="1" ht="30" x14ac:dyDescent="0.25">
      <c r="A25" s="1" t="s">
        <v>2069</v>
      </c>
      <c r="B25" s="1" t="s">
        <v>155</v>
      </c>
      <c r="C25" s="1" t="s">
        <v>155</v>
      </c>
      <c r="D25" s="1" t="s">
        <v>178</v>
      </c>
      <c r="E25" s="1">
        <v>62.5</v>
      </c>
      <c r="F25" s="1" t="s">
        <v>2070</v>
      </c>
      <c r="G25" s="1" t="s">
        <v>52</v>
      </c>
      <c r="H25" s="87">
        <v>45726</v>
      </c>
      <c r="I25" s="34" t="s">
        <v>2071</v>
      </c>
      <c r="J25" t="s">
        <v>2016</v>
      </c>
      <c r="K25" s="25" t="s">
        <v>2072</v>
      </c>
    </row>
    <row r="26" spans="1:11" s="16" customFormat="1" ht="30" x14ac:dyDescent="0.25">
      <c r="A26" t="s">
        <v>2073</v>
      </c>
      <c r="B26" s="1" t="s">
        <v>155</v>
      </c>
      <c r="C26" s="1" t="s">
        <v>155</v>
      </c>
      <c r="D26" s="1" t="s">
        <v>178</v>
      </c>
      <c r="E26" s="1">
        <v>62.5</v>
      </c>
      <c r="F26" s="1" t="s">
        <v>2070</v>
      </c>
      <c r="G26" s="1" t="s">
        <v>52</v>
      </c>
      <c r="H26" s="87">
        <v>45726</v>
      </c>
      <c r="I26" s="34" t="s">
        <v>2074</v>
      </c>
      <c r="J26" t="s">
        <v>2016</v>
      </c>
      <c r="K26" s="1" t="s">
        <v>27</v>
      </c>
    </row>
    <row r="27" spans="1:11" s="16" customFormat="1" ht="45" x14ac:dyDescent="0.25">
      <c r="A27" s="1" t="s">
        <v>2075</v>
      </c>
      <c r="B27" s="1" t="s">
        <v>155</v>
      </c>
      <c r="C27" s="1" t="s">
        <v>155</v>
      </c>
      <c r="D27" s="1" t="s">
        <v>178</v>
      </c>
      <c r="E27" s="1">
        <v>48</v>
      </c>
      <c r="F27" s="1" t="s">
        <v>2076</v>
      </c>
      <c r="G27" s="1" t="s">
        <v>52</v>
      </c>
      <c r="H27" s="87">
        <v>45726</v>
      </c>
      <c r="I27" s="34" t="s">
        <v>2077</v>
      </c>
      <c r="J27" t="s">
        <v>2016</v>
      </c>
      <c r="K27" s="25" t="s">
        <v>2078</v>
      </c>
    </row>
    <row r="28" spans="1:11" s="16" customFormat="1" ht="45" x14ac:dyDescent="0.25">
      <c r="A28" s="1" t="s">
        <v>2079</v>
      </c>
      <c r="B28" s="1" t="s">
        <v>155</v>
      </c>
      <c r="C28" s="1" t="s">
        <v>155</v>
      </c>
      <c r="D28" s="1" t="s">
        <v>178</v>
      </c>
      <c r="E28" s="1">
        <v>48</v>
      </c>
      <c r="F28" s="1" t="s">
        <v>2076</v>
      </c>
      <c r="G28" s="1" t="s">
        <v>52</v>
      </c>
      <c r="H28" s="87">
        <v>45726</v>
      </c>
      <c r="I28" s="34" t="s">
        <v>2080</v>
      </c>
      <c r="J28" t="s">
        <v>2016</v>
      </c>
      <c r="K28" s="25" t="s">
        <v>2081</v>
      </c>
    </row>
    <row r="29" spans="1:11" s="16" customFormat="1" ht="45" x14ac:dyDescent="0.25">
      <c r="A29" s="1" t="s">
        <v>2082</v>
      </c>
      <c r="B29" s="1" t="s">
        <v>155</v>
      </c>
      <c r="C29" s="1" t="s">
        <v>155</v>
      </c>
      <c r="D29" s="1" t="s">
        <v>178</v>
      </c>
      <c r="E29" s="1">
        <v>48</v>
      </c>
      <c r="F29" s="1" t="s">
        <v>2076</v>
      </c>
      <c r="G29" s="1" t="s">
        <v>52</v>
      </c>
      <c r="H29" s="87">
        <v>45726</v>
      </c>
      <c r="I29" s="34" t="s">
        <v>2080</v>
      </c>
      <c r="J29" t="s">
        <v>2016</v>
      </c>
      <c r="K29" s="25" t="s">
        <v>2083</v>
      </c>
    </row>
    <row r="30" spans="1:11" s="16" customFormat="1" ht="45" x14ac:dyDescent="0.25">
      <c r="A30" s="1" t="s">
        <v>2084</v>
      </c>
      <c r="B30" s="1" t="s">
        <v>155</v>
      </c>
      <c r="C30" s="1" t="s">
        <v>155</v>
      </c>
      <c r="D30" s="1" t="s">
        <v>155</v>
      </c>
      <c r="E30" s="1">
        <v>48</v>
      </c>
      <c r="F30" s="1" t="s">
        <v>2076</v>
      </c>
      <c r="G30" s="1" t="s">
        <v>52</v>
      </c>
      <c r="H30" s="87">
        <v>45727</v>
      </c>
      <c r="I30" s="34" t="s">
        <v>2085</v>
      </c>
      <c r="J30" t="s">
        <v>2016</v>
      </c>
      <c r="K30" s="25" t="s">
        <v>2086</v>
      </c>
    </row>
    <row r="31" spans="1:11" s="16" customFormat="1" ht="30" x14ac:dyDescent="0.25">
      <c r="A31" s="1" t="s">
        <v>2087</v>
      </c>
      <c r="B31" s="1" t="s">
        <v>155</v>
      </c>
      <c r="C31" s="1" t="s">
        <v>155</v>
      </c>
      <c r="D31" s="1" t="s">
        <v>178</v>
      </c>
      <c r="E31" s="1">
        <v>48</v>
      </c>
      <c r="F31" s="1" t="s">
        <v>2076</v>
      </c>
      <c r="G31" s="1" t="s">
        <v>52</v>
      </c>
      <c r="H31" s="87">
        <v>45733</v>
      </c>
      <c r="I31" s="24" t="s">
        <v>2088</v>
      </c>
      <c r="J31" t="s">
        <v>2016</v>
      </c>
      <c r="K31" s="25" t="s">
        <v>2089</v>
      </c>
    </row>
    <row r="32" spans="1:11" s="16" customFormat="1" ht="30" x14ac:dyDescent="0.25">
      <c r="A32" s="1" t="s">
        <v>2090</v>
      </c>
      <c r="B32" s="1" t="s">
        <v>155</v>
      </c>
      <c r="C32" s="1" t="s">
        <v>155</v>
      </c>
      <c r="D32" s="1" t="s">
        <v>178</v>
      </c>
      <c r="E32" s="1">
        <v>48</v>
      </c>
      <c r="F32" s="1" t="s">
        <v>2076</v>
      </c>
      <c r="G32" s="1" t="s">
        <v>52</v>
      </c>
      <c r="H32" s="87">
        <v>45733</v>
      </c>
      <c r="I32" s="1" t="s">
        <v>2088</v>
      </c>
      <c r="J32" t="s">
        <v>2016</v>
      </c>
      <c r="K32" s="25" t="s">
        <v>2091</v>
      </c>
    </row>
    <row r="33" spans="1:11" s="16" customFormat="1" ht="30" x14ac:dyDescent="0.25">
      <c r="A33" s="1" t="s">
        <v>2092</v>
      </c>
      <c r="B33" s="1" t="s">
        <v>155</v>
      </c>
      <c r="C33" s="1" t="s">
        <v>155</v>
      </c>
      <c r="D33" s="1" t="s">
        <v>178</v>
      </c>
      <c r="E33" s="1">
        <v>48</v>
      </c>
      <c r="F33" s="1" t="s">
        <v>2076</v>
      </c>
      <c r="G33" s="1" t="s">
        <v>52</v>
      </c>
      <c r="H33" s="87">
        <v>45733</v>
      </c>
      <c r="I33" s="1" t="s">
        <v>2093</v>
      </c>
      <c r="J33" t="s">
        <v>2016</v>
      </c>
      <c r="K33" s="25" t="s">
        <v>2094</v>
      </c>
    </row>
    <row r="34" spans="1:11" s="16" customFormat="1" ht="30" x14ac:dyDescent="0.25">
      <c r="A34" s="1" t="s">
        <v>2095</v>
      </c>
      <c r="B34" s="1" t="s">
        <v>155</v>
      </c>
      <c r="C34" s="1" t="s">
        <v>155</v>
      </c>
      <c r="D34" s="1" t="s">
        <v>155</v>
      </c>
      <c r="E34" s="1">
        <v>48</v>
      </c>
      <c r="F34" s="1" t="s">
        <v>2076</v>
      </c>
      <c r="G34" s="1" t="s">
        <v>52</v>
      </c>
      <c r="H34" s="87">
        <v>45747</v>
      </c>
      <c r="I34" s="34" t="s">
        <v>2096</v>
      </c>
      <c r="J34" t="s">
        <v>2016</v>
      </c>
      <c r="K34" s="1"/>
    </row>
    <row r="35" spans="1:11" s="16" customFormat="1" ht="30" x14ac:dyDescent="0.25">
      <c r="A35" s="1" t="s">
        <v>2097</v>
      </c>
      <c r="B35" s="1" t="s">
        <v>155</v>
      </c>
      <c r="C35" s="1" t="s">
        <v>155</v>
      </c>
      <c r="D35" s="1" t="s">
        <v>155</v>
      </c>
      <c r="E35" s="1">
        <v>48</v>
      </c>
      <c r="F35" s="1" t="s">
        <v>2076</v>
      </c>
      <c r="G35" s="1" t="s">
        <v>52</v>
      </c>
      <c r="H35" s="87">
        <v>45747</v>
      </c>
      <c r="I35" s="34" t="s">
        <v>2098</v>
      </c>
      <c r="J35" t="s">
        <v>2016</v>
      </c>
      <c r="K35" s="1"/>
    </row>
    <row r="36" spans="1:11" s="16" customFormat="1" ht="30" x14ac:dyDescent="0.25">
      <c r="A36" s="1" t="s">
        <v>2099</v>
      </c>
      <c r="B36" s="1" t="s">
        <v>155</v>
      </c>
      <c r="C36" s="1" t="s">
        <v>155</v>
      </c>
      <c r="D36" s="1" t="s">
        <v>155</v>
      </c>
      <c r="E36" s="1">
        <v>48</v>
      </c>
      <c r="F36" s="1" t="s">
        <v>2076</v>
      </c>
      <c r="G36" s="1" t="s">
        <v>52</v>
      </c>
      <c r="H36" s="87">
        <v>45747</v>
      </c>
      <c r="I36" s="34" t="s">
        <v>2100</v>
      </c>
      <c r="J36" t="s">
        <v>2016</v>
      </c>
      <c r="K36" s="1"/>
    </row>
    <row r="37" spans="1:11" s="16" customFormat="1" ht="30" x14ac:dyDescent="0.25">
      <c r="A37" s="1" t="s">
        <v>2101</v>
      </c>
      <c r="B37" s="1" t="s">
        <v>155</v>
      </c>
      <c r="C37" s="1" t="s">
        <v>155</v>
      </c>
      <c r="D37" s="1" t="s">
        <v>155</v>
      </c>
      <c r="E37" s="1">
        <v>48</v>
      </c>
      <c r="F37" s="1" t="s">
        <v>2076</v>
      </c>
      <c r="G37" s="1" t="s">
        <v>52</v>
      </c>
      <c r="H37" s="87">
        <v>45747</v>
      </c>
      <c r="I37" s="34" t="s">
        <v>2102</v>
      </c>
      <c r="J37" t="s">
        <v>2016</v>
      </c>
      <c r="K37" s="1"/>
    </row>
    <row r="38" spans="1:11" s="16" customFormat="1" ht="30" x14ac:dyDescent="0.25">
      <c r="A38" s="1" t="s">
        <v>2103</v>
      </c>
      <c r="B38" s="1" t="s">
        <v>155</v>
      </c>
      <c r="C38" s="1" t="s">
        <v>155</v>
      </c>
      <c r="D38" s="1" t="s">
        <v>155</v>
      </c>
      <c r="E38" s="1">
        <v>48</v>
      </c>
      <c r="F38" s="1" t="s">
        <v>2076</v>
      </c>
      <c r="G38" s="1" t="s">
        <v>52</v>
      </c>
      <c r="H38" s="87">
        <v>45751</v>
      </c>
      <c r="I38" s="34" t="s">
        <v>2104</v>
      </c>
      <c r="J38" t="s">
        <v>2016</v>
      </c>
      <c r="K38" s="1"/>
    </row>
    <row r="39" spans="1:11" s="16" customFormat="1" x14ac:dyDescent="0.25">
      <c r="A39" s="1" t="s">
        <v>2105</v>
      </c>
      <c r="B39" s="1" t="s">
        <v>155</v>
      </c>
      <c r="C39" s="1" t="s">
        <v>155</v>
      </c>
      <c r="D39" s="1" t="s">
        <v>194</v>
      </c>
      <c r="E39" s="1">
        <v>48</v>
      </c>
      <c r="F39" s="1" t="s">
        <v>2076</v>
      </c>
      <c r="G39" s="1" t="s">
        <v>52</v>
      </c>
      <c r="H39" s="87">
        <v>45751</v>
      </c>
      <c r="I39" s="1" t="s">
        <v>2106</v>
      </c>
      <c r="J39" t="s">
        <v>2016</v>
      </c>
      <c r="K39" s="1"/>
    </row>
    <row r="40" spans="1:11" s="16" customFormat="1" ht="45" x14ac:dyDescent="0.25">
      <c r="A40" s="1" t="s">
        <v>2107</v>
      </c>
      <c r="B40" s="1" t="s">
        <v>155</v>
      </c>
      <c r="C40" s="1" t="s">
        <v>155</v>
      </c>
      <c r="D40" s="1" t="s">
        <v>178</v>
      </c>
      <c r="E40" s="1">
        <v>48</v>
      </c>
      <c r="F40" s="1" t="s">
        <v>2076</v>
      </c>
      <c r="G40" s="1" t="s">
        <v>52</v>
      </c>
      <c r="H40" s="87">
        <v>45754</v>
      </c>
      <c r="I40" s="34" t="s">
        <v>2108</v>
      </c>
      <c r="J40" t="s">
        <v>2016</v>
      </c>
      <c r="K40" s="1"/>
    </row>
    <row r="41" spans="1:11" s="16" customFormat="1" ht="30" x14ac:dyDescent="0.25">
      <c r="A41" s="1" t="s">
        <v>2109</v>
      </c>
      <c r="B41" s="1" t="s">
        <v>155</v>
      </c>
      <c r="C41" s="1" t="s">
        <v>155</v>
      </c>
      <c r="D41" s="1" t="s">
        <v>178</v>
      </c>
      <c r="E41" s="1">
        <v>48</v>
      </c>
      <c r="F41" s="1" t="s">
        <v>2076</v>
      </c>
      <c r="G41" s="1" t="s">
        <v>52</v>
      </c>
      <c r="H41" s="87">
        <v>45754</v>
      </c>
      <c r="I41" s="34" t="s">
        <v>2110</v>
      </c>
      <c r="J41" t="s">
        <v>2016</v>
      </c>
      <c r="K41" s="1"/>
    </row>
    <row r="42" spans="1:11" s="16" customFormat="1" ht="30" x14ac:dyDescent="0.25">
      <c r="A42" s="1" t="s">
        <v>2111</v>
      </c>
      <c r="B42" s="1" t="s">
        <v>155</v>
      </c>
      <c r="C42" s="1" t="s">
        <v>155</v>
      </c>
      <c r="D42" s="1" t="s">
        <v>155</v>
      </c>
      <c r="E42" s="1">
        <v>48</v>
      </c>
      <c r="F42" s="1" t="s">
        <v>2076</v>
      </c>
      <c r="G42" s="1" t="s">
        <v>52</v>
      </c>
      <c r="H42" s="87">
        <v>45758</v>
      </c>
      <c r="I42" s="34" t="s">
        <v>2112</v>
      </c>
      <c r="J42" t="s">
        <v>2016</v>
      </c>
      <c r="K42" s="1"/>
    </row>
    <row r="43" spans="1:11" s="16" customFormat="1" ht="30" x14ac:dyDescent="0.25">
      <c r="A43" s="1" t="s">
        <v>2113</v>
      </c>
      <c r="B43" s="1" t="s">
        <v>155</v>
      </c>
      <c r="C43" s="1" t="s">
        <v>155</v>
      </c>
      <c r="D43" s="1" t="s">
        <v>155</v>
      </c>
      <c r="E43" s="1">
        <v>48</v>
      </c>
      <c r="F43" s="1" t="s">
        <v>2076</v>
      </c>
      <c r="G43" s="1" t="s">
        <v>52</v>
      </c>
      <c r="H43" s="87">
        <v>45758</v>
      </c>
      <c r="I43" s="34" t="s">
        <v>2112</v>
      </c>
      <c r="J43" t="s">
        <v>2016</v>
      </c>
      <c r="K43" s="1"/>
    </row>
    <row r="44" spans="1:11" s="16" customFormat="1" ht="30" x14ac:dyDescent="0.25">
      <c r="A44" s="1" t="s">
        <v>2114</v>
      </c>
      <c r="B44" s="1" t="s">
        <v>155</v>
      </c>
      <c r="C44" s="1" t="s">
        <v>155</v>
      </c>
      <c r="D44" s="1" t="s">
        <v>155</v>
      </c>
      <c r="E44" s="1">
        <v>48</v>
      </c>
      <c r="F44" s="1" t="s">
        <v>2076</v>
      </c>
      <c r="G44" s="1" t="s">
        <v>52</v>
      </c>
      <c r="H44" s="87">
        <v>45761</v>
      </c>
      <c r="I44" s="34" t="s">
        <v>2115</v>
      </c>
      <c r="J44" t="s">
        <v>2016</v>
      </c>
      <c r="K44" s="1"/>
    </row>
    <row r="45" spans="1:11" s="16" customFormat="1" ht="30" x14ac:dyDescent="0.25">
      <c r="A45" s="1" t="s">
        <v>2116</v>
      </c>
      <c r="B45" s="1" t="s">
        <v>155</v>
      </c>
      <c r="C45" s="1" t="s">
        <v>155</v>
      </c>
      <c r="D45" s="1" t="s">
        <v>155</v>
      </c>
      <c r="E45" s="1">
        <v>48</v>
      </c>
      <c r="F45" s="1" t="s">
        <v>2076</v>
      </c>
      <c r="G45" s="1" t="s">
        <v>52</v>
      </c>
      <c r="H45" s="87">
        <v>45761</v>
      </c>
      <c r="I45" s="34" t="s">
        <v>2115</v>
      </c>
      <c r="J45" t="s">
        <v>2016</v>
      </c>
      <c r="K45" s="1"/>
    </row>
    <row r="46" spans="1:11" s="16" customFormat="1" ht="30" x14ac:dyDescent="0.25">
      <c r="A46" s="1" t="s">
        <v>2117</v>
      </c>
      <c r="B46" s="1" t="s">
        <v>155</v>
      </c>
      <c r="C46" s="1" t="s">
        <v>155</v>
      </c>
      <c r="D46" s="1" t="s">
        <v>155</v>
      </c>
      <c r="E46" s="1">
        <v>48</v>
      </c>
      <c r="F46" s="1" t="s">
        <v>2076</v>
      </c>
      <c r="G46" s="1" t="s">
        <v>52</v>
      </c>
      <c r="H46" s="87">
        <v>45763</v>
      </c>
      <c r="I46" s="88" t="s">
        <v>2118</v>
      </c>
      <c r="J46" t="s">
        <v>2016</v>
      </c>
      <c r="K46" s="1"/>
    </row>
    <row r="47" spans="1:11" s="16" customFormat="1" ht="30" x14ac:dyDescent="0.25">
      <c r="A47" s="1" t="s">
        <v>2119</v>
      </c>
      <c r="B47" s="1" t="s">
        <v>155</v>
      </c>
      <c r="C47" s="1" t="s">
        <v>155</v>
      </c>
      <c r="D47" s="1" t="s">
        <v>155</v>
      </c>
      <c r="E47" s="1">
        <v>48</v>
      </c>
      <c r="F47" s="1" t="s">
        <v>2076</v>
      </c>
      <c r="G47" s="1" t="s">
        <v>52</v>
      </c>
      <c r="H47" s="87">
        <v>45763</v>
      </c>
      <c r="I47" s="88" t="s">
        <v>2120</v>
      </c>
      <c r="J47" t="s">
        <v>2016</v>
      </c>
      <c r="K47" s="1"/>
    </row>
    <row r="48" spans="1:11" s="16" customFormat="1" ht="30" x14ac:dyDescent="0.25">
      <c r="A48" s="1" t="s">
        <v>2121</v>
      </c>
      <c r="B48" s="1" t="s">
        <v>155</v>
      </c>
      <c r="C48" s="1" t="s">
        <v>155</v>
      </c>
      <c r="D48" s="1" t="s">
        <v>155</v>
      </c>
      <c r="E48" s="1">
        <v>48</v>
      </c>
      <c r="F48" s="1" t="s">
        <v>2076</v>
      </c>
      <c r="G48" s="1" t="s">
        <v>52</v>
      </c>
      <c r="H48" s="87">
        <v>45763</v>
      </c>
      <c r="I48" s="34" t="s">
        <v>2122</v>
      </c>
      <c r="J48" t="s">
        <v>2016</v>
      </c>
      <c r="K48" s="1"/>
    </row>
    <row r="49" spans="1:11" s="16" customFormat="1" ht="30" x14ac:dyDescent="0.25">
      <c r="A49" s="1" t="s">
        <v>2123</v>
      </c>
      <c r="B49" s="1" t="s">
        <v>155</v>
      </c>
      <c r="C49" s="1" t="s">
        <v>155</v>
      </c>
      <c r="D49" s="1" t="s">
        <v>155</v>
      </c>
      <c r="E49" s="1">
        <v>48</v>
      </c>
      <c r="F49" s="1" t="s">
        <v>2076</v>
      </c>
      <c r="G49" s="1" t="s">
        <v>52</v>
      </c>
      <c r="H49" s="87">
        <v>45763</v>
      </c>
      <c r="I49" s="34" t="s">
        <v>2124</v>
      </c>
      <c r="J49" s="34"/>
      <c r="K49" s="1"/>
    </row>
    <row r="50" spans="1:11" s="16" customFormat="1" ht="30" x14ac:dyDescent="0.25">
      <c r="A50" s="1" t="s">
        <v>2125</v>
      </c>
      <c r="B50" s="1" t="s">
        <v>155</v>
      </c>
      <c r="C50" s="1" t="s">
        <v>155</v>
      </c>
      <c r="D50" s="1" t="s">
        <v>257</v>
      </c>
      <c r="E50" s="1">
        <v>48</v>
      </c>
      <c r="F50" s="1" t="s">
        <v>2126</v>
      </c>
      <c r="G50" s="1" t="s">
        <v>52</v>
      </c>
      <c r="H50" s="87">
        <v>45765</v>
      </c>
      <c r="I50" s="34" t="s">
        <v>2127</v>
      </c>
      <c r="J50" t="s">
        <v>2016</v>
      </c>
      <c r="K50" s="1"/>
    </row>
    <row r="51" spans="1:11" s="16" customFormat="1" ht="30" x14ac:dyDescent="0.25">
      <c r="A51" s="1" t="s">
        <v>2128</v>
      </c>
      <c r="B51" s="1" t="s">
        <v>155</v>
      </c>
      <c r="C51" s="1" t="s">
        <v>155</v>
      </c>
      <c r="D51" s="1" t="s">
        <v>257</v>
      </c>
      <c r="E51" s="1">
        <v>48</v>
      </c>
      <c r="F51" s="1" t="s">
        <v>2126</v>
      </c>
      <c r="G51" s="1" t="s">
        <v>52</v>
      </c>
      <c r="H51" s="87">
        <v>45765</v>
      </c>
      <c r="I51" s="34" t="s">
        <v>2129</v>
      </c>
      <c r="J51" t="s">
        <v>2016</v>
      </c>
      <c r="K51" s="1"/>
    </row>
    <row r="52" spans="1:11" s="16" customFormat="1" ht="30" x14ac:dyDescent="0.25">
      <c r="A52" s="1" t="s">
        <v>2130</v>
      </c>
      <c r="B52" s="1" t="s">
        <v>155</v>
      </c>
      <c r="C52" s="1" t="s">
        <v>155</v>
      </c>
      <c r="D52" s="1" t="s">
        <v>257</v>
      </c>
      <c r="E52" s="1">
        <v>168</v>
      </c>
      <c r="F52" s="1" t="s">
        <v>271</v>
      </c>
      <c r="G52" s="1" t="s">
        <v>52</v>
      </c>
      <c r="H52" s="87">
        <v>45770</v>
      </c>
      <c r="I52" s="34" t="s">
        <v>2131</v>
      </c>
      <c r="J52" t="s">
        <v>2016</v>
      </c>
      <c r="K52" s="1"/>
    </row>
    <row r="53" spans="1:11" s="16" customFormat="1" ht="30" x14ac:dyDescent="0.25">
      <c r="A53" s="1" t="s">
        <v>2132</v>
      </c>
      <c r="B53" s="1" t="s">
        <v>155</v>
      </c>
      <c r="C53" s="1" t="s">
        <v>155</v>
      </c>
      <c r="D53" s="1" t="s">
        <v>257</v>
      </c>
      <c r="E53" s="1">
        <v>168</v>
      </c>
      <c r="F53" s="1" t="s">
        <v>271</v>
      </c>
      <c r="G53" s="1" t="s">
        <v>52</v>
      </c>
      <c r="H53" s="87">
        <v>45770</v>
      </c>
      <c r="I53" s="34" t="s">
        <v>2133</v>
      </c>
      <c r="J53" t="s">
        <v>2016</v>
      </c>
      <c r="K53" s="1"/>
    </row>
    <row r="54" spans="1:11" s="16" customFormat="1" ht="30" x14ac:dyDescent="0.25">
      <c r="A54" s="1" t="s">
        <v>2134</v>
      </c>
      <c r="B54" s="1" t="s">
        <v>155</v>
      </c>
      <c r="C54" s="1" t="s">
        <v>155</v>
      </c>
      <c r="D54" s="1" t="s">
        <v>155</v>
      </c>
      <c r="E54" s="1">
        <v>48</v>
      </c>
      <c r="F54" s="1" t="s">
        <v>2076</v>
      </c>
      <c r="G54" s="1" t="s">
        <v>52</v>
      </c>
      <c r="H54" s="87">
        <v>45778</v>
      </c>
      <c r="I54" s="34" t="s">
        <v>2135</v>
      </c>
      <c r="J54" s="34"/>
      <c r="K54" s="1"/>
    </row>
    <row r="55" spans="1:11" s="16" customFormat="1" ht="30" x14ac:dyDescent="0.25">
      <c r="A55" s="1" t="s">
        <v>2136</v>
      </c>
      <c r="B55" s="1" t="s">
        <v>155</v>
      </c>
      <c r="C55" s="1" t="s">
        <v>155</v>
      </c>
      <c r="D55" s="1" t="s">
        <v>155</v>
      </c>
      <c r="E55" s="1">
        <v>48</v>
      </c>
      <c r="F55" s="1" t="s">
        <v>2076</v>
      </c>
      <c r="G55" s="1" t="s">
        <v>52</v>
      </c>
      <c r="H55" s="87">
        <v>45778</v>
      </c>
      <c r="I55" s="34" t="s">
        <v>2137</v>
      </c>
      <c r="J55" s="34"/>
      <c r="K55" s="1"/>
    </row>
    <row r="56" spans="1:11" s="16" customFormat="1" ht="60.75" customHeight="1" x14ac:dyDescent="0.25">
      <c r="A56" s="1" t="s">
        <v>2138</v>
      </c>
      <c r="B56" s="1" t="s">
        <v>155</v>
      </c>
      <c r="C56" s="1" t="s">
        <v>155</v>
      </c>
      <c r="D56" s="1" t="s">
        <v>245</v>
      </c>
      <c r="E56" s="1">
        <v>168</v>
      </c>
      <c r="F56" s="1" t="s">
        <v>271</v>
      </c>
      <c r="G56" s="1" t="s">
        <v>52</v>
      </c>
      <c r="H56" s="87">
        <v>45786</v>
      </c>
      <c r="I56" s="34" t="s">
        <v>2139</v>
      </c>
      <c r="J56" t="s">
        <v>2016</v>
      </c>
      <c r="K56" s="1"/>
    </row>
    <row r="57" spans="1:11" s="16" customFormat="1" ht="45" x14ac:dyDescent="0.25">
      <c r="A57" s="1" t="s">
        <v>2140</v>
      </c>
      <c r="B57" s="1" t="s">
        <v>155</v>
      </c>
      <c r="C57" s="1" t="s">
        <v>155</v>
      </c>
      <c r="D57" s="1" t="s">
        <v>2141</v>
      </c>
      <c r="E57" s="1">
        <v>48</v>
      </c>
      <c r="F57" s="1" t="s">
        <v>2126</v>
      </c>
      <c r="G57" s="1" t="s">
        <v>2142</v>
      </c>
      <c r="H57" s="87">
        <v>45793</v>
      </c>
      <c r="I57" s="34" t="s">
        <v>2143</v>
      </c>
      <c r="J57" s="34" t="s">
        <v>2144</v>
      </c>
      <c r="K57" s="1"/>
    </row>
    <row r="58" spans="1:11" s="16" customFormat="1" ht="30" x14ac:dyDescent="0.25">
      <c r="A58" s="1" t="s">
        <v>2145</v>
      </c>
      <c r="B58" s="1" t="s">
        <v>155</v>
      </c>
      <c r="C58" s="1" t="s">
        <v>155</v>
      </c>
      <c r="D58" s="1" t="s">
        <v>245</v>
      </c>
      <c r="E58" s="1">
        <v>499</v>
      </c>
      <c r="F58" s="1" t="s">
        <v>2146</v>
      </c>
      <c r="G58" s="1" t="s">
        <v>2142</v>
      </c>
      <c r="H58" s="87">
        <v>45807</v>
      </c>
      <c r="I58" s="34" t="s">
        <v>2135</v>
      </c>
      <c r="J58" t="s">
        <v>2016</v>
      </c>
      <c r="K58" s="1"/>
    </row>
    <row r="59" spans="1:11" s="16" customFormat="1" x14ac:dyDescent="0.25">
      <c r="A59" s="1"/>
      <c r="B59" s="1"/>
      <c r="C59" s="1"/>
      <c r="D59" s="1"/>
      <c r="E59" s="1"/>
      <c r="F59" s="1"/>
      <c r="G59" s="1"/>
      <c r="H59" s="87"/>
      <c r="I59" s="1"/>
      <c r="J59" s="1"/>
      <c r="K59" s="1"/>
    </row>
    <row r="60" spans="1:11" s="16" customFormat="1" x14ac:dyDescent="0.25">
      <c r="A60" s="1"/>
      <c r="B60" s="1"/>
      <c r="C60" s="1"/>
      <c r="D60" s="1"/>
      <c r="E60" s="1"/>
      <c r="F60" s="1"/>
      <c r="G60" s="1"/>
      <c r="H60" s="87"/>
      <c r="I60" s="1"/>
      <c r="J60" s="1"/>
      <c r="K60" s="1"/>
    </row>
    <row r="61" spans="1:11" s="16" customFormat="1" x14ac:dyDescent="0.25">
      <c r="A61" s="1"/>
      <c r="B61" s="1"/>
      <c r="C61" s="1"/>
      <c r="D61" s="1"/>
      <c r="E61" s="1"/>
      <c r="F61" s="1"/>
      <c r="G61" s="1"/>
      <c r="H61" s="87"/>
      <c r="I61" s="1"/>
      <c r="J61" s="1"/>
      <c r="K61" s="1"/>
    </row>
    <row r="62" spans="1:11" s="16" customFormat="1" x14ac:dyDescent="0.25">
      <c r="A62" s="1"/>
      <c r="B62" s="1"/>
      <c r="C62" s="1"/>
      <c r="D62" s="1"/>
      <c r="E62" s="1"/>
      <c r="F62" s="1"/>
      <c r="G62" s="1"/>
      <c r="H62" s="87"/>
      <c r="I62" s="1"/>
      <c r="J62" s="1"/>
      <c r="K62" s="1"/>
    </row>
    <row r="63" spans="1:11" s="16" customFormat="1" x14ac:dyDescent="0.25">
      <c r="A63" s="1"/>
      <c r="B63" s="1"/>
      <c r="C63" s="1"/>
      <c r="D63" s="1"/>
      <c r="E63" s="1"/>
      <c r="F63" s="1"/>
      <c r="G63" s="1"/>
      <c r="H63" s="87"/>
      <c r="I63" s="1"/>
      <c r="J63" s="1"/>
      <c r="K63" s="1"/>
    </row>
    <row r="64" spans="1:11" s="16" customFormat="1" x14ac:dyDescent="0.25">
      <c r="A64" s="1"/>
      <c r="B64" s="1"/>
      <c r="C64" s="1"/>
      <c r="D64" s="1"/>
      <c r="E64" s="1"/>
      <c r="F64" s="1"/>
      <c r="G64" s="1"/>
      <c r="H64" s="87"/>
      <c r="I64" s="1"/>
      <c r="J64" s="1"/>
      <c r="K64" s="1"/>
    </row>
    <row r="65" spans="8:11" s="16" customFormat="1" x14ac:dyDescent="0.25">
      <c r="H65" s="87"/>
      <c r="I65" s="1"/>
      <c r="J65" s="1"/>
      <c r="K65" s="1"/>
    </row>
    <row r="66" spans="8:11" s="16" customFormat="1" x14ac:dyDescent="0.25">
      <c r="H66" s="87"/>
      <c r="I66" s="1"/>
      <c r="J66" s="1"/>
      <c r="K66" s="1"/>
    </row>
    <row r="67" spans="8:11" s="16" customFormat="1" x14ac:dyDescent="0.25">
      <c r="H67" s="87"/>
      <c r="I67" s="1"/>
      <c r="J67" s="1"/>
      <c r="K67" s="1"/>
    </row>
    <row r="68" spans="8:11" s="16" customFormat="1" x14ac:dyDescent="0.25">
      <c r="H68" s="87"/>
      <c r="I68" s="1"/>
      <c r="J68" s="1"/>
      <c r="K68" s="1"/>
    </row>
    <row r="69" spans="8:11" s="16" customFormat="1" x14ac:dyDescent="0.25">
      <c r="H69" s="87"/>
      <c r="I69" s="1"/>
      <c r="J69" s="1"/>
      <c r="K69" s="1"/>
    </row>
    <row r="70" spans="8:11" s="16" customFormat="1" x14ac:dyDescent="0.25">
      <c r="H70" s="87"/>
      <c r="I70" s="1"/>
      <c r="J70" s="1"/>
      <c r="K70" s="1"/>
    </row>
    <row r="71" spans="8:11" s="16" customFormat="1" x14ac:dyDescent="0.25">
      <c r="H71" s="87"/>
      <c r="I71" s="1"/>
      <c r="J71" s="1"/>
      <c r="K71" s="1"/>
    </row>
  </sheetData>
  <hyperlinks>
    <hyperlink ref="K2" r:id="rId1" xr:uid="{55237E66-7EDB-45A7-91B4-2C9752B75264}"/>
    <hyperlink ref="K3" r:id="rId2" xr:uid="{4F5C014B-B314-43BC-AB07-61AF011A567F}"/>
    <hyperlink ref="K4" r:id="rId3" xr:uid="{AC977FBE-EF4D-481D-883D-EA04F94F9E0C}"/>
    <hyperlink ref="K5" r:id="rId4" xr:uid="{E95586A8-7136-4EDC-8000-40DC56EC3D77}"/>
    <hyperlink ref="K6" r:id="rId5" xr:uid="{02249815-255A-4EED-9E88-8C0052907F56}"/>
    <hyperlink ref="K7" r:id="rId6" xr:uid="{5EF9649E-7DCB-4A29-90C0-B36CBADE29F9}"/>
    <hyperlink ref="K8" r:id="rId7" xr:uid="{94751927-AA10-4D77-BEA7-B6231C068703}"/>
    <hyperlink ref="K9" r:id="rId8" xr:uid="{CF7F98D4-DD4A-4239-AE48-F51385690DF4}"/>
    <hyperlink ref="K10" r:id="rId9" xr:uid="{440F570A-5598-4BD4-B6EC-DB5714AFAD5B}"/>
    <hyperlink ref="K11" r:id="rId10" xr:uid="{117E4C6D-4C6A-4648-A883-596B30037F1C}"/>
    <hyperlink ref="K25" r:id="rId11" xr:uid="{C3949363-E576-4C53-B751-38B7B0CC125C}"/>
    <hyperlink ref="K27" r:id="rId12" xr:uid="{751931AF-6848-4363-BC7E-7F229E57838A}"/>
    <hyperlink ref="K28" r:id="rId13" xr:uid="{EB2C3655-A59F-44CD-AB45-FFF68E9B0815}"/>
    <hyperlink ref="K29" r:id="rId14" xr:uid="{0E0FB5A5-DDC6-486F-8549-CAF40F261866}"/>
    <hyperlink ref="K30" r:id="rId15" xr:uid="{EB18D511-ECCC-4C11-AB94-3F860C66E9A1}"/>
    <hyperlink ref="K31" r:id="rId16" xr:uid="{7E2EEAFB-E153-4150-A60B-1066CE7F700C}"/>
    <hyperlink ref="K32" r:id="rId17" xr:uid="{79149928-F6A8-41E8-AF3F-A8A07C9482C0}"/>
    <hyperlink ref="K33" r:id="rId18" xr:uid="{F9AD8388-344B-4084-AFDA-B29D1D6260E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DA1B-2528-4DBC-A43A-F9061BBA9F61}">
  <dimension ref="A1:K46"/>
  <sheetViews>
    <sheetView topLeftCell="A35" workbookViewId="0"/>
  </sheetViews>
  <sheetFormatPr defaultRowHeight="15" customHeight="1" x14ac:dyDescent="0.25"/>
  <cols>
    <col min="1" max="1" width="68.5703125" customWidth="1"/>
    <col min="3" max="3" width="13.7109375" bestFit="1" customWidth="1"/>
    <col min="4" max="4" width="16.28515625" bestFit="1" customWidth="1"/>
    <col min="5" max="5" width="17.28515625" bestFit="1" customWidth="1"/>
    <col min="6" max="6" width="36.5703125" bestFit="1" customWidth="1"/>
    <col min="8" max="8" width="22.28515625" style="27" bestFit="1" customWidth="1"/>
    <col min="9" max="10" width="29.42578125" customWidth="1"/>
    <col min="11" max="11" width="68.7109375" bestFit="1" customWidth="1"/>
  </cols>
  <sheetData>
    <row r="1" spans="1:11" x14ac:dyDescent="0.25">
      <c r="A1" s="4" t="s">
        <v>28</v>
      </c>
      <c r="B1" s="4" t="s">
        <v>29</v>
      </c>
      <c r="C1" s="4" t="s">
        <v>30</v>
      </c>
      <c r="D1" s="4" t="s">
        <v>31</v>
      </c>
      <c r="E1" s="4" t="s">
        <v>32</v>
      </c>
      <c r="F1" s="4" t="s">
        <v>33</v>
      </c>
      <c r="G1" s="9" t="s">
        <v>34</v>
      </c>
      <c r="H1" s="5" t="s">
        <v>35</v>
      </c>
      <c r="I1" s="4" t="s">
        <v>36</v>
      </c>
      <c r="J1" s="98" t="s">
        <v>37</v>
      </c>
      <c r="K1" s="12" t="s">
        <v>38</v>
      </c>
    </row>
    <row r="2" spans="1:11" x14ac:dyDescent="0.25">
      <c r="A2" t="s">
        <v>2147</v>
      </c>
      <c r="B2" t="s">
        <v>428</v>
      </c>
      <c r="E2">
        <v>168</v>
      </c>
      <c r="F2" t="s">
        <v>2148</v>
      </c>
      <c r="G2" t="s">
        <v>52</v>
      </c>
      <c r="H2" s="27" t="s">
        <v>2149</v>
      </c>
      <c r="I2" t="s">
        <v>2150</v>
      </c>
      <c r="K2" s="42" t="s">
        <v>2151</v>
      </c>
    </row>
    <row r="3" spans="1:11" x14ac:dyDescent="0.25">
      <c r="A3" s="1" t="s">
        <v>2152</v>
      </c>
      <c r="B3" t="s">
        <v>428</v>
      </c>
      <c r="E3">
        <v>168</v>
      </c>
      <c r="F3" t="s">
        <v>2148</v>
      </c>
      <c r="G3" t="s">
        <v>52</v>
      </c>
      <c r="H3" s="27" t="s">
        <v>2149</v>
      </c>
      <c r="I3" t="s">
        <v>2150</v>
      </c>
      <c r="J3" t="s">
        <v>2153</v>
      </c>
      <c r="K3" s="42" t="s">
        <v>2154</v>
      </c>
    </row>
    <row r="4" spans="1:11" x14ac:dyDescent="0.25">
      <c r="A4" t="s">
        <v>2155</v>
      </c>
      <c r="B4" t="s">
        <v>428</v>
      </c>
      <c r="E4">
        <v>168</v>
      </c>
      <c r="F4" t="s">
        <v>2148</v>
      </c>
      <c r="G4" t="s">
        <v>52</v>
      </c>
      <c r="H4" s="27" t="s">
        <v>2149</v>
      </c>
      <c r="I4" t="s">
        <v>2150</v>
      </c>
      <c r="J4" t="s">
        <v>2153</v>
      </c>
      <c r="K4" s="42" t="s">
        <v>2156</v>
      </c>
    </row>
    <row r="5" spans="1:11" x14ac:dyDescent="0.25">
      <c r="A5" t="s">
        <v>2157</v>
      </c>
      <c r="B5" t="s">
        <v>428</v>
      </c>
      <c r="E5">
        <v>168</v>
      </c>
      <c r="F5" t="s">
        <v>2148</v>
      </c>
      <c r="G5" t="s">
        <v>52</v>
      </c>
      <c r="H5" s="27" t="s">
        <v>2158</v>
      </c>
      <c r="I5" t="s">
        <v>2150</v>
      </c>
      <c r="J5" t="s">
        <v>2153</v>
      </c>
      <c r="K5" s="42" t="s">
        <v>2159</v>
      </c>
    </row>
    <row r="6" spans="1:11" x14ac:dyDescent="0.25">
      <c r="A6" t="s">
        <v>2160</v>
      </c>
      <c r="B6" t="s">
        <v>428</v>
      </c>
      <c r="E6">
        <v>168</v>
      </c>
      <c r="F6" t="s">
        <v>2148</v>
      </c>
      <c r="G6" t="s">
        <v>52</v>
      </c>
      <c r="H6" s="27" t="s">
        <v>2158</v>
      </c>
      <c r="I6" t="s">
        <v>2150</v>
      </c>
      <c r="J6" t="s">
        <v>2153</v>
      </c>
      <c r="K6" s="42" t="s">
        <v>2161</v>
      </c>
    </row>
    <row r="7" spans="1:11" x14ac:dyDescent="0.25">
      <c r="A7" t="s">
        <v>2162</v>
      </c>
      <c r="B7" t="s">
        <v>428</v>
      </c>
      <c r="E7">
        <v>168</v>
      </c>
      <c r="F7" t="s">
        <v>2148</v>
      </c>
      <c r="G7" t="s">
        <v>52</v>
      </c>
      <c r="H7" s="27" t="s">
        <v>2158</v>
      </c>
      <c r="I7" t="s">
        <v>2150</v>
      </c>
      <c r="J7" t="s">
        <v>2153</v>
      </c>
      <c r="K7" s="42" t="s">
        <v>2163</v>
      </c>
    </row>
    <row r="8" spans="1:11" x14ac:dyDescent="0.25">
      <c r="A8" t="s">
        <v>2164</v>
      </c>
      <c r="B8" t="s">
        <v>428</v>
      </c>
      <c r="E8">
        <v>171</v>
      </c>
      <c r="F8" t="s">
        <v>2148</v>
      </c>
      <c r="G8" t="s">
        <v>52</v>
      </c>
      <c r="H8" s="27" t="s">
        <v>2165</v>
      </c>
      <c r="J8" t="s">
        <v>2153</v>
      </c>
      <c r="K8" s="42" t="s">
        <v>2166</v>
      </c>
    </row>
    <row r="9" spans="1:11" x14ac:dyDescent="0.25">
      <c r="A9" t="s">
        <v>2167</v>
      </c>
      <c r="B9" t="s">
        <v>428</v>
      </c>
      <c r="E9">
        <v>171</v>
      </c>
      <c r="F9" t="s">
        <v>2148</v>
      </c>
      <c r="G9" t="s">
        <v>52</v>
      </c>
      <c r="H9" s="27" t="s">
        <v>2165</v>
      </c>
      <c r="I9" t="s">
        <v>2150</v>
      </c>
      <c r="J9" t="s">
        <v>2153</v>
      </c>
      <c r="K9" s="42" t="s">
        <v>2168</v>
      </c>
    </row>
    <row r="10" spans="1:11" x14ac:dyDescent="0.25">
      <c r="A10" t="s">
        <v>2169</v>
      </c>
      <c r="B10" t="s">
        <v>428</v>
      </c>
      <c r="E10">
        <v>171</v>
      </c>
      <c r="F10" t="s">
        <v>2148</v>
      </c>
      <c r="G10" t="s">
        <v>52</v>
      </c>
      <c r="H10" s="27" t="s">
        <v>2170</v>
      </c>
      <c r="J10" t="s">
        <v>2153</v>
      </c>
      <c r="K10" s="42" t="s">
        <v>2171</v>
      </c>
    </row>
    <row r="11" spans="1:11" x14ac:dyDescent="0.25">
      <c r="A11" s="1" t="s">
        <v>2172</v>
      </c>
      <c r="B11" t="s">
        <v>428</v>
      </c>
      <c r="E11">
        <v>171</v>
      </c>
      <c r="F11" t="s">
        <v>2148</v>
      </c>
      <c r="G11" t="s">
        <v>52</v>
      </c>
      <c r="H11" s="27" t="s">
        <v>2173</v>
      </c>
      <c r="I11" t="s">
        <v>2150</v>
      </c>
      <c r="J11" t="s">
        <v>2153</v>
      </c>
      <c r="K11" s="42" t="s">
        <v>2174</v>
      </c>
    </row>
    <row r="12" spans="1:11" x14ac:dyDescent="0.25">
      <c r="A12" t="s">
        <v>2175</v>
      </c>
      <c r="B12" t="s">
        <v>428</v>
      </c>
      <c r="E12">
        <v>168</v>
      </c>
      <c r="F12" t="s">
        <v>2148</v>
      </c>
      <c r="G12" t="s">
        <v>52</v>
      </c>
      <c r="H12" s="27" t="s">
        <v>88</v>
      </c>
      <c r="J12" t="s">
        <v>43</v>
      </c>
      <c r="K12" s="42" t="s">
        <v>2176</v>
      </c>
    </row>
    <row r="13" spans="1:11" x14ac:dyDescent="0.25">
      <c r="A13" s="1" t="s">
        <v>2177</v>
      </c>
      <c r="B13" t="s">
        <v>428</v>
      </c>
      <c r="E13">
        <v>168</v>
      </c>
      <c r="F13" t="s">
        <v>2148</v>
      </c>
      <c r="G13" t="s">
        <v>52</v>
      </c>
      <c r="H13" s="35">
        <v>45608</v>
      </c>
      <c r="J13" t="s">
        <v>2153</v>
      </c>
      <c r="K13" s="42" t="s">
        <v>2178</v>
      </c>
    </row>
    <row r="14" spans="1:11" x14ac:dyDescent="0.25">
      <c r="A14" s="1" t="s">
        <v>2179</v>
      </c>
      <c r="B14" t="s">
        <v>428</v>
      </c>
      <c r="E14">
        <v>168</v>
      </c>
      <c r="F14" t="s">
        <v>2148</v>
      </c>
      <c r="G14" t="s">
        <v>52</v>
      </c>
      <c r="H14" s="27" t="s">
        <v>2180</v>
      </c>
      <c r="J14" t="s">
        <v>2153</v>
      </c>
      <c r="K14" s="42" t="s">
        <v>2181</v>
      </c>
    </row>
    <row r="15" spans="1:11" ht="60.75" x14ac:dyDescent="0.3">
      <c r="A15" s="21" t="s">
        <v>2182</v>
      </c>
      <c r="B15" t="s">
        <v>428</v>
      </c>
      <c r="E15">
        <v>168</v>
      </c>
      <c r="F15" t="s">
        <v>2148</v>
      </c>
      <c r="G15" t="s">
        <v>52</v>
      </c>
      <c r="H15" s="27" t="s">
        <v>2180</v>
      </c>
      <c r="I15" s="13" t="s">
        <v>2183</v>
      </c>
      <c r="J15" t="s">
        <v>2153</v>
      </c>
      <c r="K15" s="42" t="s">
        <v>2184</v>
      </c>
    </row>
    <row r="16" spans="1:11" ht="45" x14ac:dyDescent="0.25">
      <c r="A16" s="1" t="s">
        <v>2185</v>
      </c>
      <c r="B16" t="s">
        <v>428</v>
      </c>
      <c r="E16">
        <v>168</v>
      </c>
      <c r="F16" t="s">
        <v>2148</v>
      </c>
      <c r="G16" t="s">
        <v>52</v>
      </c>
      <c r="H16" s="27" t="s">
        <v>2180</v>
      </c>
      <c r="I16" s="13" t="s">
        <v>2186</v>
      </c>
      <c r="J16" t="s">
        <v>2153</v>
      </c>
      <c r="K16" s="42" t="s">
        <v>2187</v>
      </c>
    </row>
    <row r="17" spans="1:11" x14ac:dyDescent="0.25">
      <c r="A17" s="1" t="s">
        <v>2188</v>
      </c>
      <c r="B17" t="s">
        <v>428</v>
      </c>
      <c r="E17">
        <v>168</v>
      </c>
      <c r="F17" t="s">
        <v>2148</v>
      </c>
      <c r="G17" t="s">
        <v>52</v>
      </c>
      <c r="H17" s="27" t="s">
        <v>2180</v>
      </c>
      <c r="J17" t="s">
        <v>2153</v>
      </c>
      <c r="K17" s="42" t="s">
        <v>2189</v>
      </c>
    </row>
    <row r="18" spans="1:11" x14ac:dyDescent="0.25">
      <c r="A18" t="s">
        <v>2190</v>
      </c>
      <c r="B18" t="s">
        <v>428</v>
      </c>
      <c r="E18">
        <v>168</v>
      </c>
      <c r="F18" t="s">
        <v>2148</v>
      </c>
      <c r="G18" t="s">
        <v>52</v>
      </c>
      <c r="H18" s="27" t="s">
        <v>2191</v>
      </c>
      <c r="I18" t="s">
        <v>2150</v>
      </c>
      <c r="J18" t="s">
        <v>2153</v>
      </c>
      <c r="K18" s="42" t="s">
        <v>2192</v>
      </c>
    </row>
    <row r="19" spans="1:11" x14ac:dyDescent="0.25">
      <c r="A19" t="s">
        <v>2193</v>
      </c>
      <c r="B19" t="s">
        <v>428</v>
      </c>
      <c r="E19">
        <v>168</v>
      </c>
      <c r="F19" t="s">
        <v>2148</v>
      </c>
      <c r="G19" t="s">
        <v>52</v>
      </c>
      <c r="H19" s="27">
        <v>45642</v>
      </c>
      <c r="J19" t="s">
        <v>2153</v>
      </c>
      <c r="K19" s="42" t="s">
        <v>2194</v>
      </c>
    </row>
    <row r="20" spans="1:11" ht="15" customHeight="1" x14ac:dyDescent="0.25">
      <c r="A20" t="s">
        <v>2195</v>
      </c>
      <c r="B20" t="s">
        <v>428</v>
      </c>
      <c r="C20" t="s">
        <v>2196</v>
      </c>
      <c r="D20" t="s">
        <v>2197</v>
      </c>
      <c r="E20">
        <v>58.5</v>
      </c>
      <c r="F20" t="s">
        <v>2198</v>
      </c>
      <c r="G20" t="s">
        <v>52</v>
      </c>
      <c r="H20" s="27" t="s">
        <v>2199</v>
      </c>
      <c r="I20" s="13" t="s">
        <v>2200</v>
      </c>
      <c r="J20" s="13"/>
      <c r="K20" s="42" t="s">
        <v>2201</v>
      </c>
    </row>
    <row r="21" spans="1:11" ht="15" customHeight="1" x14ac:dyDescent="0.25">
      <c r="A21" t="s">
        <v>2202</v>
      </c>
      <c r="B21" t="s">
        <v>428</v>
      </c>
      <c r="C21" t="s">
        <v>178</v>
      </c>
      <c r="D21" t="s">
        <v>178</v>
      </c>
      <c r="E21">
        <v>64.5</v>
      </c>
      <c r="F21" t="s">
        <v>2203</v>
      </c>
      <c r="G21" t="s">
        <v>52</v>
      </c>
      <c r="H21" s="27">
        <v>45754</v>
      </c>
      <c r="I21" t="s">
        <v>2204</v>
      </c>
      <c r="J21" t="s">
        <v>2153</v>
      </c>
      <c r="K21" s="25" t="s">
        <v>2205</v>
      </c>
    </row>
    <row r="22" spans="1:11" ht="15" customHeight="1" x14ac:dyDescent="0.25">
      <c r="A22" t="s">
        <v>2206</v>
      </c>
      <c r="B22" t="s">
        <v>428</v>
      </c>
      <c r="C22" t="s">
        <v>178</v>
      </c>
      <c r="D22" t="s">
        <v>178</v>
      </c>
      <c r="E22">
        <v>64.5</v>
      </c>
      <c r="F22" t="s">
        <v>2203</v>
      </c>
      <c r="G22" t="s">
        <v>52</v>
      </c>
      <c r="H22" s="27">
        <v>45754</v>
      </c>
      <c r="I22" t="s">
        <v>2204</v>
      </c>
      <c r="J22" t="s">
        <v>2153</v>
      </c>
      <c r="K22" s="42" t="s">
        <v>2207</v>
      </c>
    </row>
    <row r="23" spans="1:11" ht="15" customHeight="1" x14ac:dyDescent="0.25">
      <c r="A23" t="s">
        <v>2208</v>
      </c>
      <c r="B23" t="s">
        <v>428</v>
      </c>
      <c r="C23" t="s">
        <v>178</v>
      </c>
      <c r="D23" t="s">
        <v>178</v>
      </c>
      <c r="E23">
        <v>64.5</v>
      </c>
      <c r="F23" t="s">
        <v>2203</v>
      </c>
      <c r="G23" t="s">
        <v>52</v>
      </c>
      <c r="H23" s="27">
        <v>45754</v>
      </c>
      <c r="I23" t="s">
        <v>2204</v>
      </c>
      <c r="J23" t="s">
        <v>2153</v>
      </c>
      <c r="K23" s="42" t="s">
        <v>2209</v>
      </c>
    </row>
    <row r="24" spans="1:11" ht="30" x14ac:dyDescent="0.25">
      <c r="A24" t="s">
        <v>2210</v>
      </c>
      <c r="B24" t="s">
        <v>428</v>
      </c>
      <c r="C24" t="s">
        <v>2196</v>
      </c>
      <c r="D24" t="s">
        <v>155</v>
      </c>
      <c r="E24">
        <v>58.5</v>
      </c>
      <c r="F24" t="s">
        <v>2198</v>
      </c>
      <c r="G24" t="s">
        <v>52</v>
      </c>
      <c r="H24" s="27">
        <v>45757</v>
      </c>
      <c r="I24" s="13" t="s">
        <v>2211</v>
      </c>
      <c r="J24" t="s">
        <v>2153</v>
      </c>
      <c r="K24" s="42" t="s">
        <v>2212</v>
      </c>
    </row>
    <row r="25" spans="1:11" ht="15" customHeight="1" x14ac:dyDescent="0.25">
      <c r="A25" t="s">
        <v>2213</v>
      </c>
      <c r="B25" t="s">
        <v>428</v>
      </c>
      <c r="C25" t="s">
        <v>178</v>
      </c>
      <c r="D25" t="s">
        <v>194</v>
      </c>
      <c r="E25" s="66">
        <v>64.5</v>
      </c>
      <c r="F25" t="s">
        <v>2203</v>
      </c>
      <c r="G25" t="s">
        <v>52</v>
      </c>
      <c r="H25" s="27">
        <v>45765</v>
      </c>
      <c r="I25" s="13" t="s">
        <v>2214</v>
      </c>
      <c r="J25" t="s">
        <v>2153</v>
      </c>
      <c r="K25" t="s">
        <v>2215</v>
      </c>
    </row>
    <row r="26" spans="1:11" ht="15" customHeight="1" x14ac:dyDescent="0.25">
      <c r="A26" t="s">
        <v>2216</v>
      </c>
      <c r="B26" t="s">
        <v>428</v>
      </c>
      <c r="C26" t="s">
        <v>194</v>
      </c>
      <c r="D26" t="s">
        <v>257</v>
      </c>
      <c r="E26" s="66">
        <v>64.5</v>
      </c>
      <c r="F26" t="s">
        <v>2203</v>
      </c>
      <c r="G26" t="s">
        <v>52</v>
      </c>
      <c r="H26" s="27">
        <v>45766</v>
      </c>
      <c r="I26" s="40" t="s">
        <v>2217</v>
      </c>
      <c r="J26" s="40"/>
      <c r="K26" s="25" t="s">
        <v>2218</v>
      </c>
    </row>
    <row r="27" spans="1:11" ht="15" customHeight="1" x14ac:dyDescent="0.25">
      <c r="A27" t="s">
        <v>2219</v>
      </c>
      <c r="B27" t="s">
        <v>428</v>
      </c>
      <c r="C27" t="s">
        <v>178</v>
      </c>
      <c r="D27" t="s">
        <v>257</v>
      </c>
      <c r="E27" s="66">
        <v>64.5</v>
      </c>
      <c r="F27" t="s">
        <v>2203</v>
      </c>
      <c r="G27" t="s">
        <v>52</v>
      </c>
      <c r="H27" s="27">
        <v>45767</v>
      </c>
      <c r="I27" t="s">
        <v>2217</v>
      </c>
      <c r="J27" t="s">
        <v>2153</v>
      </c>
      <c r="K27" s="42" t="s">
        <v>2220</v>
      </c>
    </row>
    <row r="28" spans="1:11" ht="15" customHeight="1" x14ac:dyDescent="0.25">
      <c r="A28" t="s">
        <v>2221</v>
      </c>
      <c r="B28" t="s">
        <v>428</v>
      </c>
      <c r="C28" t="s">
        <v>178</v>
      </c>
      <c r="D28" t="s">
        <v>257</v>
      </c>
      <c r="E28" s="66">
        <v>64.5</v>
      </c>
      <c r="F28" t="s">
        <v>2203</v>
      </c>
      <c r="G28" t="s">
        <v>52</v>
      </c>
      <c r="H28" s="27">
        <v>45767</v>
      </c>
      <c r="I28" t="s">
        <v>2217</v>
      </c>
      <c r="J28" t="s">
        <v>2153</v>
      </c>
      <c r="K28" s="42" t="s">
        <v>2222</v>
      </c>
    </row>
    <row r="29" spans="1:11" ht="15" customHeight="1" x14ac:dyDescent="0.25">
      <c r="A29" s="13" t="s">
        <v>2223</v>
      </c>
      <c r="B29" t="s">
        <v>428</v>
      </c>
      <c r="C29" t="s">
        <v>2224</v>
      </c>
      <c r="D29" t="s">
        <v>2196</v>
      </c>
      <c r="E29" s="66">
        <v>64.5</v>
      </c>
      <c r="F29" t="s">
        <v>2203</v>
      </c>
      <c r="G29" t="s">
        <v>52</v>
      </c>
      <c r="H29" s="27">
        <v>45769</v>
      </c>
      <c r="I29" t="s">
        <v>2225</v>
      </c>
      <c r="J29" t="s">
        <v>2153</v>
      </c>
      <c r="K29" s="25" t="s">
        <v>2226</v>
      </c>
    </row>
    <row r="30" spans="1:11" ht="15" customHeight="1" x14ac:dyDescent="0.25">
      <c r="A30" t="s">
        <v>2227</v>
      </c>
      <c r="B30" t="s">
        <v>428</v>
      </c>
      <c r="C30" t="s">
        <v>194</v>
      </c>
      <c r="D30" t="s">
        <v>2196</v>
      </c>
      <c r="E30" s="66">
        <v>64.5</v>
      </c>
      <c r="F30" t="s">
        <v>2203</v>
      </c>
      <c r="G30" t="s">
        <v>52</v>
      </c>
      <c r="H30" s="27">
        <v>45769</v>
      </c>
      <c r="I30" t="s">
        <v>2228</v>
      </c>
      <c r="J30" t="s">
        <v>2153</v>
      </c>
      <c r="K30" s="42" t="s">
        <v>2229</v>
      </c>
    </row>
    <row r="31" spans="1:11" ht="15" customHeight="1" x14ac:dyDescent="0.25">
      <c r="A31" t="s">
        <v>2230</v>
      </c>
      <c r="B31" t="s">
        <v>428</v>
      </c>
      <c r="C31" t="s">
        <v>194</v>
      </c>
      <c r="D31" t="s">
        <v>257</v>
      </c>
      <c r="E31" s="66">
        <v>64.5</v>
      </c>
      <c r="F31" t="s">
        <v>2231</v>
      </c>
      <c r="G31" t="s">
        <v>52</v>
      </c>
      <c r="H31" s="27">
        <v>45769</v>
      </c>
      <c r="I31" t="s">
        <v>2228</v>
      </c>
      <c r="J31" t="s">
        <v>2153</v>
      </c>
      <c r="K31" s="25" t="s">
        <v>2232</v>
      </c>
    </row>
    <row r="32" spans="1:11" ht="15" customHeight="1" x14ac:dyDescent="0.25">
      <c r="A32" t="s">
        <v>2216</v>
      </c>
      <c r="B32" t="s">
        <v>428</v>
      </c>
      <c r="C32" t="s">
        <v>194</v>
      </c>
      <c r="E32" s="66">
        <v>64.5</v>
      </c>
      <c r="F32" t="s">
        <v>2231</v>
      </c>
      <c r="G32" t="s">
        <v>52</v>
      </c>
      <c r="H32" s="27">
        <v>45769</v>
      </c>
      <c r="I32" t="s">
        <v>2225</v>
      </c>
      <c r="J32" t="s">
        <v>2153</v>
      </c>
      <c r="K32" s="25" t="s">
        <v>2218</v>
      </c>
    </row>
    <row r="33" spans="1:11" ht="15" customHeight="1" x14ac:dyDescent="0.25">
      <c r="A33" t="s">
        <v>2233</v>
      </c>
      <c r="B33" t="s">
        <v>428</v>
      </c>
      <c r="C33" t="s">
        <v>2224</v>
      </c>
      <c r="D33" t="s">
        <v>2196</v>
      </c>
      <c r="E33" s="66">
        <v>64.5</v>
      </c>
      <c r="F33" t="s">
        <v>2231</v>
      </c>
      <c r="G33" t="s">
        <v>52</v>
      </c>
      <c r="H33" s="27">
        <v>45772</v>
      </c>
      <c r="I33" t="s">
        <v>2228</v>
      </c>
      <c r="J33" t="s">
        <v>2153</v>
      </c>
      <c r="K33" s="42" t="s">
        <v>2234</v>
      </c>
    </row>
    <row r="34" spans="1:11" ht="15" customHeight="1" x14ac:dyDescent="0.25">
      <c r="A34" t="s">
        <v>2235</v>
      </c>
      <c r="B34" t="s">
        <v>428</v>
      </c>
      <c r="C34" t="s">
        <v>2224</v>
      </c>
      <c r="D34" t="s">
        <v>2196</v>
      </c>
      <c r="E34" s="66">
        <v>64.5</v>
      </c>
      <c r="F34" t="s">
        <v>2231</v>
      </c>
      <c r="G34" t="s">
        <v>52</v>
      </c>
      <c r="H34" s="27">
        <v>45772</v>
      </c>
      <c r="I34" t="s">
        <v>2236</v>
      </c>
      <c r="J34" t="s">
        <v>2153</v>
      </c>
      <c r="K34" s="42" t="s">
        <v>2237</v>
      </c>
    </row>
    <row r="35" spans="1:11" ht="15" customHeight="1" x14ac:dyDescent="0.25">
      <c r="A35" t="s">
        <v>2238</v>
      </c>
      <c r="B35" t="s">
        <v>428</v>
      </c>
      <c r="C35" t="s">
        <v>2224</v>
      </c>
      <c r="D35" t="s">
        <v>2196</v>
      </c>
      <c r="E35" s="66">
        <v>64.5</v>
      </c>
      <c r="F35" t="s">
        <v>2231</v>
      </c>
      <c r="G35" t="s">
        <v>52</v>
      </c>
      <c r="H35" s="27">
        <v>45772</v>
      </c>
      <c r="I35" t="s">
        <v>2236</v>
      </c>
      <c r="J35" t="s">
        <v>2153</v>
      </c>
      <c r="K35" s="42" t="s">
        <v>2239</v>
      </c>
    </row>
    <row r="36" spans="1:11" ht="30" x14ac:dyDescent="0.25">
      <c r="A36" t="s">
        <v>2240</v>
      </c>
      <c r="B36" t="s">
        <v>428</v>
      </c>
      <c r="C36" t="s">
        <v>194</v>
      </c>
      <c r="D36" t="s">
        <v>155</v>
      </c>
      <c r="E36" s="66">
        <v>64.5</v>
      </c>
      <c r="F36" t="s">
        <v>2231</v>
      </c>
      <c r="G36" t="s">
        <v>52</v>
      </c>
      <c r="H36" s="27">
        <v>45775</v>
      </c>
      <c r="I36" s="13" t="s">
        <v>2241</v>
      </c>
      <c r="J36" t="s">
        <v>2153</v>
      </c>
      <c r="K36" s="42" t="s">
        <v>2242</v>
      </c>
    </row>
    <row r="37" spans="1:11" ht="30" x14ac:dyDescent="0.25">
      <c r="A37" t="s">
        <v>2243</v>
      </c>
      <c r="B37" t="s">
        <v>428</v>
      </c>
      <c r="C37" t="s">
        <v>194</v>
      </c>
      <c r="D37" t="s">
        <v>155</v>
      </c>
      <c r="E37" s="66">
        <v>64.5</v>
      </c>
      <c r="F37" t="s">
        <v>2231</v>
      </c>
      <c r="G37" t="s">
        <v>52</v>
      </c>
      <c r="H37" s="27">
        <v>45775</v>
      </c>
      <c r="I37" s="13" t="s">
        <v>2241</v>
      </c>
      <c r="J37" t="s">
        <v>2153</v>
      </c>
      <c r="K37" s="42" t="s">
        <v>2244</v>
      </c>
    </row>
    <row r="38" spans="1:11" ht="45" x14ac:dyDescent="0.25">
      <c r="A38" t="s">
        <v>2245</v>
      </c>
      <c r="B38" t="s">
        <v>428</v>
      </c>
      <c r="C38" t="s">
        <v>2196</v>
      </c>
      <c r="D38" t="s">
        <v>155</v>
      </c>
      <c r="E38" s="66">
        <v>64.5</v>
      </c>
      <c r="F38" t="s">
        <v>2231</v>
      </c>
      <c r="G38" t="s">
        <v>52</v>
      </c>
      <c r="H38" s="27">
        <v>45775</v>
      </c>
      <c r="I38" s="13" t="s">
        <v>2246</v>
      </c>
      <c r="J38" t="s">
        <v>2153</v>
      </c>
      <c r="K38" s="42" t="s">
        <v>2247</v>
      </c>
    </row>
    <row r="39" spans="1:11" ht="45" x14ac:dyDescent="0.25">
      <c r="A39" t="s">
        <v>2248</v>
      </c>
      <c r="B39" t="s">
        <v>428</v>
      </c>
      <c r="C39" t="s">
        <v>2196</v>
      </c>
      <c r="D39" t="s">
        <v>155</v>
      </c>
      <c r="E39" s="66">
        <v>64.5</v>
      </c>
      <c r="F39" t="s">
        <v>2231</v>
      </c>
      <c r="G39" t="s">
        <v>52</v>
      </c>
      <c r="H39" s="27">
        <v>45775</v>
      </c>
      <c r="I39" s="13" t="s">
        <v>2246</v>
      </c>
      <c r="J39" t="s">
        <v>2153</v>
      </c>
      <c r="K39" s="42" t="s">
        <v>2249</v>
      </c>
    </row>
    <row r="40" spans="1:11" ht="15" customHeight="1" x14ac:dyDescent="0.25">
      <c r="A40" t="s">
        <v>2250</v>
      </c>
      <c r="B40" t="s">
        <v>428</v>
      </c>
      <c r="C40" t="s">
        <v>257</v>
      </c>
      <c r="D40" t="s">
        <v>155</v>
      </c>
      <c r="E40" s="66">
        <v>64.5</v>
      </c>
      <c r="F40" t="s">
        <v>2231</v>
      </c>
      <c r="G40" t="s">
        <v>52</v>
      </c>
      <c r="H40" s="27">
        <v>45775</v>
      </c>
      <c r="I40" t="s">
        <v>2251</v>
      </c>
      <c r="J40" t="s">
        <v>2153</v>
      </c>
      <c r="K40" s="42" t="s">
        <v>2252</v>
      </c>
    </row>
    <row r="41" spans="1:11" ht="30" x14ac:dyDescent="0.25">
      <c r="A41" t="s">
        <v>2253</v>
      </c>
      <c r="B41" t="s">
        <v>428</v>
      </c>
      <c r="C41" t="s">
        <v>194</v>
      </c>
      <c r="D41" t="s">
        <v>155</v>
      </c>
      <c r="E41" s="66">
        <v>64.5</v>
      </c>
      <c r="F41" t="s">
        <v>2231</v>
      </c>
      <c r="G41" t="s">
        <v>52</v>
      </c>
      <c r="H41" s="27">
        <v>45775</v>
      </c>
      <c r="I41" s="13" t="s">
        <v>2254</v>
      </c>
      <c r="J41" t="s">
        <v>2153</v>
      </c>
      <c r="K41" s="42" t="s">
        <v>2255</v>
      </c>
    </row>
    <row r="42" spans="1:11" ht="15" customHeight="1" x14ac:dyDescent="0.25">
      <c r="A42" t="s">
        <v>2256</v>
      </c>
      <c r="B42" t="s">
        <v>428</v>
      </c>
      <c r="C42" t="s">
        <v>657</v>
      </c>
      <c r="D42" t="s">
        <v>155</v>
      </c>
      <c r="E42" s="66">
        <v>64.5</v>
      </c>
      <c r="F42" t="s">
        <v>2231</v>
      </c>
      <c r="G42" t="s">
        <v>52</v>
      </c>
      <c r="H42" s="27">
        <v>45778</v>
      </c>
      <c r="J42" t="s">
        <v>2153</v>
      </c>
      <c r="K42" s="42" t="s">
        <v>2257</v>
      </c>
    </row>
    <row r="43" spans="1:11" ht="15" customHeight="1" x14ac:dyDescent="0.25">
      <c r="A43" t="s">
        <v>2258</v>
      </c>
      <c r="B43" t="s">
        <v>428</v>
      </c>
      <c r="C43" t="s">
        <v>657</v>
      </c>
      <c r="D43" t="s">
        <v>155</v>
      </c>
      <c r="E43" s="66">
        <v>64.5</v>
      </c>
      <c r="F43" t="s">
        <v>2231</v>
      </c>
      <c r="G43" t="s">
        <v>52</v>
      </c>
      <c r="H43" s="27">
        <v>45778</v>
      </c>
      <c r="J43" t="s">
        <v>2153</v>
      </c>
      <c r="K43" s="42" t="s">
        <v>2259</v>
      </c>
    </row>
    <row r="44" spans="1:11" ht="15" customHeight="1" x14ac:dyDescent="0.25">
      <c r="A44" t="s">
        <v>2260</v>
      </c>
      <c r="B44" t="s">
        <v>428</v>
      </c>
      <c r="C44" t="s">
        <v>155</v>
      </c>
      <c r="D44" t="s">
        <v>257</v>
      </c>
      <c r="E44" s="66">
        <v>64.5</v>
      </c>
      <c r="F44" t="s">
        <v>2231</v>
      </c>
      <c r="G44" t="s">
        <v>358</v>
      </c>
      <c r="H44" s="27">
        <v>45785</v>
      </c>
      <c r="I44" t="s">
        <v>2217</v>
      </c>
      <c r="J44" t="s">
        <v>2153</v>
      </c>
      <c r="K44" s="42" t="s">
        <v>2261</v>
      </c>
    </row>
    <row r="45" spans="1:11" ht="15" customHeight="1" x14ac:dyDescent="0.25">
      <c r="A45" t="s">
        <v>2262</v>
      </c>
      <c r="B45" t="s">
        <v>428</v>
      </c>
      <c r="C45" t="s">
        <v>155</v>
      </c>
      <c r="D45" t="s">
        <v>257</v>
      </c>
      <c r="E45" s="66">
        <v>64.5</v>
      </c>
      <c r="F45" t="s">
        <v>2231</v>
      </c>
      <c r="G45" t="s">
        <v>358</v>
      </c>
      <c r="H45" s="27">
        <v>45785</v>
      </c>
      <c r="I45" t="s">
        <v>2251</v>
      </c>
      <c r="J45" t="s">
        <v>2153</v>
      </c>
      <c r="K45" s="42" t="s">
        <v>2263</v>
      </c>
    </row>
    <row r="46" spans="1:11" ht="15" customHeight="1" x14ac:dyDescent="0.25">
      <c r="A46" t="s">
        <v>2264</v>
      </c>
      <c r="B46" t="s">
        <v>428</v>
      </c>
      <c r="C46" t="s">
        <v>194</v>
      </c>
      <c r="D46" t="s">
        <v>2196</v>
      </c>
      <c r="E46" s="66">
        <v>64.5</v>
      </c>
      <c r="F46" t="s">
        <v>2231</v>
      </c>
      <c r="G46" t="s">
        <v>358</v>
      </c>
      <c r="H46" s="27">
        <v>45793</v>
      </c>
      <c r="I46" t="s">
        <v>2265</v>
      </c>
      <c r="J46" t="s">
        <v>2153</v>
      </c>
      <c r="K46" s="42" t="s">
        <v>2266</v>
      </c>
    </row>
  </sheetData>
  <hyperlinks>
    <hyperlink ref="K2" r:id="rId1" xr:uid="{C7AEA05C-ED68-4ACC-BD10-234C966B04CF}"/>
    <hyperlink ref="K3" r:id="rId2" xr:uid="{31039D74-1A5B-419F-A374-7D70302559A7}"/>
    <hyperlink ref="K4" r:id="rId3" xr:uid="{203F0073-DB58-490B-9930-D136665A3FA5}"/>
    <hyperlink ref="K5" r:id="rId4" xr:uid="{47CAD558-6B36-49DF-970B-18157DE4882A}"/>
    <hyperlink ref="K6" r:id="rId5" xr:uid="{77D7A624-3D35-4158-980D-46E957B0482F}"/>
    <hyperlink ref="K7" r:id="rId6" xr:uid="{DAE144EC-7B20-495F-AE51-57A113709BDA}"/>
    <hyperlink ref="K8" r:id="rId7" xr:uid="{B9CFE3C3-1E0B-4916-B763-AA5A834D121B}"/>
    <hyperlink ref="K9" r:id="rId8" xr:uid="{48185DDF-CDEF-40A5-A6DA-A125D274969D}"/>
    <hyperlink ref="K10" r:id="rId9" xr:uid="{AAB04FCE-6FBD-42AA-A0EF-19C7A4502949}"/>
    <hyperlink ref="K11" r:id="rId10" xr:uid="{5C5B37CB-EA87-4548-90EE-BBC13A3D96AF}"/>
    <hyperlink ref="K12" r:id="rId11" xr:uid="{C58380BA-57C0-4E6C-BAFE-C3A62115F878}"/>
    <hyperlink ref="K13" r:id="rId12" xr:uid="{035906B1-4137-47B3-B955-04801F681420}"/>
    <hyperlink ref="K14" r:id="rId13" xr:uid="{D1DEE506-1914-424C-8638-6BE799CE0D89}"/>
    <hyperlink ref="K15" r:id="rId14" xr:uid="{C6B6B81C-7D1C-47F6-BF43-48FD07866BDE}"/>
    <hyperlink ref="K16" r:id="rId15" xr:uid="{CD81F6AD-A3BE-4FCC-A95C-8BF6801EEB6E}"/>
    <hyperlink ref="K17" r:id="rId16" xr:uid="{11117FC4-A87B-4F88-BB34-18D9E8EC26F2}"/>
    <hyperlink ref="K18" r:id="rId17" xr:uid="{145D1C95-566E-4D0D-AC41-111D14FC54AE}"/>
    <hyperlink ref="K19" r:id="rId18" xr:uid="{46C6A7DF-0EBB-4159-9737-9D07AB4D2912}"/>
    <hyperlink ref="K21" r:id="rId19" xr:uid="{B15FDEEF-3BF4-443F-A671-48291D677035}"/>
    <hyperlink ref="K20" r:id="rId20" xr:uid="{3F204D4C-8BB5-4430-99EE-85645D9749B5}"/>
    <hyperlink ref="K22" r:id="rId21" xr:uid="{4949ACF0-B5B5-47A8-8BA9-29249BBD01A8}"/>
    <hyperlink ref="K23" r:id="rId22" xr:uid="{C208BABB-0958-4D71-8DC1-5EB5A11337E2}"/>
    <hyperlink ref="K24" r:id="rId23" xr:uid="{BD0035FB-969F-4FFE-B1F8-F82D5E5B2363}"/>
    <hyperlink ref="K26" r:id="rId24" xr:uid="{3D6878BB-F324-4DDC-8507-4A8204F39F4D}"/>
    <hyperlink ref="K27" r:id="rId25" xr:uid="{37C1D030-A1D7-4177-968A-AAA9A0323338}"/>
    <hyperlink ref="K28" r:id="rId26" xr:uid="{AAEC6520-8545-4999-9AE1-EBE8278A4562}"/>
    <hyperlink ref="K29" r:id="rId27" xr:uid="{340FFD8B-80F6-4BA5-A72C-C8E81BFD8A0D}"/>
    <hyperlink ref="K30" r:id="rId28" xr:uid="{E55D0870-1CA6-4E6C-B5A3-411CC0303EA9}"/>
    <hyperlink ref="K31" r:id="rId29" xr:uid="{9B3BF6C4-96F4-4EC2-998C-43DA99F7991A}"/>
    <hyperlink ref="K32" r:id="rId30" xr:uid="{97B087E7-0D9B-49AB-8017-F96B71BB33F9}"/>
    <hyperlink ref="K33" r:id="rId31" xr:uid="{54E2897F-45B4-4055-9003-9F52EAD37076}"/>
    <hyperlink ref="K34" r:id="rId32" xr:uid="{59088DC3-EF29-4A3D-9C23-8066AB65A0FB}"/>
    <hyperlink ref="K35" r:id="rId33" xr:uid="{1A2DFAF9-1594-4C18-AE41-FB049335D87E}"/>
    <hyperlink ref="K36" r:id="rId34" xr:uid="{D7EF88FC-9D2D-4A2E-9554-97271B57C948}"/>
    <hyperlink ref="K37" r:id="rId35" xr:uid="{567D42C0-C02B-4359-A6B3-74B919AE4008}"/>
    <hyperlink ref="K38" r:id="rId36" xr:uid="{F0C939A8-B88C-4A2C-B2EF-E7CCABB43C81}"/>
    <hyperlink ref="K39" r:id="rId37" xr:uid="{E87D3F78-E472-423C-B5ED-52A7EE52DB08}"/>
    <hyperlink ref="K40" r:id="rId38" xr:uid="{83A38A66-A294-432A-A4DF-54A251D45F13}"/>
    <hyperlink ref="K41" r:id="rId39" xr:uid="{CB74636E-53BB-444E-8C76-E70BAC99DA08}"/>
    <hyperlink ref="K42" r:id="rId40" xr:uid="{8802E240-3AD8-47E9-AB87-E7B7518A6451}"/>
    <hyperlink ref="K43" r:id="rId41" xr:uid="{A73B6142-537D-4FE9-9B79-2C8890AC504C}"/>
    <hyperlink ref="K45" r:id="rId42" display="../../../../../:i:/s/AdvancedSurfacePlatingApS/ETiVZcs25D5InddxjkrqgBMBUa69xINajFwIa6mkEKZpxw?e=hLbV7e" xr:uid="{9BC3D64B-1660-48BA-94F1-1FCAEB71AEF5}"/>
    <hyperlink ref="K44" r:id="rId43" display="../../../../../:i:/s/AdvancedSurfacePlatingApS/EXT6hv3o3MVOmHgcYVg9OOYBzzImiLMOqlt9g-_gjXv3Gg?e=Ds8p7M" xr:uid="{CF48DA3A-3E06-4213-88CA-AEEFFD710809}"/>
    <hyperlink ref="K46" r:id="rId44" xr:uid="{3DED25DD-B747-426B-9CFB-B8894AD51BC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8000B-C807-4902-8AE2-BE575F77ED4F}">
  <dimension ref="A1:K63"/>
  <sheetViews>
    <sheetView topLeftCell="A38" zoomScale="110" zoomScaleNormal="110" workbookViewId="0">
      <selection activeCell="A63" sqref="A63"/>
    </sheetView>
  </sheetViews>
  <sheetFormatPr defaultRowHeight="15" customHeight="1" x14ac:dyDescent="0.25"/>
  <cols>
    <col min="1" max="1" width="69.28515625" customWidth="1"/>
    <col min="2" max="2" width="6.42578125" bestFit="1" customWidth="1"/>
    <col min="3" max="3" width="14.28515625" bestFit="1" customWidth="1"/>
    <col min="4" max="4" width="23.42578125" bestFit="1" customWidth="1"/>
    <col min="5" max="5" width="13" bestFit="1" customWidth="1"/>
    <col min="6" max="6" width="20.5703125" bestFit="1" customWidth="1"/>
    <col min="7" max="7" width="7.5703125" bestFit="1" customWidth="1"/>
    <col min="8" max="8" width="22.28515625" style="27" bestFit="1" customWidth="1"/>
    <col min="9" max="9" width="36.5703125" bestFit="1" customWidth="1"/>
    <col min="10" max="10" width="36.5703125" customWidth="1"/>
    <col min="11" max="11" width="70.7109375" bestFit="1" customWidth="1"/>
  </cols>
  <sheetData>
    <row r="1" spans="1:11" x14ac:dyDescent="0.25">
      <c r="A1" s="4" t="s">
        <v>28</v>
      </c>
      <c r="B1" s="4" t="s">
        <v>29</v>
      </c>
      <c r="C1" s="4" t="s">
        <v>30</v>
      </c>
      <c r="D1" s="4" t="s">
        <v>31</v>
      </c>
      <c r="E1" s="4" t="s">
        <v>32</v>
      </c>
      <c r="F1" s="4" t="s">
        <v>33</v>
      </c>
      <c r="G1" s="4" t="s">
        <v>34</v>
      </c>
      <c r="H1" s="5" t="s">
        <v>35</v>
      </c>
      <c r="I1" s="5" t="s">
        <v>36</v>
      </c>
      <c r="J1" s="99" t="s">
        <v>37</v>
      </c>
      <c r="K1" s="12" t="s">
        <v>38</v>
      </c>
    </row>
    <row r="2" spans="1:11" x14ac:dyDescent="0.25">
      <c r="A2" t="s">
        <v>2267</v>
      </c>
      <c r="B2" t="s">
        <v>486</v>
      </c>
      <c r="E2">
        <v>168</v>
      </c>
      <c r="F2" t="s">
        <v>2148</v>
      </c>
      <c r="G2" t="s">
        <v>52</v>
      </c>
      <c r="H2" s="27" t="s">
        <v>2268</v>
      </c>
      <c r="I2" t="s">
        <v>2269</v>
      </c>
      <c r="J2" t="s">
        <v>2270</v>
      </c>
      <c r="K2" s="42" t="s">
        <v>2271</v>
      </c>
    </row>
    <row r="3" spans="1:11" x14ac:dyDescent="0.25">
      <c r="A3" t="s">
        <v>2272</v>
      </c>
      <c r="B3" t="s">
        <v>486</v>
      </c>
      <c r="E3">
        <v>168</v>
      </c>
      <c r="F3" t="s">
        <v>2148</v>
      </c>
      <c r="G3" t="s">
        <v>52</v>
      </c>
      <c r="H3" s="27" t="s">
        <v>2268</v>
      </c>
      <c r="I3" t="s">
        <v>2269</v>
      </c>
      <c r="J3" t="s">
        <v>2270</v>
      </c>
      <c r="K3" s="42" t="s">
        <v>2273</v>
      </c>
    </row>
    <row r="4" spans="1:11" x14ac:dyDescent="0.25">
      <c r="A4" t="s">
        <v>2274</v>
      </c>
      <c r="B4" t="s">
        <v>486</v>
      </c>
      <c r="E4">
        <v>168</v>
      </c>
      <c r="F4" t="s">
        <v>2148</v>
      </c>
      <c r="G4" t="s">
        <v>52</v>
      </c>
      <c r="H4" s="27" t="s">
        <v>2275</v>
      </c>
      <c r="I4" t="s">
        <v>2269</v>
      </c>
      <c r="K4" s="42" t="s">
        <v>2276</v>
      </c>
    </row>
    <row r="5" spans="1:11" x14ac:dyDescent="0.25">
      <c r="A5" t="s">
        <v>2277</v>
      </c>
      <c r="B5" t="s">
        <v>486</v>
      </c>
      <c r="E5">
        <v>171</v>
      </c>
      <c r="F5" t="s">
        <v>2148</v>
      </c>
      <c r="G5" t="s">
        <v>52</v>
      </c>
      <c r="H5" s="27" t="s">
        <v>2275</v>
      </c>
      <c r="I5" t="s">
        <v>2269</v>
      </c>
      <c r="K5" s="42" t="s">
        <v>2278</v>
      </c>
    </row>
    <row r="6" spans="1:11" x14ac:dyDescent="0.25">
      <c r="A6" s="34" t="s">
        <v>2279</v>
      </c>
      <c r="B6" t="s">
        <v>486</v>
      </c>
      <c r="C6" t="s">
        <v>178</v>
      </c>
      <c r="D6" t="s">
        <v>521</v>
      </c>
      <c r="E6">
        <v>168</v>
      </c>
      <c r="F6" t="s">
        <v>2148</v>
      </c>
      <c r="G6" s="1" t="s">
        <v>52</v>
      </c>
      <c r="H6" s="27">
        <v>45720</v>
      </c>
      <c r="J6" t="s">
        <v>2270</v>
      </c>
      <c r="K6" s="26" t="s">
        <v>2280</v>
      </c>
    </row>
    <row r="7" spans="1:11" x14ac:dyDescent="0.25">
      <c r="A7" s="13" t="s">
        <v>2281</v>
      </c>
      <c r="B7" t="s">
        <v>486</v>
      </c>
      <c r="C7" t="s">
        <v>178</v>
      </c>
      <c r="D7" t="s">
        <v>521</v>
      </c>
      <c r="E7">
        <v>168</v>
      </c>
      <c r="F7" t="s">
        <v>2282</v>
      </c>
      <c r="G7" s="1" t="s">
        <v>52</v>
      </c>
      <c r="H7" s="27">
        <v>45721</v>
      </c>
      <c r="J7" t="s">
        <v>2270</v>
      </c>
      <c r="K7" s="26" t="s">
        <v>2283</v>
      </c>
    </row>
    <row r="8" spans="1:11" ht="15" customHeight="1" x14ac:dyDescent="0.25">
      <c r="A8" t="s">
        <v>2284</v>
      </c>
      <c r="B8" t="s">
        <v>486</v>
      </c>
      <c r="C8" t="s">
        <v>2285</v>
      </c>
      <c r="D8" t="s">
        <v>178</v>
      </c>
      <c r="E8">
        <v>168</v>
      </c>
      <c r="F8" t="s">
        <v>2148</v>
      </c>
      <c r="G8" t="s">
        <v>52</v>
      </c>
      <c r="H8" s="27">
        <v>45722</v>
      </c>
      <c r="I8" t="s">
        <v>2286</v>
      </c>
      <c r="J8" t="s">
        <v>2270</v>
      </c>
      <c r="K8" s="26" t="s">
        <v>2287</v>
      </c>
    </row>
    <row r="9" spans="1:11" ht="15" customHeight="1" x14ac:dyDescent="0.25">
      <c r="A9" t="s">
        <v>2288</v>
      </c>
      <c r="B9" t="s">
        <v>486</v>
      </c>
      <c r="C9" t="s">
        <v>2285</v>
      </c>
      <c r="D9" t="s">
        <v>178</v>
      </c>
      <c r="E9">
        <v>168</v>
      </c>
      <c r="F9" t="s">
        <v>2148</v>
      </c>
      <c r="G9" t="s">
        <v>52</v>
      </c>
      <c r="H9" s="27">
        <v>45722</v>
      </c>
      <c r="I9" t="s">
        <v>2286</v>
      </c>
      <c r="J9" t="s">
        <v>2270</v>
      </c>
      <c r="K9" s="26" t="s">
        <v>2289</v>
      </c>
    </row>
    <row r="10" spans="1:11" ht="15" customHeight="1" x14ac:dyDescent="0.25">
      <c r="A10" s="13" t="s">
        <v>2290</v>
      </c>
      <c r="B10" t="s">
        <v>486</v>
      </c>
      <c r="C10" t="s">
        <v>178</v>
      </c>
      <c r="D10" t="s">
        <v>194</v>
      </c>
      <c r="E10">
        <v>168</v>
      </c>
      <c r="F10" t="s">
        <v>2148</v>
      </c>
      <c r="G10" t="s">
        <v>52</v>
      </c>
      <c r="H10" s="27">
        <v>45730</v>
      </c>
      <c r="J10" t="s">
        <v>2270</v>
      </c>
      <c r="K10" s="26" t="s">
        <v>2291</v>
      </c>
    </row>
    <row r="11" spans="1:11" ht="15" customHeight="1" x14ac:dyDescent="0.25">
      <c r="A11" t="s">
        <v>2292</v>
      </c>
      <c r="B11" t="s">
        <v>486</v>
      </c>
      <c r="C11" t="s">
        <v>178</v>
      </c>
      <c r="D11" t="s">
        <v>194</v>
      </c>
      <c r="E11">
        <v>168</v>
      </c>
      <c r="F11" t="s">
        <v>2148</v>
      </c>
      <c r="G11" t="s">
        <v>52</v>
      </c>
      <c r="H11" s="27">
        <v>45730</v>
      </c>
      <c r="J11" t="s">
        <v>2270</v>
      </c>
      <c r="K11" s="26" t="s">
        <v>2293</v>
      </c>
    </row>
    <row r="12" spans="1:11" ht="30" x14ac:dyDescent="0.25">
      <c r="A12" t="s">
        <v>2294</v>
      </c>
      <c r="B12" t="s">
        <v>486</v>
      </c>
      <c r="C12" t="s">
        <v>178</v>
      </c>
      <c r="D12" t="s">
        <v>194</v>
      </c>
      <c r="E12">
        <v>168</v>
      </c>
      <c r="F12" t="s">
        <v>2148</v>
      </c>
      <c r="G12" t="s">
        <v>52</v>
      </c>
      <c r="H12" s="27">
        <v>45730</v>
      </c>
      <c r="I12" s="13" t="s">
        <v>2295</v>
      </c>
      <c r="J12" t="s">
        <v>2270</v>
      </c>
      <c r="K12" s="26" t="s">
        <v>2296</v>
      </c>
    </row>
    <row r="13" spans="1:11" ht="15" customHeight="1" x14ac:dyDescent="0.25">
      <c r="A13" t="s">
        <v>2297</v>
      </c>
      <c r="B13" t="s">
        <v>486</v>
      </c>
      <c r="C13" t="s">
        <v>178</v>
      </c>
      <c r="D13" t="s">
        <v>521</v>
      </c>
      <c r="E13">
        <v>168</v>
      </c>
      <c r="F13" t="s">
        <v>2148</v>
      </c>
      <c r="G13" t="s">
        <v>52</v>
      </c>
      <c r="H13" s="27">
        <v>45741</v>
      </c>
      <c r="I13" s="13" t="s">
        <v>2298</v>
      </c>
      <c r="J13" t="s">
        <v>196</v>
      </c>
      <c r="K13" s="25" t="s">
        <v>2299</v>
      </c>
    </row>
    <row r="14" spans="1:11" ht="15" customHeight="1" x14ac:dyDescent="0.25">
      <c r="A14" t="s">
        <v>2300</v>
      </c>
      <c r="B14" t="s">
        <v>486</v>
      </c>
      <c r="C14" t="s">
        <v>178</v>
      </c>
      <c r="D14" s="39" t="s">
        <v>521</v>
      </c>
      <c r="E14">
        <v>168</v>
      </c>
      <c r="F14" t="s">
        <v>2148</v>
      </c>
      <c r="G14" t="s">
        <v>52</v>
      </c>
      <c r="H14" s="27">
        <v>45741</v>
      </c>
      <c r="I14" s="13" t="s">
        <v>2298</v>
      </c>
      <c r="J14" t="s">
        <v>196</v>
      </c>
      <c r="K14" s="25" t="s">
        <v>2301</v>
      </c>
    </row>
    <row r="15" spans="1:11" ht="15" customHeight="1" x14ac:dyDescent="0.25">
      <c r="A15" t="s">
        <v>2302</v>
      </c>
      <c r="B15" t="s">
        <v>486</v>
      </c>
      <c r="C15" t="s">
        <v>521</v>
      </c>
      <c r="D15" t="s">
        <v>178</v>
      </c>
      <c r="E15">
        <v>168</v>
      </c>
      <c r="F15" t="s">
        <v>2148</v>
      </c>
      <c r="G15" t="s">
        <v>52</v>
      </c>
      <c r="H15" s="27">
        <v>45749</v>
      </c>
      <c r="I15" s="13" t="s">
        <v>2303</v>
      </c>
      <c r="J15" t="s">
        <v>2270</v>
      </c>
      <c r="K15" s="42" t="s">
        <v>2304</v>
      </c>
    </row>
    <row r="16" spans="1:11" ht="15" customHeight="1" x14ac:dyDescent="0.25">
      <c r="A16" t="s">
        <v>2305</v>
      </c>
      <c r="B16" t="s">
        <v>486</v>
      </c>
      <c r="C16" t="s">
        <v>521</v>
      </c>
      <c r="D16" t="s">
        <v>178</v>
      </c>
      <c r="E16">
        <v>168</v>
      </c>
      <c r="F16" t="s">
        <v>2148</v>
      </c>
      <c r="G16" t="s">
        <v>52</v>
      </c>
      <c r="H16" s="27">
        <v>45749</v>
      </c>
      <c r="I16" s="13" t="s">
        <v>2306</v>
      </c>
      <c r="J16" t="s">
        <v>2270</v>
      </c>
      <c r="K16" s="42" t="s">
        <v>2307</v>
      </c>
    </row>
    <row r="17" spans="1:11" ht="30" x14ac:dyDescent="0.25">
      <c r="A17" t="s">
        <v>2308</v>
      </c>
      <c r="B17" t="s">
        <v>486</v>
      </c>
      <c r="C17" t="s">
        <v>178</v>
      </c>
      <c r="D17" t="s">
        <v>155</v>
      </c>
      <c r="E17">
        <v>168</v>
      </c>
      <c r="F17" t="s">
        <v>2148</v>
      </c>
      <c r="G17" t="s">
        <v>52</v>
      </c>
      <c r="H17" s="27">
        <v>45758</v>
      </c>
      <c r="I17" s="13" t="s">
        <v>2309</v>
      </c>
      <c r="J17" t="s">
        <v>2270</v>
      </c>
      <c r="K17" s="42" t="s">
        <v>2310</v>
      </c>
    </row>
    <row r="18" spans="1:11" ht="30" x14ac:dyDescent="0.25">
      <c r="A18" t="s">
        <v>2311</v>
      </c>
      <c r="B18" t="s">
        <v>486</v>
      </c>
      <c r="C18" t="s">
        <v>178</v>
      </c>
      <c r="D18" t="s">
        <v>155</v>
      </c>
      <c r="E18">
        <v>168</v>
      </c>
      <c r="F18" t="s">
        <v>2148</v>
      </c>
      <c r="G18" t="s">
        <v>52</v>
      </c>
      <c r="H18" s="27">
        <v>45758</v>
      </c>
      <c r="I18" s="13" t="s">
        <v>2309</v>
      </c>
      <c r="J18" t="s">
        <v>2270</v>
      </c>
      <c r="K18" s="42" t="s">
        <v>2312</v>
      </c>
    </row>
    <row r="19" spans="1:11" ht="15" customHeight="1" x14ac:dyDescent="0.25">
      <c r="A19" t="s">
        <v>2313</v>
      </c>
      <c r="B19" t="s">
        <v>486</v>
      </c>
      <c r="C19" t="s">
        <v>2224</v>
      </c>
      <c r="D19" t="s">
        <v>194</v>
      </c>
      <c r="E19">
        <v>168</v>
      </c>
      <c r="F19" t="s">
        <v>2148</v>
      </c>
      <c r="G19" t="s">
        <v>52</v>
      </c>
      <c r="H19" s="27">
        <v>45771</v>
      </c>
      <c r="I19" t="s">
        <v>2314</v>
      </c>
      <c r="K19" s="42" t="s">
        <v>2315</v>
      </c>
    </row>
    <row r="20" spans="1:11" ht="15" customHeight="1" x14ac:dyDescent="0.25">
      <c r="A20" t="s">
        <v>2316</v>
      </c>
      <c r="B20" t="s">
        <v>486</v>
      </c>
      <c r="C20" t="s">
        <v>2224</v>
      </c>
      <c r="D20" t="s">
        <v>194</v>
      </c>
      <c r="E20">
        <v>168</v>
      </c>
      <c r="F20" t="s">
        <v>2148</v>
      </c>
      <c r="G20" t="s">
        <v>52</v>
      </c>
      <c r="H20" s="27">
        <v>45771</v>
      </c>
      <c r="I20" t="s">
        <v>2314</v>
      </c>
      <c r="K20" s="42" t="s">
        <v>2317</v>
      </c>
    </row>
    <row r="21" spans="1:11" ht="15" customHeight="1" x14ac:dyDescent="0.25">
      <c r="A21" t="s">
        <v>2318</v>
      </c>
      <c r="B21" t="s">
        <v>486</v>
      </c>
      <c r="C21" t="s">
        <v>2224</v>
      </c>
      <c r="D21" t="s">
        <v>257</v>
      </c>
      <c r="E21">
        <v>168</v>
      </c>
      <c r="F21" t="s">
        <v>2148</v>
      </c>
      <c r="G21" t="s">
        <v>358</v>
      </c>
      <c r="H21" s="27">
        <v>45785</v>
      </c>
      <c r="I21" t="s">
        <v>27</v>
      </c>
      <c r="K21" s="42" t="s">
        <v>2319</v>
      </c>
    </row>
    <row r="22" spans="1:11" ht="15" customHeight="1" x14ac:dyDescent="0.25">
      <c r="A22" t="s">
        <v>2320</v>
      </c>
      <c r="B22" t="s">
        <v>486</v>
      </c>
      <c r="C22" t="s">
        <v>2224</v>
      </c>
      <c r="D22" t="s">
        <v>155</v>
      </c>
      <c r="E22">
        <v>168</v>
      </c>
      <c r="F22" t="s">
        <v>2148</v>
      </c>
      <c r="G22" t="s">
        <v>358</v>
      </c>
      <c r="H22" s="27">
        <v>45785</v>
      </c>
      <c r="J22" t="s">
        <v>2270</v>
      </c>
      <c r="K22" s="42" t="s">
        <v>2321</v>
      </c>
    </row>
    <row r="23" spans="1:11" ht="15" customHeight="1" x14ac:dyDescent="0.25">
      <c r="A23" t="s">
        <v>2322</v>
      </c>
      <c r="B23" t="s">
        <v>486</v>
      </c>
      <c r="C23" t="s">
        <v>155</v>
      </c>
      <c r="D23" t="s">
        <v>2323</v>
      </c>
      <c r="E23">
        <v>168</v>
      </c>
      <c r="F23" t="s">
        <v>2148</v>
      </c>
      <c r="G23" t="s">
        <v>358</v>
      </c>
      <c r="H23" s="27">
        <v>45789</v>
      </c>
      <c r="J23" t="s">
        <v>2270</v>
      </c>
      <c r="K23" s="42" t="s">
        <v>2324</v>
      </c>
    </row>
    <row r="24" spans="1:11" ht="15" customHeight="1" x14ac:dyDescent="0.25">
      <c r="A24" t="s">
        <v>2325</v>
      </c>
      <c r="B24" t="s">
        <v>486</v>
      </c>
      <c r="C24" t="s">
        <v>155</v>
      </c>
      <c r="D24" t="s">
        <v>2323</v>
      </c>
      <c r="E24">
        <v>168</v>
      </c>
      <c r="F24" t="s">
        <v>2148</v>
      </c>
      <c r="G24" t="s">
        <v>358</v>
      </c>
      <c r="H24" s="27">
        <v>45789</v>
      </c>
      <c r="J24" t="s">
        <v>2270</v>
      </c>
      <c r="K24" s="42" t="s">
        <v>2326</v>
      </c>
    </row>
    <row r="25" spans="1:11" ht="15" customHeight="1" x14ac:dyDescent="0.25">
      <c r="A25" t="s">
        <v>2327</v>
      </c>
      <c r="B25" t="s">
        <v>486</v>
      </c>
      <c r="C25" t="s">
        <v>521</v>
      </c>
      <c r="D25" t="s">
        <v>2328</v>
      </c>
      <c r="E25">
        <v>168</v>
      </c>
      <c r="F25" t="s">
        <v>2148</v>
      </c>
      <c r="G25" t="s">
        <v>358</v>
      </c>
      <c r="H25" s="27">
        <v>45810</v>
      </c>
      <c r="I25" t="s">
        <v>2329</v>
      </c>
      <c r="J25" t="s">
        <v>2270</v>
      </c>
      <c r="K25" s="42" t="s">
        <v>2330</v>
      </c>
    </row>
    <row r="26" spans="1:11" ht="15" customHeight="1" x14ac:dyDescent="0.25">
      <c r="A26" t="s">
        <v>2331</v>
      </c>
      <c r="B26" t="s">
        <v>486</v>
      </c>
      <c r="C26" t="s">
        <v>521</v>
      </c>
      <c r="D26" t="s">
        <v>2328</v>
      </c>
      <c r="E26">
        <v>168</v>
      </c>
      <c r="F26" t="s">
        <v>2148</v>
      </c>
      <c r="G26" t="s">
        <v>358</v>
      </c>
      <c r="H26" s="27">
        <v>45810</v>
      </c>
      <c r="I26" t="s">
        <v>2332</v>
      </c>
      <c r="J26" t="s">
        <v>2270</v>
      </c>
      <c r="K26" s="42" t="s">
        <v>2333</v>
      </c>
    </row>
    <row r="27" spans="1:11" ht="15" customHeight="1" x14ac:dyDescent="0.25">
      <c r="A27" t="s">
        <v>2334</v>
      </c>
      <c r="B27" t="s">
        <v>486</v>
      </c>
      <c r="C27" t="s">
        <v>521</v>
      </c>
      <c r="D27" t="s">
        <v>521</v>
      </c>
      <c r="E27">
        <v>168</v>
      </c>
      <c r="F27" t="s">
        <v>2148</v>
      </c>
      <c r="G27" t="s">
        <v>358</v>
      </c>
      <c r="H27" s="27">
        <v>45838</v>
      </c>
      <c r="I27" t="s">
        <v>2332</v>
      </c>
      <c r="J27" t="s">
        <v>2270</v>
      </c>
    </row>
    <row r="28" spans="1:11" ht="15" customHeight="1" x14ac:dyDescent="0.25">
      <c r="A28" t="s">
        <v>2335</v>
      </c>
      <c r="B28" t="s">
        <v>486</v>
      </c>
      <c r="C28" t="s">
        <v>521</v>
      </c>
      <c r="D28" t="s">
        <v>521</v>
      </c>
      <c r="E28">
        <v>168</v>
      </c>
      <c r="F28" t="s">
        <v>2148</v>
      </c>
      <c r="G28" t="s">
        <v>358</v>
      </c>
      <c r="H28" s="27">
        <v>45838</v>
      </c>
      <c r="I28" t="s">
        <v>2332</v>
      </c>
      <c r="J28" t="s">
        <v>2270</v>
      </c>
    </row>
    <row r="29" spans="1:11" ht="15" customHeight="1" x14ac:dyDescent="0.25">
      <c r="A29" t="s">
        <v>2336</v>
      </c>
      <c r="B29" t="s">
        <v>486</v>
      </c>
      <c r="C29" t="s">
        <v>521</v>
      </c>
      <c r="D29" t="s">
        <v>521</v>
      </c>
      <c r="E29">
        <v>168</v>
      </c>
      <c r="F29" t="s">
        <v>2148</v>
      </c>
      <c r="G29" t="s">
        <v>358</v>
      </c>
      <c r="H29" s="27">
        <v>45838</v>
      </c>
      <c r="I29" t="s">
        <v>2332</v>
      </c>
      <c r="J29" t="s">
        <v>2270</v>
      </c>
    </row>
    <row r="30" spans="1:11" ht="15" customHeight="1" x14ac:dyDescent="0.25">
      <c r="A30" t="s">
        <v>2337</v>
      </c>
      <c r="B30" t="s">
        <v>521</v>
      </c>
      <c r="C30" t="s">
        <v>521</v>
      </c>
      <c r="D30" t="s">
        <v>2338</v>
      </c>
      <c r="E30">
        <v>168</v>
      </c>
      <c r="F30" t="s">
        <v>2148</v>
      </c>
      <c r="G30" t="s">
        <v>358</v>
      </c>
      <c r="H30" s="27">
        <v>45847</v>
      </c>
      <c r="I30" s="13" t="s">
        <v>2286</v>
      </c>
      <c r="J30" t="s">
        <v>2270</v>
      </c>
    </row>
    <row r="31" spans="1:11" ht="15" customHeight="1" x14ac:dyDescent="0.25">
      <c r="A31" t="s">
        <v>2339</v>
      </c>
      <c r="B31" t="s">
        <v>521</v>
      </c>
      <c r="C31" t="s">
        <v>521</v>
      </c>
      <c r="D31" t="s">
        <v>2338</v>
      </c>
      <c r="E31">
        <v>168</v>
      </c>
      <c r="F31" t="s">
        <v>2148</v>
      </c>
      <c r="G31" t="s">
        <v>358</v>
      </c>
      <c r="H31" s="27">
        <v>45847</v>
      </c>
      <c r="I31" s="13" t="s">
        <v>2286</v>
      </c>
      <c r="J31" t="s">
        <v>2270</v>
      </c>
    </row>
    <row r="32" spans="1:11" ht="15" customHeight="1" x14ac:dyDescent="0.25">
      <c r="A32" t="s">
        <v>2340</v>
      </c>
      <c r="B32" t="s">
        <v>521</v>
      </c>
      <c r="C32" t="s">
        <v>521</v>
      </c>
      <c r="D32" t="s">
        <v>2338</v>
      </c>
      <c r="E32">
        <v>168</v>
      </c>
      <c r="F32" t="s">
        <v>2148</v>
      </c>
      <c r="G32" t="s">
        <v>358</v>
      </c>
      <c r="H32" s="27">
        <v>45847</v>
      </c>
      <c r="I32" s="13" t="s">
        <v>2286</v>
      </c>
      <c r="J32" t="s">
        <v>2270</v>
      </c>
    </row>
    <row r="33" spans="1:11" ht="15" customHeight="1" x14ac:dyDescent="0.25">
      <c r="A33" t="s">
        <v>355</v>
      </c>
      <c r="D33" t="s">
        <v>2338</v>
      </c>
      <c r="E33">
        <v>168</v>
      </c>
      <c r="F33" t="s">
        <v>357</v>
      </c>
      <c r="G33" t="s">
        <v>358</v>
      </c>
    </row>
    <row r="34" spans="1:11" ht="15" customHeight="1" x14ac:dyDescent="0.25">
      <c r="A34" t="s">
        <v>2341</v>
      </c>
      <c r="B34" t="s">
        <v>521</v>
      </c>
      <c r="C34" t="s">
        <v>521</v>
      </c>
      <c r="E34">
        <v>168</v>
      </c>
      <c r="F34" t="s">
        <v>2342</v>
      </c>
      <c r="G34" t="s">
        <v>358</v>
      </c>
      <c r="H34" s="27">
        <v>45917</v>
      </c>
      <c r="I34" t="s">
        <v>2343</v>
      </c>
      <c r="J34" t="s">
        <v>2344</v>
      </c>
      <c r="K34" s="13"/>
    </row>
    <row r="35" spans="1:11" ht="15" customHeight="1" x14ac:dyDescent="0.25">
      <c r="A35" t="s">
        <v>2345</v>
      </c>
      <c r="B35" t="s">
        <v>521</v>
      </c>
      <c r="C35" t="s">
        <v>521</v>
      </c>
      <c r="E35">
        <v>168</v>
      </c>
      <c r="F35" t="s">
        <v>2148</v>
      </c>
      <c r="G35" t="s">
        <v>358</v>
      </c>
      <c r="H35" s="27">
        <v>45919</v>
      </c>
      <c r="I35" t="s">
        <v>2009</v>
      </c>
      <c r="J35" t="s">
        <v>2344</v>
      </c>
    </row>
    <row r="36" spans="1:11" ht="15" customHeight="1" x14ac:dyDescent="0.25">
      <c r="A36" t="s">
        <v>2346</v>
      </c>
      <c r="B36" t="s">
        <v>521</v>
      </c>
      <c r="C36" t="s">
        <v>521</v>
      </c>
      <c r="E36">
        <v>168</v>
      </c>
      <c r="F36" t="s">
        <v>2342</v>
      </c>
      <c r="G36" t="s">
        <v>358</v>
      </c>
      <c r="H36" s="27">
        <v>45919</v>
      </c>
      <c r="I36" t="s">
        <v>2009</v>
      </c>
      <c r="J36" t="s">
        <v>2344</v>
      </c>
    </row>
    <row r="37" spans="1:11" ht="15" customHeight="1" x14ac:dyDescent="0.25">
      <c r="A37" t="s">
        <v>2347</v>
      </c>
      <c r="B37" t="s">
        <v>521</v>
      </c>
      <c r="C37" t="s">
        <v>521</v>
      </c>
      <c r="D37" t="s">
        <v>377</v>
      </c>
      <c r="E37">
        <v>168</v>
      </c>
      <c r="F37" t="s">
        <v>271</v>
      </c>
      <c r="G37" t="s">
        <v>358</v>
      </c>
      <c r="H37" s="27">
        <v>45926</v>
      </c>
      <c r="I37" t="s">
        <v>2009</v>
      </c>
    </row>
    <row r="38" spans="1:11" ht="15" customHeight="1" x14ac:dyDescent="0.25">
      <c r="A38" t="s">
        <v>2348</v>
      </c>
      <c r="B38" t="s">
        <v>521</v>
      </c>
      <c r="C38" t="s">
        <v>521</v>
      </c>
      <c r="D38" t="s">
        <v>377</v>
      </c>
      <c r="E38">
        <v>168</v>
      </c>
      <c r="F38" t="s">
        <v>271</v>
      </c>
      <c r="G38" t="s">
        <v>358</v>
      </c>
      <c r="H38" s="27">
        <v>45926</v>
      </c>
      <c r="I38" t="s">
        <v>2009</v>
      </c>
    </row>
    <row r="39" spans="1:11" ht="15" customHeight="1" x14ac:dyDescent="0.25">
      <c r="A39" t="s">
        <v>2349</v>
      </c>
      <c r="B39" t="s">
        <v>521</v>
      </c>
      <c r="C39" t="s">
        <v>521</v>
      </c>
      <c r="D39" t="s">
        <v>377</v>
      </c>
      <c r="E39">
        <v>168</v>
      </c>
      <c r="F39" t="s">
        <v>271</v>
      </c>
      <c r="G39" t="s">
        <v>358</v>
      </c>
      <c r="H39" s="27">
        <v>45926</v>
      </c>
      <c r="I39" t="s">
        <v>2009</v>
      </c>
    </row>
    <row r="40" spans="1:11" ht="15" customHeight="1" x14ac:dyDescent="0.25">
      <c r="A40" t="s">
        <v>2350</v>
      </c>
      <c r="B40" t="s">
        <v>521</v>
      </c>
      <c r="C40" t="s">
        <v>521</v>
      </c>
      <c r="D40" t="s">
        <v>377</v>
      </c>
      <c r="E40">
        <v>168</v>
      </c>
      <c r="F40" t="s">
        <v>271</v>
      </c>
      <c r="G40" t="s">
        <v>358</v>
      </c>
      <c r="H40" s="27">
        <v>45926</v>
      </c>
      <c r="I40" t="s">
        <v>2009</v>
      </c>
    </row>
    <row r="41" spans="1:11" ht="15" customHeight="1" x14ac:dyDescent="0.25">
      <c r="A41" t="s">
        <v>2351</v>
      </c>
      <c r="B41" t="s">
        <v>521</v>
      </c>
      <c r="C41" t="s">
        <v>521</v>
      </c>
      <c r="D41" t="s">
        <v>377</v>
      </c>
      <c r="E41">
        <v>168</v>
      </c>
      <c r="F41" t="s">
        <v>271</v>
      </c>
      <c r="G41" t="s">
        <v>358</v>
      </c>
      <c r="H41" s="27">
        <v>45926</v>
      </c>
      <c r="I41" t="s">
        <v>2009</v>
      </c>
    </row>
    <row r="42" spans="1:11" ht="15" customHeight="1" x14ac:dyDescent="0.25">
      <c r="A42" t="s">
        <v>2352</v>
      </c>
      <c r="B42" t="s">
        <v>521</v>
      </c>
      <c r="C42" t="s">
        <v>521</v>
      </c>
      <c r="D42" t="s">
        <v>377</v>
      </c>
      <c r="E42">
        <v>168</v>
      </c>
      <c r="F42" t="s">
        <v>271</v>
      </c>
      <c r="G42" t="s">
        <v>358</v>
      </c>
      <c r="H42" s="27">
        <v>45926</v>
      </c>
      <c r="I42" t="s">
        <v>2009</v>
      </c>
      <c r="J42" t="s">
        <v>2344</v>
      </c>
    </row>
    <row r="43" spans="1:11" ht="15" customHeight="1" x14ac:dyDescent="0.25">
      <c r="A43" t="s">
        <v>2353</v>
      </c>
      <c r="B43" t="s">
        <v>521</v>
      </c>
      <c r="C43" t="s">
        <v>521</v>
      </c>
      <c r="D43" t="s">
        <v>363</v>
      </c>
      <c r="E43">
        <v>168</v>
      </c>
      <c r="F43" t="s">
        <v>271</v>
      </c>
      <c r="G43" t="s">
        <v>358</v>
      </c>
      <c r="H43" s="27">
        <v>45930</v>
      </c>
      <c r="I43" s="13" t="s">
        <v>2009</v>
      </c>
      <c r="J43" s="13"/>
    </row>
    <row r="44" spans="1:11" ht="28.5" customHeight="1" x14ac:dyDescent="0.25">
      <c r="A44" t="s">
        <v>2354</v>
      </c>
      <c r="B44" t="s">
        <v>521</v>
      </c>
      <c r="C44" t="s">
        <v>521</v>
      </c>
      <c r="D44" t="s">
        <v>245</v>
      </c>
      <c r="E44">
        <v>237</v>
      </c>
      <c r="F44" t="s">
        <v>2342</v>
      </c>
      <c r="G44" t="s">
        <v>358</v>
      </c>
      <c r="H44" s="27">
        <v>45932</v>
      </c>
      <c r="I44" s="13" t="s">
        <v>2355</v>
      </c>
      <c r="J44" t="s">
        <v>2344</v>
      </c>
    </row>
    <row r="45" spans="1:11" ht="15" customHeight="1" x14ac:dyDescent="0.25">
      <c r="A45" s="13" t="s">
        <v>2356</v>
      </c>
      <c r="B45" t="s">
        <v>521</v>
      </c>
      <c r="C45" t="s">
        <v>521</v>
      </c>
      <c r="D45" t="s">
        <v>377</v>
      </c>
      <c r="E45">
        <v>168</v>
      </c>
      <c r="F45" t="s">
        <v>271</v>
      </c>
      <c r="G45" t="s">
        <v>358</v>
      </c>
      <c r="H45" s="27">
        <v>46052</v>
      </c>
      <c r="I45" s="13" t="s">
        <v>2357</v>
      </c>
      <c r="J45" s="13"/>
    </row>
    <row r="46" spans="1:11" ht="15" customHeight="1" x14ac:dyDescent="0.25">
      <c r="A46" t="s">
        <v>2358</v>
      </c>
      <c r="B46" t="s">
        <v>521</v>
      </c>
      <c r="C46" t="s">
        <v>521</v>
      </c>
      <c r="D46" t="s">
        <v>377</v>
      </c>
      <c r="E46">
        <v>168</v>
      </c>
      <c r="F46" t="s">
        <v>271</v>
      </c>
      <c r="G46" t="s">
        <v>358</v>
      </c>
      <c r="H46" s="27">
        <v>46052</v>
      </c>
      <c r="I46" s="13" t="s">
        <v>2357</v>
      </c>
      <c r="J46" s="13"/>
    </row>
    <row r="47" spans="1:11" ht="15" customHeight="1" x14ac:dyDescent="0.25">
      <c r="A47" t="s">
        <v>2359</v>
      </c>
      <c r="B47" t="s">
        <v>521</v>
      </c>
      <c r="C47" t="s">
        <v>521</v>
      </c>
      <c r="D47" t="s">
        <v>377</v>
      </c>
      <c r="E47">
        <v>168</v>
      </c>
      <c r="F47" t="s">
        <v>271</v>
      </c>
      <c r="G47" t="s">
        <v>358</v>
      </c>
      <c r="H47" s="27">
        <v>46061</v>
      </c>
      <c r="I47" s="93" t="s">
        <v>2360</v>
      </c>
      <c r="J47" s="93" t="s">
        <v>2361</v>
      </c>
    </row>
    <row r="48" spans="1:11" ht="15" customHeight="1" x14ac:dyDescent="0.25">
      <c r="A48" t="s">
        <v>2362</v>
      </c>
      <c r="B48" t="s">
        <v>521</v>
      </c>
      <c r="C48" t="s">
        <v>521</v>
      </c>
      <c r="D48" t="s">
        <v>377</v>
      </c>
      <c r="E48">
        <v>168</v>
      </c>
      <c r="F48" t="s">
        <v>271</v>
      </c>
      <c r="G48" t="s">
        <v>358</v>
      </c>
      <c r="H48" s="27">
        <v>46061</v>
      </c>
      <c r="I48" t="s">
        <v>2360</v>
      </c>
      <c r="J48" t="s">
        <v>2344</v>
      </c>
    </row>
    <row r="49" spans="1:10" ht="15" customHeight="1" x14ac:dyDescent="0.25">
      <c r="A49" t="s">
        <v>2363</v>
      </c>
      <c r="B49" t="s">
        <v>521</v>
      </c>
      <c r="C49" t="s">
        <v>521</v>
      </c>
      <c r="D49" t="s">
        <v>521</v>
      </c>
      <c r="E49">
        <v>67</v>
      </c>
      <c r="F49" t="s">
        <v>271</v>
      </c>
      <c r="G49" t="s">
        <v>358</v>
      </c>
      <c r="H49" s="27">
        <v>46076</v>
      </c>
      <c r="I49" t="s">
        <v>2364</v>
      </c>
    </row>
    <row r="50" spans="1:10" ht="15" customHeight="1" x14ac:dyDescent="0.3">
      <c r="A50" s="103" t="s">
        <v>2365</v>
      </c>
      <c r="B50" t="s">
        <v>521</v>
      </c>
      <c r="C50" t="s">
        <v>521</v>
      </c>
      <c r="D50" t="s">
        <v>521</v>
      </c>
      <c r="E50">
        <v>91</v>
      </c>
      <c r="F50" t="s">
        <v>271</v>
      </c>
      <c r="G50" t="s">
        <v>358</v>
      </c>
      <c r="H50" s="27">
        <v>46077</v>
      </c>
      <c r="I50" t="s">
        <v>2366</v>
      </c>
    </row>
    <row r="51" spans="1:10" ht="15" customHeight="1" x14ac:dyDescent="0.25">
      <c r="A51" t="s">
        <v>2367</v>
      </c>
      <c r="B51" t="s">
        <v>521</v>
      </c>
      <c r="C51" t="s">
        <v>521</v>
      </c>
      <c r="D51" t="s">
        <v>521</v>
      </c>
      <c r="E51">
        <v>92</v>
      </c>
      <c r="F51" t="s">
        <v>271</v>
      </c>
      <c r="G51" t="s">
        <v>358</v>
      </c>
      <c r="H51" s="27">
        <v>46077</v>
      </c>
      <c r="I51" t="s">
        <v>2368</v>
      </c>
    </row>
    <row r="52" spans="1:10" ht="15" customHeight="1" x14ac:dyDescent="0.25">
      <c r="A52" s="93" t="s">
        <v>2369</v>
      </c>
      <c r="B52" t="s">
        <v>521</v>
      </c>
      <c r="C52" t="s">
        <v>521</v>
      </c>
      <c r="D52" t="s">
        <v>521</v>
      </c>
      <c r="E52">
        <v>96</v>
      </c>
      <c r="F52" t="s">
        <v>271</v>
      </c>
      <c r="G52" t="s">
        <v>358</v>
      </c>
      <c r="H52" s="27">
        <v>46080</v>
      </c>
      <c r="I52" t="s">
        <v>2368</v>
      </c>
      <c r="J52" t="s">
        <v>2344</v>
      </c>
    </row>
    <row r="53" spans="1:10" ht="15" customHeight="1" x14ac:dyDescent="0.3">
      <c r="A53" s="104" t="s">
        <v>2370</v>
      </c>
      <c r="B53" t="s">
        <v>521</v>
      </c>
      <c r="C53" t="s">
        <v>521</v>
      </c>
      <c r="D53" t="s">
        <v>521</v>
      </c>
      <c r="E53">
        <v>70</v>
      </c>
      <c r="F53" t="s">
        <v>271</v>
      </c>
      <c r="G53" t="s">
        <v>358</v>
      </c>
      <c r="H53" s="27">
        <v>46080</v>
      </c>
      <c r="I53" t="s">
        <v>2366</v>
      </c>
    </row>
    <row r="54" spans="1:10" ht="15" customHeight="1" x14ac:dyDescent="0.25">
      <c r="A54" t="s">
        <v>2371</v>
      </c>
      <c r="B54" t="s">
        <v>521</v>
      </c>
      <c r="C54" t="s">
        <v>521</v>
      </c>
      <c r="D54" t="s">
        <v>521</v>
      </c>
      <c r="E54">
        <v>70</v>
      </c>
      <c r="F54" t="s">
        <v>271</v>
      </c>
      <c r="G54" t="s">
        <v>358</v>
      </c>
      <c r="H54" s="27">
        <v>46080</v>
      </c>
      <c r="I54" t="s">
        <v>2368</v>
      </c>
      <c r="J54" t="s">
        <v>2344</v>
      </c>
    </row>
    <row r="55" spans="1:10" ht="15" customHeight="1" x14ac:dyDescent="0.25">
      <c r="A55" t="s">
        <v>2372</v>
      </c>
      <c r="B55" t="s">
        <v>521</v>
      </c>
      <c r="C55" t="s">
        <v>521</v>
      </c>
      <c r="D55" t="s">
        <v>363</v>
      </c>
      <c r="E55">
        <v>168</v>
      </c>
      <c r="F55" t="s">
        <v>271</v>
      </c>
      <c r="G55" t="s">
        <v>358</v>
      </c>
      <c r="H55" s="27">
        <v>46087</v>
      </c>
      <c r="I55" t="s">
        <v>2373</v>
      </c>
      <c r="J55" t="s">
        <v>2374</v>
      </c>
    </row>
    <row r="56" spans="1:10" ht="15" customHeight="1" x14ac:dyDescent="0.25">
      <c r="A56" t="s">
        <v>2375</v>
      </c>
      <c r="B56" t="s">
        <v>521</v>
      </c>
      <c r="C56" t="s">
        <v>521</v>
      </c>
      <c r="D56" t="s">
        <v>363</v>
      </c>
      <c r="E56">
        <v>168</v>
      </c>
      <c r="F56" t="s">
        <v>271</v>
      </c>
      <c r="G56" t="s">
        <v>358</v>
      </c>
      <c r="H56" s="27">
        <v>46087</v>
      </c>
      <c r="I56" t="s">
        <v>2376</v>
      </c>
      <c r="J56" t="s">
        <v>2374</v>
      </c>
    </row>
    <row r="57" spans="1:10" ht="15" customHeight="1" x14ac:dyDescent="0.25">
      <c r="A57" t="s">
        <v>2377</v>
      </c>
      <c r="B57" t="s">
        <v>521</v>
      </c>
      <c r="C57" t="s">
        <v>521</v>
      </c>
      <c r="D57" t="s">
        <v>363</v>
      </c>
      <c r="E57">
        <v>168</v>
      </c>
      <c r="F57" t="s">
        <v>271</v>
      </c>
      <c r="G57" t="s">
        <v>358</v>
      </c>
      <c r="H57" s="27">
        <v>46087</v>
      </c>
      <c r="I57" t="s">
        <v>2378</v>
      </c>
      <c r="J57" t="s">
        <v>2374</v>
      </c>
    </row>
    <row r="58" spans="1:10" ht="15" customHeight="1" x14ac:dyDescent="0.25">
      <c r="A58" s="13" t="s">
        <v>2379</v>
      </c>
      <c r="B58" t="s">
        <v>521</v>
      </c>
      <c r="C58" t="s">
        <v>521</v>
      </c>
      <c r="D58" t="s">
        <v>521</v>
      </c>
      <c r="E58">
        <v>96</v>
      </c>
      <c r="F58" t="s">
        <v>271</v>
      </c>
      <c r="G58" t="s">
        <v>358</v>
      </c>
      <c r="H58" s="27">
        <v>46094</v>
      </c>
      <c r="I58" t="s">
        <v>2380</v>
      </c>
      <c r="J58" t="s">
        <v>2344</v>
      </c>
    </row>
    <row r="59" spans="1:10" ht="15" customHeight="1" x14ac:dyDescent="0.25">
      <c r="A59" s="105" t="s">
        <v>2381</v>
      </c>
      <c r="B59" t="s">
        <v>521</v>
      </c>
      <c r="C59" t="s">
        <v>521</v>
      </c>
      <c r="D59" t="s">
        <v>521</v>
      </c>
      <c r="E59">
        <v>96</v>
      </c>
      <c r="F59" t="s">
        <v>271</v>
      </c>
      <c r="G59" t="s">
        <v>358</v>
      </c>
      <c r="H59" s="27">
        <v>46094</v>
      </c>
      <c r="I59" t="s">
        <v>2380</v>
      </c>
      <c r="J59" t="s">
        <v>2344</v>
      </c>
    </row>
    <row r="60" spans="1:10" ht="15" customHeight="1" x14ac:dyDescent="0.25">
      <c r="A60" t="s">
        <v>2382</v>
      </c>
      <c r="B60" t="s">
        <v>521</v>
      </c>
      <c r="C60" t="s">
        <v>521</v>
      </c>
      <c r="E60">
        <v>168</v>
      </c>
      <c r="F60" t="s">
        <v>271</v>
      </c>
      <c r="G60" t="s">
        <v>358</v>
      </c>
      <c r="H60" s="27">
        <v>46102</v>
      </c>
      <c r="I60" t="s">
        <v>2380</v>
      </c>
      <c r="J60" t="s">
        <v>2344</v>
      </c>
    </row>
    <row r="61" spans="1:10" ht="15" customHeight="1" x14ac:dyDescent="0.25">
      <c r="A61" t="s">
        <v>2383</v>
      </c>
      <c r="B61" t="s">
        <v>521</v>
      </c>
      <c r="C61" t="s">
        <v>521</v>
      </c>
      <c r="E61">
        <v>168</v>
      </c>
      <c r="F61" t="s">
        <v>271</v>
      </c>
      <c r="G61" t="s">
        <v>358</v>
      </c>
      <c r="H61" s="27">
        <v>46102</v>
      </c>
      <c r="I61" t="s">
        <v>2380</v>
      </c>
      <c r="J61" t="s">
        <v>2344</v>
      </c>
    </row>
    <row r="62" spans="1:10" ht="15" customHeight="1" x14ac:dyDescent="0.25">
      <c r="A62" t="s">
        <v>2384</v>
      </c>
      <c r="B62" t="s">
        <v>521</v>
      </c>
      <c r="C62" t="s">
        <v>377</v>
      </c>
      <c r="D62" t="s">
        <v>392</v>
      </c>
      <c r="E62">
        <v>168</v>
      </c>
      <c r="F62" t="s">
        <v>271</v>
      </c>
      <c r="G62" t="s">
        <v>358</v>
      </c>
      <c r="H62" s="27">
        <v>46160</v>
      </c>
      <c r="J62" t="s">
        <v>2344</v>
      </c>
    </row>
    <row r="63" spans="1:10" ht="15" customHeight="1" x14ac:dyDescent="0.25">
      <c r="A63" t="s">
        <v>2385</v>
      </c>
      <c r="B63" t="s">
        <v>521</v>
      </c>
      <c r="C63" t="s">
        <v>377</v>
      </c>
      <c r="D63" t="s">
        <v>392</v>
      </c>
      <c r="E63">
        <v>168</v>
      </c>
      <c r="F63" t="s">
        <v>271</v>
      </c>
      <c r="G63" t="s">
        <v>358</v>
      </c>
      <c r="H63" s="27">
        <v>46160</v>
      </c>
      <c r="J63" t="s">
        <v>2344</v>
      </c>
    </row>
  </sheetData>
  <hyperlinks>
    <hyperlink ref="K2" r:id="rId1" xr:uid="{DC07B6A6-808A-4A6F-9447-41D367E97598}"/>
    <hyperlink ref="K3" r:id="rId2" xr:uid="{E4C6D7E1-6888-44E4-BB5F-2C59C3DC9BA0}"/>
    <hyperlink ref="K5" r:id="rId3" xr:uid="{7B0A419D-547D-4399-8B38-602DFC6C9927}"/>
    <hyperlink ref="K4" r:id="rId4" xr:uid="{3F3C1403-4C13-43EB-9923-224312EFCB63}"/>
    <hyperlink ref="K6" r:id="rId5" xr:uid="{30DB324E-165D-45FD-B7C1-B4D8ACC45F91}"/>
    <hyperlink ref="K7" r:id="rId6" xr:uid="{38586371-B26E-4CC3-B6B2-0C297636FDF9}"/>
    <hyperlink ref="K8" r:id="rId7" xr:uid="{0653D718-B5C4-43B6-A1C8-DE86F1766131}"/>
    <hyperlink ref="K9" r:id="rId8" xr:uid="{410E3AE4-939A-4A5C-B0D8-894786B5765D}"/>
    <hyperlink ref="K10" r:id="rId9" xr:uid="{D118BA4E-8FEE-4EE1-B0A3-A32EE5DD09EA}"/>
    <hyperlink ref="K11" r:id="rId10" xr:uid="{77C03ACB-3943-4E3C-96B5-82356E38F825}"/>
    <hyperlink ref="K12" r:id="rId11" xr:uid="{39723D84-FF05-421E-BE82-9A5C70ECBB01}"/>
    <hyperlink ref="K13" r:id="rId12" xr:uid="{CF578C8E-EACA-457D-9463-21B13F254A4D}"/>
    <hyperlink ref="K14" r:id="rId13" xr:uid="{8655EA71-E5A1-4D4D-9F61-E3372586FEA6}"/>
    <hyperlink ref="K15" r:id="rId14" xr:uid="{334F7C5D-71EF-4C1E-87D5-A3913C2729E4}"/>
    <hyperlink ref="K16" r:id="rId15" xr:uid="{77CECAD9-C742-4829-B1D4-071992EFE41E}"/>
    <hyperlink ref="K17" r:id="rId16" xr:uid="{68E7B0AB-3D26-4C8B-957E-3ADAC043548E}"/>
    <hyperlink ref="K18" r:id="rId17" xr:uid="{2837ADC6-A1CD-43BA-899F-D8C457A07302}"/>
    <hyperlink ref="K19" r:id="rId18" xr:uid="{BB1A39F1-E955-44BA-8EC0-07FEC7BDC96E}"/>
    <hyperlink ref="K20" r:id="rId19" xr:uid="{26FCFDAB-7A6C-4481-A942-B9059EC7F3AD}"/>
    <hyperlink ref="K21" r:id="rId20" xr:uid="{F0BD559F-D726-49F6-B878-B2A9D197FDA5}"/>
    <hyperlink ref="K22" r:id="rId21" xr:uid="{2C446D8D-EB1A-4570-9DD9-01C2F0396B27}"/>
    <hyperlink ref="K23" r:id="rId22" xr:uid="{AF4C1029-2B56-4E14-83A0-AA3A006873DA}"/>
    <hyperlink ref="K24" r:id="rId23" xr:uid="{A1D3784B-3851-41CB-A810-6DF61F01AE78}"/>
    <hyperlink ref="K25" r:id="rId24" xr:uid="{67689676-BEFD-4D5E-9A2C-BBFB668D6DA5}"/>
    <hyperlink ref="K26" r:id="rId25" xr:uid="{BB62F89C-E579-4F3D-9F21-B27335B48AA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B1DD8-1E0A-43B8-A566-60CCC2E352E3}">
  <dimension ref="A1:K11"/>
  <sheetViews>
    <sheetView workbookViewId="0"/>
  </sheetViews>
  <sheetFormatPr defaultRowHeight="15" customHeight="1" x14ac:dyDescent="0.25"/>
  <cols>
    <col min="1" max="1" width="64.5703125" bestFit="1" customWidth="1"/>
    <col min="5" max="5" width="13" bestFit="1" customWidth="1"/>
    <col min="6" max="6" width="21.7109375" customWidth="1"/>
    <col min="8" max="8" width="11.42578125" bestFit="1" customWidth="1"/>
    <col min="9" max="9" width="36.5703125" bestFit="1" customWidth="1"/>
    <col min="10" max="10" width="28.7109375" customWidth="1"/>
  </cols>
  <sheetData>
    <row r="1" spans="1:11" x14ac:dyDescent="0.25">
      <c r="A1" s="4" t="s">
        <v>28</v>
      </c>
      <c r="B1" s="4" t="s">
        <v>29</v>
      </c>
      <c r="C1" s="4" t="s">
        <v>30</v>
      </c>
      <c r="D1" s="4" t="s">
        <v>31</v>
      </c>
      <c r="E1" s="4" t="s">
        <v>32</v>
      </c>
      <c r="F1" s="4" t="s">
        <v>33</v>
      </c>
      <c r="G1" s="4" t="s">
        <v>34</v>
      </c>
      <c r="H1" s="5" t="s">
        <v>35</v>
      </c>
      <c r="I1" s="5" t="s">
        <v>36</v>
      </c>
      <c r="J1" s="99" t="s">
        <v>37</v>
      </c>
      <c r="K1" s="12" t="s">
        <v>38</v>
      </c>
    </row>
    <row r="2" spans="1:11" x14ac:dyDescent="0.25">
      <c r="A2" t="s">
        <v>2386</v>
      </c>
      <c r="B2" s="18" t="s">
        <v>428</v>
      </c>
      <c r="C2" s="18" t="s">
        <v>377</v>
      </c>
      <c r="D2" s="18" t="s">
        <v>363</v>
      </c>
      <c r="E2">
        <v>168</v>
      </c>
      <c r="F2" s="13" t="s">
        <v>48</v>
      </c>
      <c r="G2" t="s">
        <v>358</v>
      </c>
      <c r="H2" s="27">
        <v>45860</v>
      </c>
      <c r="I2" t="s">
        <v>2387</v>
      </c>
      <c r="J2" s="108" t="s">
        <v>2014</v>
      </c>
      <c r="K2" s="42"/>
    </row>
    <row r="3" spans="1:11" x14ac:dyDescent="0.25">
      <c r="A3" s="13" t="s">
        <v>2388</v>
      </c>
      <c r="B3" s="18" t="s">
        <v>428</v>
      </c>
      <c r="C3" s="18" t="s">
        <v>377</v>
      </c>
      <c r="D3" s="18" t="s">
        <v>363</v>
      </c>
      <c r="E3">
        <v>168</v>
      </c>
      <c r="F3" s="13" t="s">
        <v>48</v>
      </c>
      <c r="G3" t="s">
        <v>358</v>
      </c>
      <c r="H3" s="27">
        <v>45860</v>
      </c>
      <c r="I3" t="s">
        <v>2387</v>
      </c>
      <c r="J3" s="108" t="s">
        <v>2014</v>
      </c>
      <c r="K3" s="42"/>
    </row>
    <row r="4" spans="1:11" x14ac:dyDescent="0.25">
      <c r="A4" s="13" t="s">
        <v>2389</v>
      </c>
      <c r="B4" s="18" t="s">
        <v>428</v>
      </c>
      <c r="C4" s="18" t="s">
        <v>377</v>
      </c>
      <c r="D4" s="18" t="s">
        <v>363</v>
      </c>
      <c r="E4">
        <v>168</v>
      </c>
      <c r="F4" s="13" t="s">
        <v>48</v>
      </c>
      <c r="G4" t="s">
        <v>358</v>
      </c>
      <c r="H4" s="27">
        <v>45860</v>
      </c>
      <c r="I4" t="s">
        <v>2387</v>
      </c>
      <c r="J4" s="108" t="s">
        <v>2014</v>
      </c>
      <c r="K4" s="42"/>
    </row>
    <row r="5" spans="1:11" x14ac:dyDescent="0.25">
      <c r="A5" s="13" t="s">
        <v>2390</v>
      </c>
      <c r="B5" s="18" t="s">
        <v>428</v>
      </c>
      <c r="C5" s="18" t="s">
        <v>566</v>
      </c>
      <c r="D5" s="18" t="s">
        <v>363</v>
      </c>
      <c r="E5">
        <v>168</v>
      </c>
      <c r="F5" s="13" t="s">
        <v>48</v>
      </c>
      <c r="G5" t="s">
        <v>358</v>
      </c>
      <c r="H5" s="27">
        <v>45860</v>
      </c>
      <c r="I5" t="s">
        <v>2387</v>
      </c>
      <c r="J5" s="108" t="s">
        <v>2014</v>
      </c>
      <c r="K5" s="42"/>
    </row>
    <row r="6" spans="1:11" x14ac:dyDescent="0.25">
      <c r="A6" t="s">
        <v>2391</v>
      </c>
      <c r="B6" t="s">
        <v>428</v>
      </c>
      <c r="C6" t="s">
        <v>363</v>
      </c>
      <c r="D6" t="s">
        <v>584</v>
      </c>
      <c r="E6">
        <v>168</v>
      </c>
      <c r="F6" s="13" t="s">
        <v>382</v>
      </c>
      <c r="G6" t="s">
        <v>358</v>
      </c>
      <c r="H6" s="10">
        <v>45868</v>
      </c>
      <c r="I6" t="s">
        <v>2392</v>
      </c>
      <c r="J6" s="108" t="s">
        <v>2014</v>
      </c>
      <c r="K6" s="42"/>
    </row>
    <row r="7" spans="1:11" ht="15" customHeight="1" x14ac:dyDescent="0.25">
      <c r="A7" s="13" t="s">
        <v>2393</v>
      </c>
      <c r="B7" t="s">
        <v>428</v>
      </c>
      <c r="C7" t="s">
        <v>377</v>
      </c>
      <c r="D7" t="s">
        <v>584</v>
      </c>
      <c r="E7">
        <v>168</v>
      </c>
      <c r="F7" s="13" t="s">
        <v>382</v>
      </c>
      <c r="G7" t="s">
        <v>358</v>
      </c>
      <c r="H7" s="10">
        <v>45868</v>
      </c>
      <c r="I7" s="41" t="s">
        <v>2392</v>
      </c>
      <c r="J7" s="41" t="s">
        <v>2014</v>
      </c>
      <c r="K7" s="42"/>
    </row>
    <row r="8" spans="1:11" ht="15" customHeight="1" x14ac:dyDescent="0.25">
      <c r="A8" s="13" t="s">
        <v>2394</v>
      </c>
      <c r="B8" t="s">
        <v>428</v>
      </c>
      <c r="C8" t="s">
        <v>257</v>
      </c>
      <c r="D8" t="s">
        <v>657</v>
      </c>
      <c r="E8">
        <v>168</v>
      </c>
      <c r="F8" s="13" t="s">
        <v>382</v>
      </c>
      <c r="G8" t="s">
        <v>358</v>
      </c>
      <c r="H8" s="10">
        <v>45870</v>
      </c>
      <c r="I8" s="41" t="s">
        <v>2392</v>
      </c>
      <c r="J8" s="41" t="s">
        <v>2014</v>
      </c>
      <c r="K8" s="42"/>
    </row>
    <row r="9" spans="1:11" ht="15" customHeight="1" x14ac:dyDescent="0.25">
      <c r="A9" t="s">
        <v>2395</v>
      </c>
      <c r="B9" t="s">
        <v>428</v>
      </c>
      <c r="C9" t="s">
        <v>257</v>
      </c>
      <c r="D9" t="s">
        <v>657</v>
      </c>
      <c r="E9">
        <v>168</v>
      </c>
      <c r="F9" s="13" t="s">
        <v>382</v>
      </c>
      <c r="G9" t="s">
        <v>358</v>
      </c>
      <c r="H9" s="10">
        <v>45870</v>
      </c>
      <c r="I9" s="41" t="s">
        <v>2392</v>
      </c>
      <c r="J9" s="41" t="s">
        <v>2014</v>
      </c>
      <c r="K9" s="42"/>
    </row>
    <row r="10" spans="1:11" ht="15" customHeight="1" x14ac:dyDescent="0.25">
      <c r="A10" t="s">
        <v>2396</v>
      </c>
      <c r="B10" t="s">
        <v>428</v>
      </c>
      <c r="C10" t="s">
        <v>257</v>
      </c>
      <c r="D10" t="s">
        <v>657</v>
      </c>
      <c r="E10">
        <v>168</v>
      </c>
      <c r="F10" s="13" t="s">
        <v>382</v>
      </c>
      <c r="G10" t="s">
        <v>358</v>
      </c>
      <c r="H10" s="10">
        <v>45870</v>
      </c>
      <c r="I10" s="41" t="s">
        <v>2392</v>
      </c>
      <c r="J10" s="41" t="s">
        <v>2014</v>
      </c>
      <c r="K10" s="42"/>
    </row>
    <row r="11" spans="1:11" ht="15" customHeight="1" x14ac:dyDescent="0.25">
      <c r="A11" t="s">
        <v>2397</v>
      </c>
      <c r="B11" t="s">
        <v>428</v>
      </c>
      <c r="C11" t="s">
        <v>257</v>
      </c>
      <c r="D11" t="s">
        <v>657</v>
      </c>
      <c r="E11">
        <v>168</v>
      </c>
      <c r="F11" s="13" t="s">
        <v>382</v>
      </c>
      <c r="G11" t="s">
        <v>358</v>
      </c>
      <c r="H11" s="10">
        <v>45870</v>
      </c>
      <c r="I11" s="41" t="s">
        <v>2392</v>
      </c>
      <c r="J11" s="41" t="s">
        <v>2014</v>
      </c>
      <c r="K11" s="4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95819-1616-4815-AE96-F7A3A3261EB4}">
  <dimension ref="A1:K5"/>
  <sheetViews>
    <sheetView workbookViewId="0">
      <selection activeCell="K9" sqref="K9"/>
    </sheetView>
  </sheetViews>
  <sheetFormatPr defaultRowHeight="15" customHeight="1" x14ac:dyDescent="0.25"/>
  <cols>
    <col min="1" max="1" width="61.28515625" bestFit="1" customWidth="1"/>
    <col min="3" max="3" width="13.7109375" bestFit="1" customWidth="1"/>
    <col min="4" max="4" width="16.28515625" bestFit="1" customWidth="1"/>
    <col min="5" max="5" width="13" bestFit="1" customWidth="1"/>
    <col min="8" max="8" width="22.28515625" style="10" bestFit="1" customWidth="1"/>
    <col min="10" max="10" width="11.28515625" bestFit="1" customWidth="1"/>
    <col min="11" max="11" width="36.5703125" bestFit="1" customWidth="1"/>
  </cols>
  <sheetData>
    <row r="1" spans="1:11" x14ac:dyDescent="0.25">
      <c r="A1" s="4" t="s">
        <v>28</v>
      </c>
      <c r="B1" s="4" t="s">
        <v>29</v>
      </c>
      <c r="C1" s="4" t="s">
        <v>30</v>
      </c>
      <c r="D1" s="4" t="s">
        <v>31</v>
      </c>
      <c r="E1" s="4" t="s">
        <v>32</v>
      </c>
      <c r="F1" s="4" t="s">
        <v>33</v>
      </c>
      <c r="G1" s="9" t="s">
        <v>34</v>
      </c>
      <c r="H1" s="20" t="s">
        <v>35</v>
      </c>
      <c r="I1" s="4" t="s">
        <v>36</v>
      </c>
      <c r="J1" s="98" t="s">
        <v>37</v>
      </c>
      <c r="K1" s="12" t="s">
        <v>38</v>
      </c>
    </row>
    <row r="2" spans="1:11" x14ac:dyDescent="0.25">
      <c r="A2" t="s">
        <v>2398</v>
      </c>
      <c r="B2" t="s">
        <v>2399</v>
      </c>
      <c r="E2">
        <v>224</v>
      </c>
      <c r="G2" t="s">
        <v>52</v>
      </c>
      <c r="H2" s="10" t="s">
        <v>42</v>
      </c>
      <c r="J2" t="s">
        <v>2400</v>
      </c>
      <c r="K2" s="42" t="s">
        <v>2401</v>
      </c>
    </row>
    <row r="3" spans="1:11" x14ac:dyDescent="0.25">
      <c r="A3" t="s">
        <v>2402</v>
      </c>
      <c r="B3" t="s">
        <v>2399</v>
      </c>
      <c r="E3">
        <v>1003</v>
      </c>
      <c r="G3" t="s">
        <v>52</v>
      </c>
      <c r="H3" s="10">
        <v>45363</v>
      </c>
      <c r="K3" s="42" t="s">
        <v>2403</v>
      </c>
    </row>
    <row r="4" spans="1:11" ht="15" customHeight="1" x14ac:dyDescent="0.25">
      <c r="A4" t="s">
        <v>2404</v>
      </c>
      <c r="B4" t="s">
        <v>2399</v>
      </c>
      <c r="C4" t="s">
        <v>2399</v>
      </c>
      <c r="D4" t="s">
        <v>155</v>
      </c>
      <c r="E4">
        <v>180</v>
      </c>
      <c r="G4" t="s">
        <v>52</v>
      </c>
      <c r="H4" s="10">
        <v>45712</v>
      </c>
      <c r="J4" t="s">
        <v>2400</v>
      </c>
      <c r="K4" s="38" t="s">
        <v>2405</v>
      </c>
    </row>
    <row r="5" spans="1:11" ht="15" customHeight="1" x14ac:dyDescent="0.25">
      <c r="A5" t="s">
        <v>2406</v>
      </c>
      <c r="B5" t="s">
        <v>2399</v>
      </c>
      <c r="C5" t="s">
        <v>2399</v>
      </c>
      <c r="D5" t="s">
        <v>155</v>
      </c>
      <c r="E5">
        <v>180</v>
      </c>
      <c r="G5" t="s">
        <v>52</v>
      </c>
      <c r="H5" s="10">
        <v>45712</v>
      </c>
      <c r="K5" s="26" t="s">
        <v>2407</v>
      </c>
    </row>
  </sheetData>
  <hyperlinks>
    <hyperlink ref="K2" r:id="rId1" xr:uid="{6D275C97-188D-470B-968F-98FDD722582E}"/>
    <hyperlink ref="K3" r:id="rId2" xr:uid="{9A2DD7FD-89BF-42A3-B3B9-29CEA6FE945F}"/>
    <hyperlink ref="K4" r:id="rId3" xr:uid="{993538FE-3459-43F9-A0FB-1F1359932586}"/>
    <hyperlink ref="K5" r:id="rId4" xr:uid="{22C1DAD4-8611-4FE2-A504-561EA50FC7F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0D54-5970-4FFF-9F14-A1F11BD43B4F}">
  <dimension ref="A1:P109"/>
  <sheetViews>
    <sheetView topLeftCell="H88" workbookViewId="0">
      <selection activeCell="H88" sqref="H88"/>
    </sheetView>
  </sheetViews>
  <sheetFormatPr defaultRowHeight="15" customHeight="1" x14ac:dyDescent="0.25"/>
  <cols>
    <col min="1" max="1" width="91.5703125" bestFit="1" customWidth="1"/>
    <col min="3" max="3" width="13.7109375" bestFit="1" customWidth="1"/>
    <col min="4" max="4" width="16.28515625" bestFit="1" customWidth="1"/>
    <col min="5" max="5" width="15" customWidth="1"/>
    <col min="6" max="6" width="37.42578125" bestFit="1" customWidth="1"/>
    <col min="8" max="8" width="18.42578125" style="10" customWidth="1"/>
    <col min="9" max="9" width="53.5703125" bestFit="1" customWidth="1"/>
    <col min="10" max="10" width="27.7109375" customWidth="1"/>
    <col min="11" max="11" width="95.5703125" bestFit="1" customWidth="1"/>
    <col min="12" max="12" width="24.42578125" customWidth="1"/>
    <col min="13" max="13" width="16" customWidth="1"/>
    <col min="14" max="14" width="25.28515625" bestFit="1" customWidth="1"/>
    <col min="15" max="15" width="33.28515625" customWidth="1"/>
  </cols>
  <sheetData>
    <row r="1" spans="1:16" x14ac:dyDescent="0.25">
      <c r="A1" s="4" t="s">
        <v>28</v>
      </c>
      <c r="B1" s="4" t="s">
        <v>29</v>
      </c>
      <c r="C1" s="4" t="s">
        <v>30</v>
      </c>
      <c r="D1" s="4" t="s">
        <v>31</v>
      </c>
      <c r="E1" s="4" t="s">
        <v>32</v>
      </c>
      <c r="F1" s="4" t="s">
        <v>33</v>
      </c>
      <c r="G1" s="4" t="s">
        <v>34</v>
      </c>
      <c r="H1" s="20" t="s">
        <v>35</v>
      </c>
      <c r="I1" s="5" t="s">
        <v>36</v>
      </c>
      <c r="J1" s="99" t="s">
        <v>37</v>
      </c>
      <c r="K1" s="12" t="s">
        <v>38</v>
      </c>
      <c r="L1" s="3" t="s">
        <v>2408</v>
      </c>
      <c r="M1" s="3" t="s">
        <v>2409</v>
      </c>
      <c r="N1" s="3" t="s">
        <v>2410</v>
      </c>
      <c r="O1" s="3" t="s">
        <v>2411</v>
      </c>
    </row>
    <row r="2" spans="1:16" x14ac:dyDescent="0.25">
      <c r="A2" s="24" t="s">
        <v>2412</v>
      </c>
      <c r="B2" t="s">
        <v>74</v>
      </c>
      <c r="C2" t="s">
        <v>74</v>
      </c>
      <c r="D2" t="s">
        <v>74</v>
      </c>
      <c r="E2">
        <v>144</v>
      </c>
      <c r="F2" s="3"/>
      <c r="G2" s="3"/>
      <c r="H2" s="46" t="s">
        <v>2413</v>
      </c>
      <c r="I2" t="s">
        <v>2414</v>
      </c>
      <c r="K2" s="42" t="s">
        <v>2415</v>
      </c>
      <c r="L2" s="3"/>
      <c r="M2" s="24">
        <v>2</v>
      </c>
      <c r="N2" s="24">
        <v>100</v>
      </c>
      <c r="O2" s="1" t="s">
        <v>2416</v>
      </c>
      <c r="P2" s="24"/>
    </row>
    <row r="3" spans="1:16" x14ac:dyDescent="0.25">
      <c r="A3" s="24" t="s">
        <v>2417</v>
      </c>
      <c r="B3" t="s">
        <v>74</v>
      </c>
      <c r="C3" t="s">
        <v>74</v>
      </c>
      <c r="D3" t="s">
        <v>74</v>
      </c>
      <c r="E3">
        <v>72</v>
      </c>
      <c r="F3" s="3"/>
      <c r="G3" s="3"/>
      <c r="H3" s="46" t="s">
        <v>2418</v>
      </c>
      <c r="I3" s="47" t="s">
        <v>2419</v>
      </c>
      <c r="J3" s="47"/>
      <c r="K3" s="42" t="s">
        <v>2420</v>
      </c>
      <c r="L3" s="3"/>
      <c r="M3" s="24">
        <v>2</v>
      </c>
      <c r="N3" s="24">
        <v>75</v>
      </c>
      <c r="O3" t="s">
        <v>2416</v>
      </c>
      <c r="P3" s="24"/>
    </row>
    <row r="4" spans="1:16" x14ac:dyDescent="0.25">
      <c r="A4" s="24" t="s">
        <v>2421</v>
      </c>
      <c r="B4" t="s">
        <v>74</v>
      </c>
      <c r="C4" t="s">
        <v>74</v>
      </c>
      <c r="D4" t="s">
        <v>74</v>
      </c>
      <c r="E4">
        <v>72</v>
      </c>
      <c r="F4" s="3"/>
      <c r="G4" s="3"/>
      <c r="H4" s="46" t="s">
        <v>2418</v>
      </c>
      <c r="I4" s="47" t="s">
        <v>2422</v>
      </c>
      <c r="J4" s="47"/>
      <c r="K4" s="42" t="s">
        <v>2423</v>
      </c>
      <c r="L4" s="3"/>
      <c r="M4" s="24">
        <v>1</v>
      </c>
      <c r="N4" s="24">
        <v>75</v>
      </c>
      <c r="O4" s="1" t="s">
        <v>2416</v>
      </c>
      <c r="P4" s="24"/>
    </row>
    <row r="5" spans="1:16" x14ac:dyDescent="0.25">
      <c r="A5" s="24" t="s">
        <v>2424</v>
      </c>
      <c r="B5" t="s">
        <v>74</v>
      </c>
      <c r="C5" t="s">
        <v>74</v>
      </c>
      <c r="D5" t="s">
        <v>74</v>
      </c>
      <c r="E5">
        <v>384</v>
      </c>
      <c r="F5" s="3"/>
      <c r="G5" s="3"/>
      <c r="H5" s="46">
        <v>44929</v>
      </c>
      <c r="I5" s="47" t="s">
        <v>2425</v>
      </c>
      <c r="J5" s="47"/>
      <c r="K5" s="42" t="s">
        <v>2426</v>
      </c>
      <c r="L5" s="3"/>
      <c r="M5" s="24">
        <v>2</v>
      </c>
      <c r="N5" s="24">
        <v>75</v>
      </c>
      <c r="O5" t="s">
        <v>2416</v>
      </c>
      <c r="P5" s="24"/>
    </row>
    <row r="6" spans="1:16" x14ac:dyDescent="0.25">
      <c r="A6" s="24" t="s">
        <v>2427</v>
      </c>
      <c r="B6" t="s">
        <v>74</v>
      </c>
      <c r="C6" t="s">
        <v>74</v>
      </c>
      <c r="D6" t="s">
        <v>74</v>
      </c>
      <c r="E6">
        <v>48</v>
      </c>
      <c r="F6" s="3"/>
      <c r="G6" s="3"/>
      <c r="H6" s="46" t="s">
        <v>2418</v>
      </c>
      <c r="I6" s="47" t="s">
        <v>2428</v>
      </c>
      <c r="J6" s="47"/>
      <c r="K6" s="42" t="s">
        <v>2429</v>
      </c>
      <c r="L6" s="3"/>
      <c r="M6" s="24">
        <v>3</v>
      </c>
      <c r="N6" s="24">
        <v>75</v>
      </c>
      <c r="O6" t="s">
        <v>2416</v>
      </c>
      <c r="P6" s="24"/>
    </row>
    <row r="7" spans="1:16" x14ac:dyDescent="0.25">
      <c r="A7" s="24" t="s">
        <v>2430</v>
      </c>
      <c r="B7" t="s">
        <v>74</v>
      </c>
      <c r="C7" t="s">
        <v>74</v>
      </c>
      <c r="D7" t="s">
        <v>74</v>
      </c>
      <c r="E7">
        <v>120</v>
      </c>
      <c r="F7" s="3"/>
      <c r="G7" s="3"/>
      <c r="H7" s="46" t="s">
        <v>2431</v>
      </c>
      <c r="I7" s="47" t="s">
        <v>2432</v>
      </c>
      <c r="J7" s="47"/>
      <c r="K7" s="42" t="s">
        <v>2433</v>
      </c>
      <c r="L7" s="3"/>
      <c r="M7" s="24">
        <v>3</v>
      </c>
      <c r="N7" s="24">
        <v>75</v>
      </c>
      <c r="O7" t="s">
        <v>2416</v>
      </c>
      <c r="P7" s="24"/>
    </row>
    <row r="8" spans="1:16" x14ac:dyDescent="0.25">
      <c r="A8" s="24" t="s">
        <v>2434</v>
      </c>
      <c r="B8" t="s">
        <v>74</v>
      </c>
      <c r="C8" t="s">
        <v>74</v>
      </c>
      <c r="D8" t="s">
        <v>74</v>
      </c>
      <c r="E8">
        <v>24</v>
      </c>
      <c r="F8" s="3"/>
      <c r="G8" s="3"/>
      <c r="H8" s="46"/>
      <c r="I8" s="47" t="s">
        <v>2428</v>
      </c>
      <c r="J8" s="47"/>
      <c r="K8" s="42" t="s">
        <v>2435</v>
      </c>
      <c r="L8" s="3"/>
      <c r="M8" s="24">
        <v>2</v>
      </c>
      <c r="N8" s="24">
        <v>75</v>
      </c>
      <c r="O8" t="s">
        <v>2416</v>
      </c>
      <c r="P8" s="24"/>
    </row>
    <row r="9" spans="1:16" x14ac:dyDescent="0.25">
      <c r="A9" s="24" t="s">
        <v>2436</v>
      </c>
      <c r="B9" t="s">
        <v>74</v>
      </c>
      <c r="C9" t="s">
        <v>74</v>
      </c>
      <c r="D9" t="s">
        <v>74</v>
      </c>
      <c r="E9">
        <v>168</v>
      </c>
      <c r="F9" s="3"/>
      <c r="G9" s="3"/>
      <c r="H9" s="46" t="s">
        <v>2437</v>
      </c>
      <c r="I9" s="47" t="s">
        <v>2438</v>
      </c>
      <c r="J9" s="47"/>
      <c r="K9" s="42" t="s">
        <v>2439</v>
      </c>
      <c r="L9" s="3"/>
      <c r="M9" s="24">
        <v>2</v>
      </c>
      <c r="N9" s="24">
        <v>100</v>
      </c>
      <c r="O9" t="s">
        <v>2416</v>
      </c>
      <c r="P9" s="24"/>
    </row>
    <row r="10" spans="1:16" x14ac:dyDescent="0.25">
      <c r="A10" s="24" t="s">
        <v>2440</v>
      </c>
      <c r="B10" t="s">
        <v>74</v>
      </c>
      <c r="C10" t="s">
        <v>74</v>
      </c>
      <c r="D10" t="s">
        <v>74</v>
      </c>
      <c r="E10">
        <v>84</v>
      </c>
      <c r="F10" s="3"/>
      <c r="G10" s="3"/>
      <c r="H10" s="46" t="s">
        <v>2431</v>
      </c>
      <c r="I10" s="47"/>
      <c r="J10" s="47"/>
      <c r="K10" s="42" t="s">
        <v>2441</v>
      </c>
      <c r="L10" s="3"/>
      <c r="M10" s="24">
        <v>2</v>
      </c>
      <c r="N10" s="24">
        <v>75</v>
      </c>
      <c r="O10" t="s">
        <v>2442</v>
      </c>
      <c r="P10" s="24"/>
    </row>
    <row r="11" spans="1:16" x14ac:dyDescent="0.25">
      <c r="A11" s="24" t="s">
        <v>2443</v>
      </c>
      <c r="B11" t="s">
        <v>74</v>
      </c>
      <c r="C11" t="s">
        <v>74</v>
      </c>
      <c r="D11" t="s">
        <v>74</v>
      </c>
      <c r="E11">
        <v>240</v>
      </c>
      <c r="F11" s="3"/>
      <c r="G11" s="3"/>
      <c r="H11" s="46" t="s">
        <v>2444</v>
      </c>
      <c r="I11" s="47" t="s">
        <v>2445</v>
      </c>
      <c r="J11" s="47"/>
      <c r="K11" s="42" t="s">
        <v>2446</v>
      </c>
      <c r="L11" s="3"/>
      <c r="M11" s="24">
        <v>2</v>
      </c>
      <c r="N11" s="24">
        <v>75</v>
      </c>
      <c r="O11" t="s">
        <v>52</v>
      </c>
      <c r="P11" s="24"/>
    </row>
    <row r="12" spans="1:16" x14ac:dyDescent="0.25">
      <c r="A12" s="24" t="s">
        <v>2447</v>
      </c>
      <c r="B12" t="s">
        <v>74</v>
      </c>
      <c r="C12" t="s">
        <v>74</v>
      </c>
      <c r="D12" t="s">
        <v>74</v>
      </c>
      <c r="E12">
        <v>336</v>
      </c>
      <c r="F12" s="3"/>
      <c r="G12" s="3"/>
      <c r="H12" s="46" t="s">
        <v>2448</v>
      </c>
      <c r="I12" s="47"/>
      <c r="J12" s="47"/>
      <c r="K12" s="42" t="s">
        <v>2449</v>
      </c>
      <c r="L12" s="3"/>
      <c r="M12" s="24">
        <v>2</v>
      </c>
      <c r="N12" s="24">
        <v>65</v>
      </c>
      <c r="O12" t="s">
        <v>52</v>
      </c>
      <c r="P12" s="24"/>
    </row>
    <row r="13" spans="1:16" x14ac:dyDescent="0.25">
      <c r="A13" s="24" t="s">
        <v>2450</v>
      </c>
      <c r="B13" t="s">
        <v>74</v>
      </c>
      <c r="C13" t="s">
        <v>74</v>
      </c>
      <c r="D13" t="s">
        <v>74</v>
      </c>
      <c r="E13">
        <v>288</v>
      </c>
      <c r="F13" s="3"/>
      <c r="G13" s="3"/>
      <c r="H13" s="46" t="s">
        <v>2451</v>
      </c>
      <c r="I13" t="s">
        <v>2452</v>
      </c>
      <c r="K13" s="42" t="s">
        <v>2453</v>
      </c>
      <c r="L13" s="3"/>
      <c r="M13" s="24">
        <v>2</v>
      </c>
      <c r="N13" s="24">
        <v>75</v>
      </c>
      <c r="O13" t="s">
        <v>2442</v>
      </c>
      <c r="P13" s="24"/>
    </row>
    <row r="14" spans="1:16" x14ac:dyDescent="0.25">
      <c r="A14" s="24" t="s">
        <v>2454</v>
      </c>
      <c r="B14" t="s">
        <v>74</v>
      </c>
      <c r="C14" t="s">
        <v>74</v>
      </c>
      <c r="D14" t="s">
        <v>74</v>
      </c>
      <c r="E14">
        <v>288</v>
      </c>
      <c r="F14" s="3"/>
      <c r="G14" s="3"/>
      <c r="H14" s="46"/>
      <c r="I14" s="47"/>
      <c r="J14" s="47"/>
      <c r="K14" s="3"/>
      <c r="L14" s="3"/>
      <c r="M14" s="24">
        <v>2</v>
      </c>
      <c r="N14" s="24">
        <v>100</v>
      </c>
      <c r="O14" t="s">
        <v>52</v>
      </c>
      <c r="P14" s="24"/>
    </row>
    <row r="15" spans="1:16" x14ac:dyDescent="0.25">
      <c r="A15" s="24" t="s">
        <v>2455</v>
      </c>
      <c r="B15" t="s">
        <v>83</v>
      </c>
      <c r="C15" t="s">
        <v>83</v>
      </c>
      <c r="D15" t="s">
        <v>83</v>
      </c>
      <c r="E15">
        <v>192</v>
      </c>
      <c r="F15" s="3"/>
      <c r="G15" s="3"/>
      <c r="H15" s="46" t="s">
        <v>2456</v>
      </c>
      <c r="I15" s="47" t="s">
        <v>2457</v>
      </c>
      <c r="J15" s="47"/>
      <c r="K15" s="42" t="s">
        <v>2458</v>
      </c>
      <c r="L15" s="3"/>
      <c r="M15" s="24">
        <v>2</v>
      </c>
      <c r="N15" s="24">
        <v>87</v>
      </c>
      <c r="O15" t="s">
        <v>52</v>
      </c>
      <c r="P15" s="24"/>
    </row>
    <row r="16" spans="1:16" x14ac:dyDescent="0.25">
      <c r="A16" s="24" t="s">
        <v>2459</v>
      </c>
      <c r="B16" t="s">
        <v>74</v>
      </c>
      <c r="C16" t="s">
        <v>74</v>
      </c>
      <c r="D16" t="s">
        <v>74</v>
      </c>
      <c r="E16">
        <v>336</v>
      </c>
      <c r="F16" s="3"/>
      <c r="G16" s="3"/>
      <c r="H16" s="46" t="s">
        <v>2460</v>
      </c>
      <c r="I16" s="47" t="s">
        <v>2461</v>
      </c>
      <c r="J16" s="47"/>
      <c r="K16" s="42" t="s">
        <v>2462</v>
      </c>
      <c r="L16" s="3"/>
      <c r="M16" s="24">
        <v>2</v>
      </c>
      <c r="N16" s="24">
        <v>87</v>
      </c>
      <c r="O16" t="s">
        <v>52</v>
      </c>
      <c r="P16" s="24"/>
    </row>
    <row r="17" spans="1:16" x14ac:dyDescent="0.25">
      <c r="A17" s="24" t="s">
        <v>2463</v>
      </c>
      <c r="B17" t="s">
        <v>74</v>
      </c>
      <c r="C17" t="s">
        <v>74</v>
      </c>
      <c r="D17" t="s">
        <v>74</v>
      </c>
      <c r="E17">
        <v>240</v>
      </c>
      <c r="F17" s="3"/>
      <c r="G17" s="3"/>
      <c r="H17" s="46" t="s">
        <v>2464</v>
      </c>
      <c r="I17" s="47" t="s">
        <v>2465</v>
      </c>
      <c r="J17" s="47"/>
      <c r="K17" s="42" t="s">
        <v>2466</v>
      </c>
      <c r="L17" s="3"/>
      <c r="M17" s="24">
        <v>2</v>
      </c>
      <c r="N17" s="24">
        <v>87</v>
      </c>
      <c r="O17" t="s">
        <v>2416</v>
      </c>
      <c r="P17" s="24"/>
    </row>
    <row r="18" spans="1:16" x14ac:dyDescent="0.25">
      <c r="A18" s="24" t="s">
        <v>2467</v>
      </c>
      <c r="B18" t="s">
        <v>74</v>
      </c>
      <c r="C18" t="s">
        <v>74</v>
      </c>
      <c r="D18" t="s">
        <v>74</v>
      </c>
      <c r="E18">
        <v>168</v>
      </c>
      <c r="F18" s="3"/>
      <c r="G18" s="3"/>
      <c r="H18" s="46" t="s">
        <v>2456</v>
      </c>
      <c r="I18" s="47" t="s">
        <v>2468</v>
      </c>
      <c r="J18" s="47"/>
      <c r="K18" s="42" t="s">
        <v>2469</v>
      </c>
      <c r="L18" s="3"/>
      <c r="M18" s="24">
        <v>2</v>
      </c>
      <c r="N18" s="24">
        <v>87</v>
      </c>
      <c r="O18" t="s">
        <v>52</v>
      </c>
      <c r="P18" s="24"/>
    </row>
    <row r="19" spans="1:16" x14ac:dyDescent="0.25">
      <c r="A19" s="24" t="s">
        <v>2470</v>
      </c>
      <c r="B19" t="s">
        <v>74</v>
      </c>
      <c r="C19" t="s">
        <v>74</v>
      </c>
      <c r="D19" t="s">
        <v>74</v>
      </c>
      <c r="E19">
        <v>168</v>
      </c>
      <c r="F19" s="3"/>
      <c r="G19" s="3"/>
      <c r="H19" s="46"/>
      <c r="I19" s="47"/>
      <c r="J19" s="47"/>
      <c r="K19" s="3"/>
      <c r="L19" s="3"/>
      <c r="M19" s="24">
        <v>2</v>
      </c>
      <c r="N19" s="24">
        <v>100</v>
      </c>
      <c r="O19" t="s">
        <v>52</v>
      </c>
      <c r="P19" s="24"/>
    </row>
    <row r="20" spans="1:16" x14ac:dyDescent="0.25">
      <c r="A20" s="24" t="s">
        <v>2471</v>
      </c>
      <c r="B20" t="s">
        <v>74</v>
      </c>
      <c r="C20" t="s">
        <v>74</v>
      </c>
      <c r="D20" t="s">
        <v>74</v>
      </c>
      <c r="E20">
        <v>480</v>
      </c>
      <c r="F20" s="3"/>
      <c r="G20" s="3"/>
      <c r="H20" s="46">
        <v>45174</v>
      </c>
      <c r="I20" s="47" t="s">
        <v>2472</v>
      </c>
      <c r="J20" s="47"/>
      <c r="K20" s="42" t="s">
        <v>2473</v>
      </c>
      <c r="L20" s="3"/>
      <c r="M20" s="24">
        <v>2</v>
      </c>
      <c r="N20" s="24">
        <v>65</v>
      </c>
      <c r="O20" t="s">
        <v>52</v>
      </c>
      <c r="P20" s="24"/>
    </row>
    <row r="21" spans="1:16" x14ac:dyDescent="0.25">
      <c r="A21" s="24" t="s">
        <v>2474</v>
      </c>
      <c r="B21" t="s">
        <v>74</v>
      </c>
      <c r="C21" t="s">
        <v>74</v>
      </c>
      <c r="D21" t="s">
        <v>74</v>
      </c>
      <c r="E21">
        <v>168</v>
      </c>
      <c r="F21" s="3"/>
      <c r="G21" s="3"/>
      <c r="H21" s="46"/>
      <c r="I21" s="47"/>
      <c r="J21" s="47"/>
      <c r="K21" s="3"/>
      <c r="L21" s="3"/>
      <c r="M21" s="24">
        <v>2</v>
      </c>
      <c r="N21" s="24">
        <v>65</v>
      </c>
      <c r="O21" t="s">
        <v>52</v>
      </c>
      <c r="P21" s="24"/>
    </row>
    <row r="22" spans="1:16" x14ac:dyDescent="0.25">
      <c r="A22" s="24" t="s">
        <v>2475</v>
      </c>
      <c r="B22" t="s">
        <v>74</v>
      </c>
      <c r="C22" t="s">
        <v>74</v>
      </c>
      <c r="D22" t="s">
        <v>74</v>
      </c>
      <c r="E22">
        <v>168</v>
      </c>
      <c r="F22" s="3"/>
      <c r="G22" s="3"/>
      <c r="H22" s="46" t="s">
        <v>2476</v>
      </c>
      <c r="I22" s="47" t="s">
        <v>2477</v>
      </c>
      <c r="J22" s="47"/>
      <c r="K22" s="42" t="s">
        <v>2478</v>
      </c>
      <c r="L22" s="3"/>
      <c r="M22" s="24">
        <v>2</v>
      </c>
      <c r="N22" s="24">
        <v>75</v>
      </c>
      <c r="O22" t="s">
        <v>52</v>
      </c>
      <c r="P22" s="24"/>
    </row>
    <row r="23" spans="1:16" x14ac:dyDescent="0.25">
      <c r="A23" s="24" t="s">
        <v>2479</v>
      </c>
      <c r="B23" t="s">
        <v>83</v>
      </c>
      <c r="C23" t="s">
        <v>83</v>
      </c>
      <c r="D23" t="s">
        <v>83</v>
      </c>
      <c r="E23">
        <v>420</v>
      </c>
      <c r="F23" s="3"/>
      <c r="G23" s="3"/>
      <c r="H23" s="46">
        <v>44931</v>
      </c>
      <c r="I23" s="47" t="s">
        <v>2480</v>
      </c>
      <c r="J23" t="s">
        <v>2016</v>
      </c>
      <c r="K23" s="42" t="s">
        <v>2481</v>
      </c>
      <c r="L23" s="3"/>
      <c r="M23" s="24">
        <v>2</v>
      </c>
      <c r="N23" s="24">
        <v>75</v>
      </c>
      <c r="O23" t="s">
        <v>52</v>
      </c>
      <c r="P23" s="24"/>
    </row>
    <row r="24" spans="1:16" x14ac:dyDescent="0.25">
      <c r="A24" s="24" t="s">
        <v>2482</v>
      </c>
      <c r="B24" t="s">
        <v>83</v>
      </c>
      <c r="C24" t="s">
        <v>83</v>
      </c>
      <c r="D24" t="s">
        <v>83</v>
      </c>
      <c r="E24">
        <v>420</v>
      </c>
      <c r="F24" s="3"/>
      <c r="G24" s="3"/>
      <c r="H24" s="46">
        <v>44931</v>
      </c>
      <c r="I24" s="47" t="s">
        <v>2477</v>
      </c>
      <c r="J24" s="47"/>
      <c r="K24" s="42" t="s">
        <v>2483</v>
      </c>
      <c r="L24" s="3"/>
      <c r="M24" s="24">
        <v>2</v>
      </c>
      <c r="N24" s="24">
        <v>75</v>
      </c>
      <c r="O24" t="s">
        <v>52</v>
      </c>
      <c r="P24" s="24"/>
    </row>
    <row r="25" spans="1:16" x14ac:dyDescent="0.25">
      <c r="A25" s="24" t="s">
        <v>2484</v>
      </c>
      <c r="B25" t="s">
        <v>83</v>
      </c>
      <c r="C25" t="s">
        <v>83</v>
      </c>
      <c r="D25" t="s">
        <v>83</v>
      </c>
      <c r="E25">
        <v>480</v>
      </c>
      <c r="F25" s="3"/>
      <c r="G25" s="3"/>
      <c r="H25" s="46">
        <v>45174</v>
      </c>
      <c r="I25" s="47" t="s">
        <v>2485</v>
      </c>
      <c r="J25" s="47"/>
      <c r="K25" s="42" t="s">
        <v>2486</v>
      </c>
      <c r="L25" s="3"/>
      <c r="M25" s="24">
        <v>2</v>
      </c>
      <c r="N25" s="24">
        <v>75</v>
      </c>
      <c r="O25" t="s">
        <v>52</v>
      </c>
      <c r="P25" s="24"/>
    </row>
    <row r="26" spans="1:16" x14ac:dyDescent="0.25">
      <c r="A26" s="24" t="s">
        <v>2487</v>
      </c>
      <c r="B26" t="s">
        <v>83</v>
      </c>
      <c r="C26" t="s">
        <v>83</v>
      </c>
      <c r="D26" t="s">
        <v>83</v>
      </c>
      <c r="E26">
        <v>336</v>
      </c>
      <c r="F26" s="3"/>
      <c r="G26" s="3"/>
      <c r="H26" s="46" t="s">
        <v>2488</v>
      </c>
      <c r="I26" s="47" t="s">
        <v>2489</v>
      </c>
      <c r="J26" s="47"/>
      <c r="K26" s="42" t="s">
        <v>2490</v>
      </c>
      <c r="L26" s="3"/>
      <c r="M26" s="24">
        <v>17</v>
      </c>
      <c r="N26" s="24">
        <v>75</v>
      </c>
      <c r="O26" t="s">
        <v>52</v>
      </c>
      <c r="P26" s="24"/>
    </row>
    <row r="27" spans="1:16" x14ac:dyDescent="0.25">
      <c r="A27" s="24" t="s">
        <v>2491</v>
      </c>
      <c r="B27" t="s">
        <v>83</v>
      </c>
      <c r="C27" t="s">
        <v>83</v>
      </c>
      <c r="D27" t="s">
        <v>83</v>
      </c>
      <c r="E27">
        <v>480</v>
      </c>
      <c r="F27" s="3"/>
      <c r="G27" s="3"/>
      <c r="H27" s="46" t="s">
        <v>2492</v>
      </c>
      <c r="I27" s="47"/>
      <c r="J27" s="47"/>
      <c r="K27" s="42" t="s">
        <v>2493</v>
      </c>
      <c r="L27" s="3"/>
      <c r="M27" s="24">
        <v>4</v>
      </c>
      <c r="N27" s="24">
        <v>75</v>
      </c>
      <c r="O27" t="s">
        <v>52</v>
      </c>
      <c r="P27" s="24"/>
    </row>
    <row r="28" spans="1:16" x14ac:dyDescent="0.25">
      <c r="A28" s="24" t="s">
        <v>2494</v>
      </c>
      <c r="B28" t="s">
        <v>83</v>
      </c>
      <c r="C28" t="s">
        <v>83</v>
      </c>
      <c r="D28" t="s">
        <v>83</v>
      </c>
      <c r="E28">
        <v>480</v>
      </c>
      <c r="F28" s="3"/>
      <c r="G28" s="3"/>
      <c r="H28" s="46" t="s">
        <v>2492</v>
      </c>
      <c r="I28" s="47"/>
      <c r="J28" s="47"/>
      <c r="K28" s="42" t="s">
        <v>2495</v>
      </c>
      <c r="L28" s="3"/>
      <c r="M28" s="24">
        <v>6</v>
      </c>
      <c r="N28" s="24">
        <v>75</v>
      </c>
      <c r="O28" t="s">
        <v>52</v>
      </c>
      <c r="P28" s="24"/>
    </row>
    <row r="29" spans="1:16" x14ac:dyDescent="0.25">
      <c r="A29" s="24" t="s">
        <v>2496</v>
      </c>
      <c r="B29" t="s">
        <v>83</v>
      </c>
      <c r="C29" t="s">
        <v>83</v>
      </c>
      <c r="D29" t="s">
        <v>83</v>
      </c>
      <c r="E29">
        <v>72</v>
      </c>
      <c r="F29" s="3"/>
      <c r="G29" s="3"/>
      <c r="H29" s="46" t="s">
        <v>2418</v>
      </c>
      <c r="I29" s="47"/>
      <c r="J29" s="47"/>
      <c r="K29" s="42" t="s">
        <v>2497</v>
      </c>
      <c r="L29" s="3"/>
      <c r="M29" s="24">
        <v>6</v>
      </c>
      <c r="N29" s="24">
        <v>75</v>
      </c>
      <c r="O29" t="s">
        <v>2416</v>
      </c>
      <c r="P29" s="24"/>
    </row>
    <row r="30" spans="1:16" x14ac:dyDescent="0.25">
      <c r="A30" s="24" t="s">
        <v>2498</v>
      </c>
      <c r="B30" t="s">
        <v>83</v>
      </c>
      <c r="C30" t="s">
        <v>83</v>
      </c>
      <c r="D30" t="s">
        <v>83</v>
      </c>
      <c r="E30">
        <v>312</v>
      </c>
      <c r="F30" s="3"/>
      <c r="G30" s="3"/>
      <c r="H30" s="46" t="s">
        <v>2499</v>
      </c>
      <c r="I30" s="47" t="s">
        <v>2500</v>
      </c>
      <c r="J30" s="47"/>
      <c r="K30" s="42" t="s">
        <v>2501</v>
      </c>
      <c r="L30" s="3"/>
      <c r="M30" s="24">
        <v>8</v>
      </c>
      <c r="N30" s="24">
        <v>75</v>
      </c>
      <c r="O30" t="s">
        <v>52</v>
      </c>
      <c r="P30" s="24"/>
    </row>
    <row r="31" spans="1:16" x14ac:dyDescent="0.25">
      <c r="A31" s="24" t="s">
        <v>2502</v>
      </c>
      <c r="B31" t="s">
        <v>74</v>
      </c>
      <c r="C31" t="s">
        <v>74</v>
      </c>
      <c r="D31" t="s">
        <v>74</v>
      </c>
      <c r="E31">
        <v>480</v>
      </c>
      <c r="F31" s="3"/>
      <c r="G31" s="3"/>
      <c r="H31" s="46" t="s">
        <v>2492</v>
      </c>
      <c r="I31" s="47" t="s">
        <v>2503</v>
      </c>
      <c r="J31" s="47"/>
      <c r="K31" s="42" t="s">
        <v>2504</v>
      </c>
      <c r="L31" s="3"/>
      <c r="M31" s="24">
        <v>2</v>
      </c>
      <c r="N31" s="24">
        <v>75</v>
      </c>
      <c r="O31" t="s">
        <v>52</v>
      </c>
      <c r="P31" s="24"/>
    </row>
    <row r="32" spans="1:16" x14ac:dyDescent="0.25">
      <c r="A32" s="24" t="s">
        <v>2505</v>
      </c>
      <c r="B32" t="s">
        <v>74</v>
      </c>
      <c r="C32" t="s">
        <v>74</v>
      </c>
      <c r="D32" t="s">
        <v>74</v>
      </c>
      <c r="E32">
        <v>336</v>
      </c>
      <c r="F32" s="3"/>
      <c r="G32" s="3"/>
      <c r="H32" s="46" t="s">
        <v>2506</v>
      </c>
      <c r="I32" s="47" t="s">
        <v>2485</v>
      </c>
      <c r="J32" s="47"/>
      <c r="K32" s="42" t="s">
        <v>2507</v>
      </c>
      <c r="L32" s="3"/>
      <c r="M32" s="24">
        <v>17</v>
      </c>
      <c r="N32" s="24">
        <v>75</v>
      </c>
      <c r="O32" t="s">
        <v>52</v>
      </c>
      <c r="P32" s="24"/>
    </row>
    <row r="33" spans="1:16" x14ac:dyDescent="0.25">
      <c r="A33" s="24" t="s">
        <v>2508</v>
      </c>
      <c r="B33" t="s">
        <v>74</v>
      </c>
      <c r="C33" t="s">
        <v>74</v>
      </c>
      <c r="D33" t="s">
        <v>74</v>
      </c>
      <c r="E33">
        <v>336</v>
      </c>
      <c r="F33" s="3"/>
      <c r="G33" s="3"/>
      <c r="H33" s="46" t="s">
        <v>2506</v>
      </c>
      <c r="I33" s="47" t="s">
        <v>2509</v>
      </c>
      <c r="J33" s="47"/>
      <c r="K33" s="42" t="s">
        <v>2510</v>
      </c>
      <c r="L33" s="3"/>
      <c r="M33" s="24">
        <v>8</v>
      </c>
      <c r="N33" s="24">
        <v>75</v>
      </c>
      <c r="O33" t="s">
        <v>52</v>
      </c>
      <c r="P33" s="24"/>
    </row>
    <row r="34" spans="1:16" x14ac:dyDescent="0.25">
      <c r="A34" s="24" t="s">
        <v>2511</v>
      </c>
      <c r="B34" t="s">
        <v>74</v>
      </c>
      <c r="C34" t="s">
        <v>83</v>
      </c>
      <c r="D34" t="s">
        <v>83</v>
      </c>
      <c r="E34">
        <v>336</v>
      </c>
      <c r="F34" s="3"/>
      <c r="G34" s="3"/>
      <c r="H34" s="46" t="s">
        <v>2506</v>
      </c>
      <c r="I34" s="47" t="s">
        <v>2512</v>
      </c>
      <c r="J34" s="47"/>
      <c r="K34" s="42" t="s">
        <v>2513</v>
      </c>
      <c r="L34" s="3"/>
      <c r="M34" s="24">
        <v>17</v>
      </c>
      <c r="N34" s="24">
        <v>75</v>
      </c>
      <c r="O34" t="s">
        <v>52</v>
      </c>
      <c r="P34" s="24"/>
    </row>
    <row r="35" spans="1:16" x14ac:dyDescent="0.25">
      <c r="A35" s="24" t="s">
        <v>2498</v>
      </c>
      <c r="B35" t="s">
        <v>74</v>
      </c>
      <c r="C35" t="s">
        <v>74</v>
      </c>
      <c r="D35" t="s">
        <v>74</v>
      </c>
      <c r="E35">
        <v>96</v>
      </c>
      <c r="F35" s="3"/>
      <c r="G35" s="3"/>
      <c r="H35" s="46"/>
      <c r="I35" s="47" t="s">
        <v>2512</v>
      </c>
      <c r="J35" s="47"/>
      <c r="K35" s="42" t="s">
        <v>2514</v>
      </c>
      <c r="L35" s="3"/>
      <c r="M35" s="24">
        <v>8</v>
      </c>
      <c r="N35" s="24">
        <v>79</v>
      </c>
      <c r="O35" t="s">
        <v>52</v>
      </c>
      <c r="P35" s="24"/>
    </row>
    <row r="36" spans="1:16" x14ac:dyDescent="0.25">
      <c r="A36" s="24" t="s">
        <v>2515</v>
      </c>
      <c r="B36" t="s">
        <v>83</v>
      </c>
      <c r="C36" t="s">
        <v>83</v>
      </c>
      <c r="D36" t="s">
        <v>83</v>
      </c>
      <c r="E36">
        <v>168</v>
      </c>
      <c r="F36" s="3"/>
      <c r="G36" s="3"/>
      <c r="H36" s="46">
        <v>45116</v>
      </c>
      <c r="I36" s="47" t="s">
        <v>2512</v>
      </c>
      <c r="J36" s="47"/>
      <c r="K36" s="42" t="s">
        <v>2516</v>
      </c>
      <c r="L36" s="3"/>
      <c r="M36" s="24" t="s">
        <v>2070</v>
      </c>
      <c r="N36" s="24" t="s">
        <v>2070</v>
      </c>
      <c r="O36" t="s">
        <v>52</v>
      </c>
      <c r="P36" s="24"/>
    </row>
    <row r="37" spans="1:16" x14ac:dyDescent="0.25">
      <c r="A37" s="24" t="s">
        <v>2517</v>
      </c>
      <c r="B37" t="s">
        <v>74</v>
      </c>
      <c r="C37" t="s">
        <v>83</v>
      </c>
      <c r="D37" t="s">
        <v>83</v>
      </c>
      <c r="E37">
        <v>288</v>
      </c>
      <c r="F37" s="3"/>
      <c r="G37" s="3"/>
      <c r="H37" s="46">
        <v>45445</v>
      </c>
      <c r="I37" s="47" t="s">
        <v>2512</v>
      </c>
      <c r="J37" s="47"/>
      <c r="K37" s="42" t="s">
        <v>2518</v>
      </c>
      <c r="L37" s="3"/>
      <c r="M37" s="24">
        <v>2</v>
      </c>
      <c r="N37" s="24">
        <v>50</v>
      </c>
      <c r="O37" t="s">
        <v>52</v>
      </c>
      <c r="P37" s="24"/>
    </row>
    <row r="38" spans="1:16" x14ac:dyDescent="0.25">
      <c r="A38" s="24" t="s">
        <v>2519</v>
      </c>
      <c r="B38" t="s">
        <v>74</v>
      </c>
      <c r="C38" t="s">
        <v>83</v>
      </c>
      <c r="D38" t="s">
        <v>83</v>
      </c>
      <c r="E38">
        <v>288</v>
      </c>
      <c r="F38" s="3"/>
      <c r="G38" s="3"/>
      <c r="H38" s="46">
        <v>45445</v>
      </c>
      <c r="I38" s="47" t="s">
        <v>2512</v>
      </c>
      <c r="J38" s="47"/>
      <c r="K38" s="42" t="s">
        <v>2520</v>
      </c>
      <c r="L38" s="3"/>
      <c r="M38" s="24">
        <v>2</v>
      </c>
      <c r="N38" s="24">
        <v>75</v>
      </c>
      <c r="O38" t="s">
        <v>52</v>
      </c>
      <c r="P38" s="24"/>
    </row>
    <row r="39" spans="1:16" x14ac:dyDescent="0.25">
      <c r="A39" s="24" t="s">
        <v>2521</v>
      </c>
      <c r="B39" t="s">
        <v>74</v>
      </c>
      <c r="C39" t="s">
        <v>83</v>
      </c>
      <c r="D39" t="s">
        <v>83</v>
      </c>
      <c r="E39">
        <v>288</v>
      </c>
      <c r="F39" s="3"/>
      <c r="G39" s="3"/>
      <c r="H39" s="46">
        <v>45445</v>
      </c>
      <c r="I39" s="47" t="s">
        <v>2512</v>
      </c>
      <c r="J39" s="47"/>
      <c r="K39" s="42" t="s">
        <v>2522</v>
      </c>
      <c r="L39" s="3"/>
      <c r="M39" s="24">
        <v>2</v>
      </c>
      <c r="N39" s="24">
        <v>75</v>
      </c>
      <c r="O39" t="s">
        <v>52</v>
      </c>
      <c r="P39" s="24"/>
    </row>
    <row r="40" spans="1:16" x14ac:dyDescent="0.25">
      <c r="A40" s="24" t="s">
        <v>2523</v>
      </c>
      <c r="B40" t="s">
        <v>74</v>
      </c>
      <c r="C40" t="s">
        <v>83</v>
      </c>
      <c r="D40" t="s">
        <v>83</v>
      </c>
      <c r="E40">
        <v>240</v>
      </c>
      <c r="F40" s="3"/>
      <c r="G40" s="3"/>
      <c r="H40" s="46">
        <v>45445</v>
      </c>
      <c r="I40" s="47" t="s">
        <v>2512</v>
      </c>
      <c r="J40" s="47"/>
      <c r="K40" s="42" t="s">
        <v>2524</v>
      </c>
      <c r="L40" s="3"/>
      <c r="M40" s="24">
        <v>2</v>
      </c>
      <c r="N40" s="24">
        <v>75</v>
      </c>
      <c r="O40" t="s">
        <v>2416</v>
      </c>
      <c r="P40" s="24"/>
    </row>
    <row r="41" spans="1:16" x14ac:dyDescent="0.25">
      <c r="A41" s="24" t="s">
        <v>2525</v>
      </c>
      <c r="B41" t="s">
        <v>74</v>
      </c>
      <c r="C41" t="s">
        <v>83</v>
      </c>
      <c r="D41" t="s">
        <v>83</v>
      </c>
      <c r="E41">
        <v>240</v>
      </c>
      <c r="F41" s="3"/>
      <c r="G41" s="3"/>
      <c r="H41" s="46">
        <v>45445</v>
      </c>
      <c r="I41" s="47" t="s">
        <v>2512</v>
      </c>
      <c r="J41" s="47"/>
      <c r="K41" s="42" t="s">
        <v>2526</v>
      </c>
      <c r="L41" s="3"/>
      <c r="M41" s="24">
        <v>2</v>
      </c>
      <c r="N41" s="24">
        <v>65</v>
      </c>
      <c r="O41" t="s">
        <v>52</v>
      </c>
      <c r="P41" s="24"/>
    </row>
    <row r="42" spans="1:16" x14ac:dyDescent="0.25">
      <c r="A42" s="24" t="s">
        <v>2527</v>
      </c>
      <c r="B42" t="s">
        <v>74</v>
      </c>
      <c r="C42" t="s">
        <v>83</v>
      </c>
      <c r="D42" t="s">
        <v>83</v>
      </c>
      <c r="E42">
        <v>168</v>
      </c>
      <c r="F42" s="3"/>
      <c r="G42" s="3"/>
      <c r="H42" s="46">
        <v>45445</v>
      </c>
      <c r="I42" s="47" t="s">
        <v>2512</v>
      </c>
      <c r="J42" s="47"/>
      <c r="K42" s="42" t="s">
        <v>2528</v>
      </c>
      <c r="L42" s="3"/>
      <c r="M42" s="24">
        <v>2</v>
      </c>
      <c r="N42" s="24">
        <v>75</v>
      </c>
      <c r="O42" t="s">
        <v>52</v>
      </c>
      <c r="P42" s="24"/>
    </row>
    <row r="43" spans="1:16" x14ac:dyDescent="0.25">
      <c r="A43" s="24" t="s">
        <v>2529</v>
      </c>
      <c r="B43" t="s">
        <v>83</v>
      </c>
      <c r="C43" t="s">
        <v>83</v>
      </c>
      <c r="D43" t="s">
        <v>83</v>
      </c>
      <c r="E43">
        <v>420</v>
      </c>
      <c r="F43" s="3"/>
      <c r="G43" s="3"/>
      <c r="H43" s="46" t="s">
        <v>2530</v>
      </c>
      <c r="I43" s="47" t="s">
        <v>2531</v>
      </c>
      <c r="J43" s="47"/>
      <c r="K43" s="42" t="s">
        <v>2532</v>
      </c>
      <c r="L43" s="3"/>
      <c r="M43" s="24">
        <v>17</v>
      </c>
      <c r="N43" s="24">
        <v>75</v>
      </c>
      <c r="O43" t="s">
        <v>52</v>
      </c>
      <c r="P43" s="24"/>
    </row>
    <row r="44" spans="1:16" x14ac:dyDescent="0.25">
      <c r="A44" t="s">
        <v>2533</v>
      </c>
      <c r="B44" t="s">
        <v>83</v>
      </c>
      <c r="E44">
        <v>473</v>
      </c>
      <c r="F44" t="s">
        <v>56</v>
      </c>
      <c r="G44" t="s">
        <v>52</v>
      </c>
      <c r="H44" s="10" t="s">
        <v>2534</v>
      </c>
      <c r="I44" s="31"/>
      <c r="J44" s="31"/>
      <c r="K44" s="42" t="s">
        <v>2535</v>
      </c>
      <c r="M44" s="24"/>
      <c r="N44" s="24"/>
    </row>
    <row r="45" spans="1:16" x14ac:dyDescent="0.25">
      <c r="A45" t="s">
        <v>2536</v>
      </c>
      <c r="B45" t="s">
        <v>83</v>
      </c>
      <c r="E45">
        <v>976</v>
      </c>
      <c r="F45" t="s">
        <v>56</v>
      </c>
      <c r="G45" t="s">
        <v>52</v>
      </c>
      <c r="H45" s="10" t="s">
        <v>2537</v>
      </c>
      <c r="I45" t="s">
        <v>2538</v>
      </c>
      <c r="K45" s="42" t="s">
        <v>2539</v>
      </c>
    </row>
    <row r="46" spans="1:16" x14ac:dyDescent="0.25">
      <c r="A46" t="s">
        <v>2540</v>
      </c>
      <c r="B46" t="s">
        <v>83</v>
      </c>
      <c r="E46">
        <v>333</v>
      </c>
      <c r="F46" t="s">
        <v>56</v>
      </c>
      <c r="G46" t="s">
        <v>52</v>
      </c>
      <c r="H46" s="10" t="s">
        <v>2537</v>
      </c>
      <c r="I46" t="s">
        <v>2538</v>
      </c>
      <c r="K46" s="42" t="s">
        <v>2541</v>
      </c>
    </row>
    <row r="47" spans="1:16" x14ac:dyDescent="0.25">
      <c r="A47" t="s">
        <v>2542</v>
      </c>
      <c r="B47" t="s">
        <v>2543</v>
      </c>
      <c r="E47">
        <v>980</v>
      </c>
      <c r="F47" t="s">
        <v>56</v>
      </c>
      <c r="G47" t="s">
        <v>52</v>
      </c>
      <c r="H47" s="10" t="s">
        <v>2544</v>
      </c>
      <c r="I47" t="s">
        <v>2545</v>
      </c>
      <c r="K47" s="42" t="s">
        <v>2546</v>
      </c>
    </row>
    <row r="48" spans="1:16" x14ac:dyDescent="0.25">
      <c r="A48" t="s">
        <v>2547</v>
      </c>
      <c r="B48" t="s">
        <v>2543</v>
      </c>
      <c r="E48">
        <v>618</v>
      </c>
      <c r="F48" t="s">
        <v>56</v>
      </c>
      <c r="G48" t="s">
        <v>52</v>
      </c>
      <c r="I48" t="s">
        <v>2548</v>
      </c>
      <c r="J48" t="s">
        <v>2549</v>
      </c>
      <c r="K48" s="42" t="s">
        <v>2550</v>
      </c>
    </row>
    <row r="49" spans="1:11" x14ac:dyDescent="0.25">
      <c r="A49" t="s">
        <v>2551</v>
      </c>
      <c r="B49" t="s">
        <v>2543</v>
      </c>
      <c r="E49">
        <v>1120</v>
      </c>
      <c r="F49" t="s">
        <v>56</v>
      </c>
      <c r="G49" s="1" t="s">
        <v>52</v>
      </c>
      <c r="K49" s="42" t="s">
        <v>2552</v>
      </c>
    </row>
    <row r="50" spans="1:11" x14ac:dyDescent="0.25">
      <c r="A50" t="s">
        <v>2553</v>
      </c>
      <c r="B50" t="s">
        <v>2543</v>
      </c>
      <c r="E50">
        <v>378</v>
      </c>
      <c r="F50" t="s">
        <v>56</v>
      </c>
      <c r="G50" t="s">
        <v>52</v>
      </c>
      <c r="J50" t="s">
        <v>2549</v>
      </c>
      <c r="K50" s="42" t="s">
        <v>2554</v>
      </c>
    </row>
    <row r="51" spans="1:11" x14ac:dyDescent="0.25">
      <c r="A51" s="1" t="s">
        <v>2555</v>
      </c>
      <c r="B51" t="s">
        <v>2543</v>
      </c>
      <c r="E51">
        <v>378</v>
      </c>
      <c r="F51" t="s">
        <v>56</v>
      </c>
      <c r="G51" t="s">
        <v>52</v>
      </c>
      <c r="J51" t="s">
        <v>2549</v>
      </c>
      <c r="K51" s="42" t="s">
        <v>2556</v>
      </c>
    </row>
    <row r="52" spans="1:11" x14ac:dyDescent="0.25">
      <c r="A52" s="1" t="s">
        <v>2557</v>
      </c>
      <c r="B52" t="s">
        <v>2543</v>
      </c>
      <c r="E52">
        <v>378</v>
      </c>
      <c r="F52" t="s">
        <v>56</v>
      </c>
      <c r="G52" s="1" t="s">
        <v>52</v>
      </c>
      <c r="I52" t="s">
        <v>2558</v>
      </c>
      <c r="J52" t="s">
        <v>2549</v>
      </c>
      <c r="K52" s="42" t="s">
        <v>2559</v>
      </c>
    </row>
    <row r="53" spans="1:11" x14ac:dyDescent="0.25">
      <c r="A53" s="13" t="s">
        <v>2560</v>
      </c>
      <c r="B53" t="s">
        <v>2543</v>
      </c>
      <c r="E53">
        <v>840</v>
      </c>
      <c r="F53" t="s">
        <v>56</v>
      </c>
      <c r="G53" s="1" t="s">
        <v>52</v>
      </c>
      <c r="J53" t="s">
        <v>2549</v>
      </c>
      <c r="K53" s="42" t="s">
        <v>2561</v>
      </c>
    </row>
    <row r="54" spans="1:11" x14ac:dyDescent="0.25">
      <c r="A54" t="s">
        <v>2562</v>
      </c>
      <c r="B54" t="s">
        <v>2543</v>
      </c>
      <c r="E54">
        <v>448</v>
      </c>
      <c r="F54" t="s">
        <v>56</v>
      </c>
      <c r="G54" t="s">
        <v>52</v>
      </c>
      <c r="H54" s="10" t="s">
        <v>2563</v>
      </c>
      <c r="J54" t="s">
        <v>2549</v>
      </c>
      <c r="K54" s="42" t="s">
        <v>2564</v>
      </c>
    </row>
    <row r="55" spans="1:11" x14ac:dyDescent="0.25">
      <c r="A55" t="s">
        <v>2565</v>
      </c>
      <c r="B55" t="s">
        <v>2543</v>
      </c>
      <c r="E55">
        <v>378</v>
      </c>
      <c r="F55" t="s">
        <v>56</v>
      </c>
      <c r="G55" s="1" t="s">
        <v>52</v>
      </c>
      <c r="H55" s="10" t="s">
        <v>2563</v>
      </c>
      <c r="J55" t="s">
        <v>2549</v>
      </c>
      <c r="K55" s="42" t="s">
        <v>2566</v>
      </c>
    </row>
    <row r="56" spans="1:11" x14ac:dyDescent="0.25">
      <c r="A56" t="s">
        <v>2567</v>
      </c>
      <c r="B56" t="s">
        <v>2543</v>
      </c>
      <c r="E56">
        <v>336</v>
      </c>
      <c r="F56" t="s">
        <v>56</v>
      </c>
      <c r="G56" s="1" t="s">
        <v>52</v>
      </c>
      <c r="J56" t="s">
        <v>2549</v>
      </c>
      <c r="K56" s="42" t="s">
        <v>2568</v>
      </c>
    </row>
    <row r="57" spans="1:11" ht="19.5" customHeight="1" x14ac:dyDescent="0.25">
      <c r="A57" t="s">
        <v>2569</v>
      </c>
      <c r="B57" t="s">
        <v>2543</v>
      </c>
      <c r="E57">
        <v>336</v>
      </c>
      <c r="F57" t="s">
        <v>56</v>
      </c>
      <c r="G57" s="1" t="s">
        <v>52</v>
      </c>
      <c r="J57" t="s">
        <v>2549</v>
      </c>
      <c r="K57" s="42" t="s">
        <v>2570</v>
      </c>
    </row>
    <row r="58" spans="1:11" x14ac:dyDescent="0.25">
      <c r="A58" s="13" t="s">
        <v>2571</v>
      </c>
      <c r="B58" t="s">
        <v>2543</v>
      </c>
      <c r="E58">
        <v>570</v>
      </c>
      <c r="F58" t="s">
        <v>56</v>
      </c>
      <c r="G58" t="s">
        <v>75</v>
      </c>
      <c r="H58" s="10">
        <v>45331</v>
      </c>
      <c r="I58" t="s">
        <v>2572</v>
      </c>
      <c r="K58" s="42" t="s">
        <v>2573</v>
      </c>
    </row>
    <row r="59" spans="1:11" x14ac:dyDescent="0.25">
      <c r="A59" t="s">
        <v>2574</v>
      </c>
      <c r="B59" t="s">
        <v>83</v>
      </c>
      <c r="E59">
        <v>67</v>
      </c>
      <c r="F59" t="s">
        <v>56</v>
      </c>
      <c r="G59" t="s">
        <v>52</v>
      </c>
      <c r="H59" s="10" t="s">
        <v>1279</v>
      </c>
      <c r="J59" t="s">
        <v>2575</v>
      </c>
      <c r="K59" s="42" t="s">
        <v>2576</v>
      </c>
    </row>
    <row r="60" spans="1:11" x14ac:dyDescent="0.25">
      <c r="A60" t="s">
        <v>2577</v>
      </c>
      <c r="B60" t="s">
        <v>74</v>
      </c>
      <c r="E60">
        <v>168</v>
      </c>
      <c r="F60" t="s">
        <v>56</v>
      </c>
      <c r="G60" t="s">
        <v>52</v>
      </c>
      <c r="H60" s="10" t="s">
        <v>1279</v>
      </c>
      <c r="I60" t="s">
        <v>2578</v>
      </c>
      <c r="J60" t="s">
        <v>2549</v>
      </c>
      <c r="K60" s="42" t="s">
        <v>2579</v>
      </c>
    </row>
    <row r="61" spans="1:11" x14ac:dyDescent="0.25">
      <c r="A61" t="s">
        <v>2580</v>
      </c>
      <c r="B61" t="s">
        <v>83</v>
      </c>
      <c r="E61">
        <v>184</v>
      </c>
      <c r="F61" t="s">
        <v>56</v>
      </c>
      <c r="G61" t="s">
        <v>52</v>
      </c>
      <c r="H61" s="10">
        <v>45394</v>
      </c>
      <c r="K61" s="42" t="s">
        <v>2581</v>
      </c>
    </row>
    <row r="62" spans="1:11" x14ac:dyDescent="0.25">
      <c r="A62" t="s">
        <v>2582</v>
      </c>
      <c r="B62" t="s">
        <v>74</v>
      </c>
      <c r="E62">
        <v>1008</v>
      </c>
      <c r="F62" t="s">
        <v>56</v>
      </c>
      <c r="G62" t="s">
        <v>52</v>
      </c>
      <c r="H62" s="10">
        <v>45394</v>
      </c>
      <c r="J62" t="s">
        <v>2549</v>
      </c>
      <c r="K62" s="25" t="s">
        <v>2583</v>
      </c>
    </row>
    <row r="63" spans="1:11" x14ac:dyDescent="0.25">
      <c r="A63" t="s">
        <v>2584</v>
      </c>
      <c r="B63" t="s">
        <v>194</v>
      </c>
      <c r="E63">
        <v>161</v>
      </c>
      <c r="F63" t="s">
        <v>56</v>
      </c>
      <c r="G63" t="s">
        <v>52</v>
      </c>
      <c r="H63" s="10">
        <v>45394</v>
      </c>
      <c r="J63" t="s">
        <v>2549</v>
      </c>
      <c r="K63" s="42" t="s">
        <v>2585</v>
      </c>
    </row>
    <row r="64" spans="1:11" x14ac:dyDescent="0.25">
      <c r="A64" t="s">
        <v>2574</v>
      </c>
      <c r="B64" t="s">
        <v>83</v>
      </c>
      <c r="E64">
        <v>55</v>
      </c>
      <c r="F64" t="s">
        <v>56</v>
      </c>
      <c r="G64" t="s">
        <v>52</v>
      </c>
      <c r="H64" s="10">
        <v>45617</v>
      </c>
      <c r="I64" s="13" t="s">
        <v>2586</v>
      </c>
      <c r="J64" s="13"/>
      <c r="K64" s="42"/>
    </row>
    <row r="65" spans="1:12" x14ac:dyDescent="0.25">
      <c r="A65" t="s">
        <v>2587</v>
      </c>
      <c r="B65" t="s">
        <v>83</v>
      </c>
      <c r="E65">
        <v>504</v>
      </c>
      <c r="F65" t="s">
        <v>56</v>
      </c>
      <c r="G65" t="s">
        <v>52</v>
      </c>
      <c r="H65" s="10">
        <v>45870</v>
      </c>
      <c r="I65" s="13" t="s">
        <v>2588</v>
      </c>
      <c r="J65" s="13"/>
      <c r="K65" s="42" t="s">
        <v>2589</v>
      </c>
    </row>
    <row r="66" spans="1:12" x14ac:dyDescent="0.25">
      <c r="A66" t="s">
        <v>2590</v>
      </c>
      <c r="B66" t="s">
        <v>83</v>
      </c>
      <c r="E66">
        <v>235</v>
      </c>
      <c r="F66" t="s">
        <v>56</v>
      </c>
      <c r="G66" t="s">
        <v>52</v>
      </c>
      <c r="H66" s="10" t="s">
        <v>2591</v>
      </c>
      <c r="I66" s="13" t="s">
        <v>2592</v>
      </c>
      <c r="J66" t="s">
        <v>2575</v>
      </c>
      <c r="K66" s="42"/>
    </row>
    <row r="67" spans="1:12" x14ac:dyDescent="0.25">
      <c r="A67" t="s">
        <v>2593</v>
      </c>
      <c r="B67" t="s">
        <v>83</v>
      </c>
      <c r="E67">
        <v>235</v>
      </c>
      <c r="F67" t="s">
        <v>56</v>
      </c>
      <c r="G67" t="s">
        <v>52</v>
      </c>
      <c r="H67" s="10" t="s">
        <v>2591</v>
      </c>
      <c r="I67" s="13" t="s">
        <v>2594</v>
      </c>
      <c r="J67" t="s">
        <v>2575</v>
      </c>
      <c r="K67" s="42"/>
    </row>
    <row r="68" spans="1:12" x14ac:dyDescent="0.25">
      <c r="A68" t="s">
        <v>2595</v>
      </c>
      <c r="B68" t="s">
        <v>194</v>
      </c>
      <c r="E68">
        <v>1300</v>
      </c>
      <c r="F68" t="s">
        <v>56</v>
      </c>
      <c r="G68" t="s">
        <v>52</v>
      </c>
      <c r="H68" s="10" t="s">
        <v>2596</v>
      </c>
      <c r="I68" t="s">
        <v>2597</v>
      </c>
      <c r="J68" t="s">
        <v>2549</v>
      </c>
      <c r="K68" s="42" t="s">
        <v>2598</v>
      </c>
    </row>
    <row r="69" spans="1:12" x14ac:dyDescent="0.25">
      <c r="A69" t="s">
        <v>2599</v>
      </c>
      <c r="B69" t="s">
        <v>428</v>
      </c>
      <c r="E69">
        <v>168</v>
      </c>
      <c r="F69" t="s">
        <v>48</v>
      </c>
      <c r="G69" t="s">
        <v>52</v>
      </c>
      <c r="H69" s="10">
        <v>45718</v>
      </c>
      <c r="I69" t="s">
        <v>2597</v>
      </c>
      <c r="J69" t="s">
        <v>2153</v>
      </c>
      <c r="K69" s="25" t="s">
        <v>2600</v>
      </c>
    </row>
    <row r="70" spans="1:12" ht="15" customHeight="1" x14ac:dyDescent="0.25">
      <c r="A70" t="s">
        <v>2601</v>
      </c>
      <c r="B70" t="s">
        <v>428</v>
      </c>
      <c r="D70" t="s">
        <v>203</v>
      </c>
      <c r="E70">
        <v>168</v>
      </c>
      <c r="F70" t="s">
        <v>48</v>
      </c>
      <c r="G70" t="s">
        <v>52</v>
      </c>
      <c r="H70" s="10">
        <v>45963</v>
      </c>
      <c r="I70" t="s">
        <v>2597</v>
      </c>
      <c r="J70" t="s">
        <v>2549</v>
      </c>
      <c r="K70" s="42" t="s">
        <v>2602</v>
      </c>
    </row>
    <row r="71" spans="1:12" ht="15" customHeight="1" x14ac:dyDescent="0.25">
      <c r="A71" t="s">
        <v>2603</v>
      </c>
      <c r="B71" t="s">
        <v>428</v>
      </c>
      <c r="E71">
        <v>168</v>
      </c>
      <c r="F71" t="s">
        <v>48</v>
      </c>
      <c r="G71" t="s">
        <v>52</v>
      </c>
      <c r="H71" s="10">
        <v>45749</v>
      </c>
      <c r="I71" t="s">
        <v>2597</v>
      </c>
      <c r="J71" t="s">
        <v>2549</v>
      </c>
      <c r="K71" s="25" t="s">
        <v>2604</v>
      </c>
    </row>
    <row r="72" spans="1:12" ht="15" customHeight="1" x14ac:dyDescent="0.25">
      <c r="A72" t="s">
        <v>2605</v>
      </c>
      <c r="B72" t="s">
        <v>428</v>
      </c>
      <c r="C72" t="s">
        <v>194</v>
      </c>
      <c r="D72" t="s">
        <v>155</v>
      </c>
      <c r="E72">
        <v>168</v>
      </c>
      <c r="F72" t="s">
        <v>48</v>
      </c>
      <c r="G72" t="s">
        <v>52</v>
      </c>
      <c r="H72" s="10">
        <v>45712</v>
      </c>
      <c r="J72" t="s">
        <v>2153</v>
      </c>
    </row>
    <row r="73" spans="1:12" ht="15" customHeight="1" x14ac:dyDescent="0.25">
      <c r="A73" t="s">
        <v>2606</v>
      </c>
      <c r="B73" t="s">
        <v>194</v>
      </c>
      <c r="C73" t="s">
        <v>194</v>
      </c>
      <c r="D73" t="s">
        <v>194</v>
      </c>
      <c r="E73">
        <v>250</v>
      </c>
      <c r="F73" t="s">
        <v>56</v>
      </c>
      <c r="G73" t="s">
        <v>52</v>
      </c>
      <c r="J73" t="s">
        <v>2549</v>
      </c>
      <c r="K73" s="42" t="s">
        <v>2607</v>
      </c>
    </row>
    <row r="74" spans="1:12" ht="15" customHeight="1" x14ac:dyDescent="0.25">
      <c r="A74" s="49" t="s">
        <v>2608</v>
      </c>
      <c r="B74" s="49" t="s">
        <v>83</v>
      </c>
      <c r="C74" s="49" t="s">
        <v>178</v>
      </c>
      <c r="D74" s="49" t="s">
        <v>203</v>
      </c>
      <c r="E74" s="49">
        <v>115</v>
      </c>
      <c r="F74" s="49" t="s">
        <v>56</v>
      </c>
      <c r="G74" s="49" t="s">
        <v>52</v>
      </c>
      <c r="H74" s="50">
        <v>45713</v>
      </c>
      <c r="I74" s="49" t="s">
        <v>2609</v>
      </c>
      <c r="J74" s="49"/>
      <c r="K74" s="51" t="s">
        <v>2610</v>
      </c>
      <c r="L74" s="49"/>
    </row>
    <row r="75" spans="1:12" ht="15" customHeight="1" x14ac:dyDescent="0.25">
      <c r="A75" s="49" t="s">
        <v>2611</v>
      </c>
      <c r="B75" s="49" t="s">
        <v>83</v>
      </c>
      <c r="C75" s="49" t="s">
        <v>178</v>
      </c>
      <c r="D75" s="49" t="s">
        <v>521</v>
      </c>
      <c r="E75" s="49">
        <v>115</v>
      </c>
      <c r="F75" s="49" t="s">
        <v>56</v>
      </c>
      <c r="G75" s="49" t="s">
        <v>52</v>
      </c>
      <c r="H75" s="50">
        <v>45713</v>
      </c>
      <c r="I75" s="49" t="s">
        <v>2609</v>
      </c>
      <c r="J75" s="49"/>
      <c r="K75" s="52" t="s">
        <v>2612</v>
      </c>
      <c r="L75" s="49"/>
    </row>
    <row r="76" spans="1:12" ht="15" customHeight="1" x14ac:dyDescent="0.25">
      <c r="A76" s="49" t="s">
        <v>2613</v>
      </c>
      <c r="B76" s="49" t="s">
        <v>83</v>
      </c>
      <c r="C76" s="49" t="s">
        <v>203</v>
      </c>
      <c r="D76" s="49" t="s">
        <v>194</v>
      </c>
      <c r="E76" s="49">
        <v>207</v>
      </c>
      <c r="F76" s="49" t="s">
        <v>56</v>
      </c>
      <c r="G76" s="49" t="s">
        <v>52</v>
      </c>
      <c r="H76" s="50">
        <v>45715</v>
      </c>
      <c r="I76" s="49"/>
      <c r="J76" s="49"/>
      <c r="K76" s="51" t="s">
        <v>2614</v>
      </c>
      <c r="L76" s="49"/>
    </row>
    <row r="77" spans="1:12" ht="15" customHeight="1" x14ac:dyDescent="0.25">
      <c r="A77" s="49" t="s">
        <v>2615</v>
      </c>
      <c r="B77" s="49" t="s">
        <v>2616</v>
      </c>
      <c r="C77" s="49" t="s">
        <v>155</v>
      </c>
      <c r="D77" s="49" t="s">
        <v>657</v>
      </c>
      <c r="E77" s="49">
        <v>66</v>
      </c>
      <c r="F77" s="49" t="s">
        <v>56</v>
      </c>
      <c r="G77" s="49"/>
      <c r="H77" s="50">
        <v>45747</v>
      </c>
      <c r="I77" s="49"/>
      <c r="J77" s="49"/>
      <c r="K77" s="51" t="s">
        <v>2617</v>
      </c>
      <c r="L77" s="49"/>
    </row>
    <row r="78" spans="1:12" ht="15" customHeight="1" x14ac:dyDescent="0.25">
      <c r="A78" s="49" t="s">
        <v>2618</v>
      </c>
      <c r="B78" s="49" t="s">
        <v>83</v>
      </c>
      <c r="C78" s="49" t="s">
        <v>155</v>
      </c>
      <c r="D78" s="49" t="s">
        <v>657</v>
      </c>
      <c r="E78" s="49">
        <v>66</v>
      </c>
      <c r="F78" s="49" t="s">
        <v>56</v>
      </c>
      <c r="G78" s="49"/>
      <c r="H78" s="50">
        <v>45747</v>
      </c>
      <c r="I78" s="49"/>
      <c r="J78" s="49"/>
      <c r="K78" s="51" t="s">
        <v>2619</v>
      </c>
      <c r="L78" s="49"/>
    </row>
    <row r="79" spans="1:12" ht="15" customHeight="1" x14ac:dyDescent="0.25">
      <c r="A79" s="49" t="s">
        <v>2620</v>
      </c>
      <c r="B79" s="49" t="s">
        <v>83</v>
      </c>
      <c r="C79" s="49" t="s">
        <v>203</v>
      </c>
      <c r="D79" s="49" t="s">
        <v>178</v>
      </c>
      <c r="E79" s="49">
        <v>353</v>
      </c>
      <c r="F79" s="49" t="s">
        <v>56</v>
      </c>
      <c r="G79" s="49" t="s">
        <v>52</v>
      </c>
      <c r="H79" s="50">
        <v>45749</v>
      </c>
      <c r="I79" s="49"/>
      <c r="J79" t="s">
        <v>2575</v>
      </c>
      <c r="K79" s="51" t="s">
        <v>2621</v>
      </c>
      <c r="L79" s="49"/>
    </row>
    <row r="80" spans="1:12" ht="15" customHeight="1" x14ac:dyDescent="0.25">
      <c r="A80" s="49" t="s">
        <v>2622</v>
      </c>
      <c r="B80" s="49" t="s">
        <v>83</v>
      </c>
      <c r="C80" s="49" t="s">
        <v>521</v>
      </c>
      <c r="D80" s="49" t="s">
        <v>178</v>
      </c>
      <c r="E80" s="49">
        <v>186</v>
      </c>
      <c r="F80" s="49" t="s">
        <v>56</v>
      </c>
      <c r="G80" s="49" t="s">
        <v>52</v>
      </c>
      <c r="H80" s="50">
        <v>45749</v>
      </c>
      <c r="I80" s="48" t="s">
        <v>2623</v>
      </c>
      <c r="J80" t="s">
        <v>2575</v>
      </c>
      <c r="K80" s="51" t="s">
        <v>2624</v>
      </c>
      <c r="L80" s="49"/>
    </row>
    <row r="81" spans="1:12" ht="15" customHeight="1" x14ac:dyDescent="0.25">
      <c r="A81" s="49" t="s">
        <v>2625</v>
      </c>
      <c r="B81" s="49" t="s">
        <v>194</v>
      </c>
      <c r="C81" s="49" t="s">
        <v>194</v>
      </c>
      <c r="D81" s="49" t="s">
        <v>194</v>
      </c>
      <c r="E81" s="49">
        <v>180</v>
      </c>
      <c r="F81" s="49" t="s">
        <v>56</v>
      </c>
      <c r="G81" s="49" t="s">
        <v>52</v>
      </c>
      <c r="H81" s="50">
        <v>45751</v>
      </c>
      <c r="I81" s="48" t="s">
        <v>2626</v>
      </c>
      <c r="J81" s="48" t="s">
        <v>2549</v>
      </c>
      <c r="K81" s="51" t="s">
        <v>2627</v>
      </c>
      <c r="L81" s="49"/>
    </row>
    <row r="82" spans="1:12" ht="15" customHeight="1" x14ac:dyDescent="0.25">
      <c r="A82" s="49" t="s">
        <v>2628</v>
      </c>
      <c r="B82" s="49" t="s">
        <v>194</v>
      </c>
      <c r="C82" s="49" t="s">
        <v>194</v>
      </c>
      <c r="D82" s="49" t="s">
        <v>194</v>
      </c>
      <c r="E82" s="49">
        <v>225</v>
      </c>
      <c r="F82" s="49" t="s">
        <v>56</v>
      </c>
      <c r="G82" s="49" t="s">
        <v>52</v>
      </c>
      <c r="H82" s="50">
        <v>45751</v>
      </c>
      <c r="I82" s="49" t="s">
        <v>2629</v>
      </c>
      <c r="J82" s="49" t="s">
        <v>2549</v>
      </c>
      <c r="K82" s="51" t="s">
        <v>2630</v>
      </c>
      <c r="L82" s="49"/>
    </row>
    <row r="83" spans="1:12" ht="15" customHeight="1" x14ac:dyDescent="0.25">
      <c r="A83" s="49" t="s">
        <v>2631</v>
      </c>
      <c r="B83" s="49" t="s">
        <v>2616</v>
      </c>
      <c r="C83" s="49" t="s">
        <v>657</v>
      </c>
      <c r="D83" s="49" t="s">
        <v>194</v>
      </c>
      <c r="E83" s="49">
        <v>166</v>
      </c>
      <c r="F83" s="49" t="s">
        <v>56</v>
      </c>
      <c r="G83" s="49" t="s">
        <v>52</v>
      </c>
      <c r="H83" s="50">
        <v>45754</v>
      </c>
      <c r="I83" s="49" t="s">
        <v>2632</v>
      </c>
      <c r="J83" t="s">
        <v>2575</v>
      </c>
      <c r="K83" s="51" t="s">
        <v>2633</v>
      </c>
      <c r="L83" s="49"/>
    </row>
    <row r="84" spans="1:12" ht="15" customHeight="1" x14ac:dyDescent="0.25">
      <c r="A84" s="49" t="s">
        <v>2634</v>
      </c>
      <c r="B84" s="49" t="s">
        <v>2616</v>
      </c>
      <c r="C84" s="49" t="s">
        <v>657</v>
      </c>
      <c r="D84" s="49" t="s">
        <v>194</v>
      </c>
      <c r="E84" s="49">
        <v>166</v>
      </c>
      <c r="F84" s="49" t="s">
        <v>56</v>
      </c>
      <c r="G84" s="49" t="s">
        <v>52</v>
      </c>
      <c r="H84" s="50">
        <v>45754</v>
      </c>
      <c r="I84" s="49" t="s">
        <v>2632</v>
      </c>
      <c r="J84" t="s">
        <v>2575</v>
      </c>
      <c r="K84" s="51" t="s">
        <v>2635</v>
      </c>
      <c r="L84" s="49"/>
    </row>
    <row r="85" spans="1:12" ht="15" customHeight="1" x14ac:dyDescent="0.25">
      <c r="A85" s="49" t="s">
        <v>2636</v>
      </c>
      <c r="B85" s="49" t="s">
        <v>2616</v>
      </c>
      <c r="C85" s="49" t="s">
        <v>657</v>
      </c>
      <c r="D85" s="49" t="s">
        <v>178</v>
      </c>
      <c r="E85" s="49">
        <v>210</v>
      </c>
      <c r="F85" s="49" t="s">
        <v>56</v>
      </c>
      <c r="G85" s="49" t="s">
        <v>52</v>
      </c>
      <c r="H85" s="50">
        <v>45756</v>
      </c>
      <c r="I85" s="49" t="s">
        <v>2637</v>
      </c>
      <c r="J85" t="s">
        <v>2575</v>
      </c>
      <c r="K85" s="51" t="s">
        <v>2638</v>
      </c>
      <c r="L85" s="49"/>
    </row>
    <row r="86" spans="1:12" ht="15" customHeight="1" x14ac:dyDescent="0.25">
      <c r="A86" s="49" t="s">
        <v>2639</v>
      </c>
      <c r="B86" s="49" t="s">
        <v>2616</v>
      </c>
      <c r="C86" s="49" t="s">
        <v>194</v>
      </c>
      <c r="D86" s="49" t="s">
        <v>245</v>
      </c>
      <c r="E86" s="49">
        <v>237</v>
      </c>
      <c r="F86" s="49" t="s">
        <v>56</v>
      </c>
      <c r="G86" s="49" t="s">
        <v>52</v>
      </c>
      <c r="H86" s="50">
        <v>45761</v>
      </c>
      <c r="I86" s="49" t="s">
        <v>2640</v>
      </c>
      <c r="J86" t="s">
        <v>2575</v>
      </c>
      <c r="K86" s="51" t="s">
        <v>2641</v>
      </c>
      <c r="L86" s="49" t="s">
        <v>2642</v>
      </c>
    </row>
    <row r="87" spans="1:12" ht="15" customHeight="1" x14ac:dyDescent="0.25">
      <c r="A87" s="49" t="s">
        <v>2643</v>
      </c>
      <c r="B87" s="49" t="s">
        <v>194</v>
      </c>
      <c r="C87" s="49" t="s">
        <v>194</v>
      </c>
      <c r="D87" s="49" t="s">
        <v>194</v>
      </c>
      <c r="E87" s="49">
        <v>160</v>
      </c>
      <c r="F87" s="49" t="s">
        <v>56</v>
      </c>
      <c r="G87" s="49" t="s">
        <v>52</v>
      </c>
      <c r="H87" s="50">
        <v>45761</v>
      </c>
      <c r="I87" s="48" t="s">
        <v>2644</v>
      </c>
      <c r="J87" s="48" t="s">
        <v>2549</v>
      </c>
      <c r="K87" s="51" t="s">
        <v>2645</v>
      </c>
      <c r="L87" s="49"/>
    </row>
    <row r="88" spans="1:12" ht="15" customHeight="1" x14ac:dyDescent="0.25">
      <c r="A88" s="49" t="s">
        <v>2646</v>
      </c>
      <c r="B88" s="49" t="s">
        <v>2616</v>
      </c>
      <c r="C88" s="49" t="s">
        <v>2647</v>
      </c>
      <c r="D88" s="49" t="s">
        <v>178</v>
      </c>
      <c r="E88" s="49">
        <v>187</v>
      </c>
      <c r="F88" s="49" t="s">
        <v>56</v>
      </c>
      <c r="G88" s="49" t="s">
        <v>52</v>
      </c>
      <c r="H88" s="50">
        <v>45763</v>
      </c>
      <c r="I88" s="49" t="s">
        <v>2648</v>
      </c>
      <c r="J88" t="s">
        <v>2575</v>
      </c>
      <c r="K88" s="51" t="s">
        <v>2649</v>
      </c>
      <c r="L88" s="49"/>
    </row>
    <row r="89" spans="1:12" ht="15" customHeight="1" x14ac:dyDescent="0.25">
      <c r="A89" s="49" t="s">
        <v>2650</v>
      </c>
      <c r="B89" s="49" t="s">
        <v>2616</v>
      </c>
      <c r="C89" s="49" t="s">
        <v>657</v>
      </c>
      <c r="D89" s="49" t="s">
        <v>194</v>
      </c>
      <c r="E89" s="49">
        <v>187</v>
      </c>
      <c r="F89" s="49" t="s">
        <v>56</v>
      </c>
      <c r="G89" s="49" t="s">
        <v>52</v>
      </c>
      <c r="H89" s="50" t="s">
        <v>2651</v>
      </c>
      <c r="I89" s="49"/>
      <c r="J89" t="s">
        <v>2575</v>
      </c>
      <c r="K89" s="51" t="s">
        <v>2652</v>
      </c>
      <c r="L89" s="49"/>
    </row>
    <row r="90" spans="1:12" ht="15" customHeight="1" x14ac:dyDescent="0.25">
      <c r="A90" s="49" t="s">
        <v>2653</v>
      </c>
      <c r="B90" s="49" t="s">
        <v>2616</v>
      </c>
      <c r="C90" s="49" t="s">
        <v>83</v>
      </c>
      <c r="D90" s="49" t="s">
        <v>2654</v>
      </c>
      <c r="E90" s="49">
        <v>66</v>
      </c>
      <c r="F90" s="48" t="s">
        <v>2655</v>
      </c>
      <c r="G90" s="49" t="s">
        <v>52</v>
      </c>
      <c r="H90" s="50">
        <v>45775</v>
      </c>
      <c r="I90" s="49" t="s">
        <v>2656</v>
      </c>
      <c r="J90" t="s">
        <v>2575</v>
      </c>
      <c r="K90" s="51" t="s">
        <v>2657</v>
      </c>
      <c r="L90" s="49"/>
    </row>
    <row r="91" spans="1:12" ht="15" customHeight="1" x14ac:dyDescent="0.25">
      <c r="A91" s="49" t="s">
        <v>2658</v>
      </c>
      <c r="B91" s="49" t="s">
        <v>194</v>
      </c>
      <c r="C91" s="49" t="s">
        <v>194</v>
      </c>
      <c r="D91" s="49" t="s">
        <v>194</v>
      </c>
      <c r="E91" s="49">
        <v>136</v>
      </c>
      <c r="F91" s="49" t="s">
        <v>56</v>
      </c>
      <c r="G91" s="49" t="s">
        <v>715</v>
      </c>
      <c r="H91" s="50">
        <v>45775</v>
      </c>
      <c r="I91" s="49"/>
      <c r="J91" s="49" t="s">
        <v>2549</v>
      </c>
      <c r="K91" s="51" t="s">
        <v>2659</v>
      </c>
      <c r="L91" s="49"/>
    </row>
    <row r="92" spans="1:12" ht="15" customHeight="1" x14ac:dyDescent="0.25">
      <c r="A92" s="49" t="s">
        <v>2660</v>
      </c>
      <c r="B92" s="49" t="s">
        <v>2616</v>
      </c>
      <c r="C92" s="49" t="s">
        <v>257</v>
      </c>
      <c r="D92" s="49" t="s">
        <v>178</v>
      </c>
      <c r="E92" s="49">
        <v>46</v>
      </c>
      <c r="F92" s="49" t="s">
        <v>56</v>
      </c>
      <c r="G92" s="49" t="s">
        <v>715</v>
      </c>
      <c r="H92" s="50">
        <v>45777</v>
      </c>
      <c r="I92" s="49" t="s">
        <v>2661</v>
      </c>
      <c r="J92" t="s">
        <v>2575</v>
      </c>
      <c r="K92" s="51" t="s">
        <v>2662</v>
      </c>
      <c r="L92" s="49"/>
    </row>
    <row r="93" spans="1:12" ht="15" customHeight="1" x14ac:dyDescent="0.25">
      <c r="A93" s="49" t="s">
        <v>2663</v>
      </c>
      <c r="B93" s="49" t="s">
        <v>194</v>
      </c>
      <c r="C93" s="49" t="s">
        <v>194</v>
      </c>
      <c r="D93" s="49" t="s">
        <v>245</v>
      </c>
      <c r="E93" s="49">
        <v>47</v>
      </c>
      <c r="F93" s="49" t="s">
        <v>56</v>
      </c>
      <c r="G93" s="49" t="s">
        <v>2664</v>
      </c>
      <c r="H93" s="50">
        <v>45779</v>
      </c>
      <c r="I93" s="49" t="s">
        <v>2665</v>
      </c>
      <c r="J93" t="s">
        <v>2549</v>
      </c>
      <c r="K93" s="51" t="s">
        <v>2666</v>
      </c>
      <c r="L93" s="49"/>
    </row>
    <row r="94" spans="1:12" ht="15" customHeight="1" x14ac:dyDescent="0.25">
      <c r="A94" s="49" t="s">
        <v>2667</v>
      </c>
      <c r="B94" s="49" t="s">
        <v>2616</v>
      </c>
      <c r="C94" s="49" t="s">
        <v>521</v>
      </c>
      <c r="D94" s="49" t="s">
        <v>2654</v>
      </c>
      <c r="E94" s="49">
        <v>500</v>
      </c>
      <c r="F94" s="49" t="s">
        <v>56</v>
      </c>
      <c r="G94" s="49" t="s">
        <v>2142</v>
      </c>
      <c r="H94" s="50"/>
      <c r="I94" s="49"/>
      <c r="J94" t="s">
        <v>2575</v>
      </c>
      <c r="K94" s="51" t="s">
        <v>2668</v>
      </c>
      <c r="L94" s="49" t="s">
        <v>2642</v>
      </c>
    </row>
    <row r="95" spans="1:12" ht="15" customHeight="1" x14ac:dyDescent="0.25">
      <c r="A95" s="49" t="s">
        <v>2669</v>
      </c>
      <c r="B95" s="49" t="s">
        <v>2616</v>
      </c>
      <c r="C95" s="49" t="s">
        <v>257</v>
      </c>
      <c r="D95" s="49" t="s">
        <v>245</v>
      </c>
      <c r="E95" s="49">
        <v>189</v>
      </c>
      <c r="F95" s="49" t="s">
        <v>56</v>
      </c>
      <c r="G95" s="49" t="s">
        <v>715</v>
      </c>
      <c r="H95" s="50">
        <v>45783</v>
      </c>
      <c r="I95" s="49"/>
      <c r="J95" t="s">
        <v>2575</v>
      </c>
      <c r="K95" s="51" t="s">
        <v>2670</v>
      </c>
      <c r="L95" s="49" t="s">
        <v>2642</v>
      </c>
    </row>
    <row r="96" spans="1:12" ht="15" customHeight="1" x14ac:dyDescent="0.25">
      <c r="A96" s="49" t="s">
        <v>2671</v>
      </c>
      <c r="B96" s="49" t="s">
        <v>194</v>
      </c>
      <c r="C96" s="49" t="s">
        <v>194</v>
      </c>
      <c r="D96" s="49" t="s">
        <v>245</v>
      </c>
      <c r="E96" s="49">
        <v>1101</v>
      </c>
      <c r="F96" s="49" t="s">
        <v>56</v>
      </c>
      <c r="G96" s="49" t="s">
        <v>715</v>
      </c>
      <c r="H96" s="50">
        <v>45783</v>
      </c>
      <c r="I96" s="49" t="s">
        <v>2672</v>
      </c>
      <c r="J96" s="49" t="s">
        <v>2549</v>
      </c>
      <c r="K96" s="51" t="s">
        <v>2673</v>
      </c>
      <c r="L96" s="49" t="s">
        <v>2642</v>
      </c>
    </row>
    <row r="97" spans="1:14" ht="15" customHeight="1" x14ac:dyDescent="0.25">
      <c r="A97" s="49" t="s">
        <v>2674</v>
      </c>
      <c r="B97" s="49" t="s">
        <v>2616</v>
      </c>
      <c r="C97" s="49" t="s">
        <v>178</v>
      </c>
      <c r="D97" s="49" t="s">
        <v>657</v>
      </c>
      <c r="E97" s="49">
        <v>190</v>
      </c>
      <c r="F97" s="49" t="s">
        <v>56</v>
      </c>
      <c r="G97" s="49"/>
      <c r="H97" s="50">
        <v>45785</v>
      </c>
      <c r="I97" s="49" t="s">
        <v>2675</v>
      </c>
      <c r="J97" t="s">
        <v>2575</v>
      </c>
      <c r="K97" s="51" t="s">
        <v>2676</v>
      </c>
      <c r="L97" s="49"/>
      <c r="N97" t="s">
        <v>2677</v>
      </c>
    </row>
    <row r="98" spans="1:14" ht="15" customHeight="1" x14ac:dyDescent="0.25">
      <c r="A98" s="49" t="s">
        <v>2678</v>
      </c>
      <c r="B98" s="49" t="s">
        <v>2616</v>
      </c>
      <c r="C98" s="49" t="s">
        <v>178</v>
      </c>
      <c r="D98" s="49" t="s">
        <v>2679</v>
      </c>
      <c r="E98" s="49">
        <v>700</v>
      </c>
      <c r="F98" s="49" t="s">
        <v>56</v>
      </c>
      <c r="G98" s="49" t="s">
        <v>52</v>
      </c>
      <c r="H98" s="50">
        <v>45785</v>
      </c>
      <c r="I98" s="49" t="s">
        <v>2680</v>
      </c>
      <c r="J98" s="49"/>
      <c r="K98" s="51" t="s">
        <v>2681</v>
      </c>
      <c r="L98" s="49"/>
    </row>
    <row r="99" spans="1:14" ht="15" customHeight="1" x14ac:dyDescent="0.25">
      <c r="A99" s="49" t="s">
        <v>2682</v>
      </c>
      <c r="B99" s="49" t="s">
        <v>2616</v>
      </c>
      <c r="C99" s="49" t="s">
        <v>194</v>
      </c>
      <c r="D99" s="49"/>
      <c r="E99" s="49">
        <v>1004</v>
      </c>
      <c r="F99" s="49" t="s">
        <v>2683</v>
      </c>
      <c r="G99" s="49" t="s">
        <v>358</v>
      </c>
      <c r="H99" s="50">
        <v>45793</v>
      </c>
      <c r="I99" s="49" t="s">
        <v>2684</v>
      </c>
      <c r="J99" t="s">
        <v>2575</v>
      </c>
      <c r="K99" s="42" t="s">
        <v>2685</v>
      </c>
      <c r="L99" s="49"/>
    </row>
    <row r="100" spans="1:14" ht="33.75" customHeight="1" x14ac:dyDescent="0.25">
      <c r="A100" s="49" t="s">
        <v>2686</v>
      </c>
      <c r="B100" s="49" t="s">
        <v>2616</v>
      </c>
      <c r="C100" s="49" t="s">
        <v>657</v>
      </c>
      <c r="D100" s="49"/>
      <c r="E100" s="49">
        <v>1004</v>
      </c>
      <c r="F100" s="49" t="s">
        <v>2683</v>
      </c>
      <c r="G100" s="49" t="s">
        <v>358</v>
      </c>
      <c r="H100" s="50">
        <v>45793</v>
      </c>
      <c r="I100" s="48" t="s">
        <v>2687</v>
      </c>
      <c r="J100" t="s">
        <v>2575</v>
      </c>
      <c r="K100" s="42" t="s">
        <v>2688</v>
      </c>
      <c r="L100" s="49"/>
    </row>
    <row r="101" spans="1:14" ht="15" customHeight="1" x14ac:dyDescent="0.25">
      <c r="A101" s="49" t="s">
        <v>2689</v>
      </c>
      <c r="B101" s="49" t="s">
        <v>2616</v>
      </c>
      <c r="C101" s="49" t="s">
        <v>74</v>
      </c>
      <c r="D101" s="49" t="s">
        <v>194</v>
      </c>
      <c r="E101" s="49">
        <v>170</v>
      </c>
      <c r="F101" s="49" t="s">
        <v>48</v>
      </c>
      <c r="G101" s="49" t="s">
        <v>358</v>
      </c>
      <c r="H101" s="50" t="s">
        <v>2690</v>
      </c>
      <c r="I101" s="49" t="s">
        <v>2691</v>
      </c>
      <c r="J101" t="s">
        <v>2575</v>
      </c>
      <c r="K101" s="42" t="s">
        <v>2692</v>
      </c>
      <c r="L101" s="49"/>
    </row>
    <row r="102" spans="1:14" ht="15" customHeight="1" x14ac:dyDescent="0.25">
      <c r="A102" s="49" t="s">
        <v>2693</v>
      </c>
      <c r="B102" s="49" t="s">
        <v>2616</v>
      </c>
      <c r="C102" s="49" t="s">
        <v>74</v>
      </c>
      <c r="D102" s="49" t="s">
        <v>194</v>
      </c>
      <c r="E102" s="49">
        <v>170</v>
      </c>
      <c r="F102" s="49" t="s">
        <v>48</v>
      </c>
      <c r="G102" s="49" t="s">
        <v>358</v>
      </c>
      <c r="H102" s="50" t="s">
        <v>2690</v>
      </c>
      <c r="I102" s="49" t="s">
        <v>2694</v>
      </c>
      <c r="J102" t="s">
        <v>2575</v>
      </c>
      <c r="K102" s="42" t="s">
        <v>2695</v>
      </c>
      <c r="L102" s="49"/>
    </row>
    <row r="103" spans="1:14" ht="15" customHeight="1" x14ac:dyDescent="0.25">
      <c r="A103" s="53" t="s">
        <v>2696</v>
      </c>
      <c r="B103" s="49" t="s">
        <v>2616</v>
      </c>
      <c r="C103" s="49" t="s">
        <v>194</v>
      </c>
      <c r="D103" s="49" t="s">
        <v>178</v>
      </c>
      <c r="E103" s="49">
        <v>168</v>
      </c>
      <c r="F103" s="49" t="s">
        <v>48</v>
      </c>
      <c r="G103" s="49" t="s">
        <v>715</v>
      </c>
      <c r="H103" s="50">
        <v>45814</v>
      </c>
      <c r="I103" s="49" t="s">
        <v>2697</v>
      </c>
      <c r="J103" t="s">
        <v>2575</v>
      </c>
      <c r="K103" s="42" t="s">
        <v>2698</v>
      </c>
      <c r="L103" s="49"/>
    </row>
    <row r="104" spans="1:14" ht="15" customHeight="1" x14ac:dyDescent="0.25">
      <c r="A104" s="49" t="s">
        <v>2699</v>
      </c>
      <c r="B104" s="49" t="s">
        <v>2616</v>
      </c>
      <c r="C104" s="49" t="s">
        <v>245</v>
      </c>
      <c r="D104" s="49" t="s">
        <v>178</v>
      </c>
      <c r="E104" s="49">
        <v>168</v>
      </c>
      <c r="F104" s="49" t="s">
        <v>48</v>
      </c>
      <c r="G104" s="49" t="s">
        <v>715</v>
      </c>
      <c r="H104" s="50">
        <v>45814</v>
      </c>
      <c r="I104" s="49" t="s">
        <v>2700</v>
      </c>
      <c r="J104" t="s">
        <v>2575</v>
      </c>
      <c r="K104" s="42" t="s">
        <v>2701</v>
      </c>
      <c r="L104" s="49"/>
    </row>
    <row r="105" spans="1:14" ht="15" customHeight="1" x14ac:dyDescent="0.25">
      <c r="A105" s="49" t="s">
        <v>2702</v>
      </c>
      <c r="B105" s="49" t="s">
        <v>2616</v>
      </c>
      <c r="C105" s="49" t="s">
        <v>2647</v>
      </c>
      <c r="D105" s="49" t="s">
        <v>257</v>
      </c>
      <c r="E105" s="49">
        <v>161</v>
      </c>
      <c r="F105" s="48" t="s">
        <v>56</v>
      </c>
      <c r="G105" s="49" t="s">
        <v>715</v>
      </c>
      <c r="H105" s="50">
        <v>45819</v>
      </c>
      <c r="I105" s="48" t="s">
        <v>2703</v>
      </c>
      <c r="J105" t="s">
        <v>2575</v>
      </c>
      <c r="K105" s="42" t="s">
        <v>2704</v>
      </c>
      <c r="L105" s="49"/>
    </row>
    <row r="106" spans="1:14" ht="15" customHeight="1" x14ac:dyDescent="0.25">
      <c r="A106" s="49" t="s">
        <v>2705</v>
      </c>
      <c r="B106" s="49" t="s">
        <v>2616</v>
      </c>
      <c r="C106" s="49" t="s">
        <v>2647</v>
      </c>
      <c r="D106" s="53" t="s">
        <v>257</v>
      </c>
      <c r="E106" s="49">
        <v>161</v>
      </c>
      <c r="F106" s="48" t="s">
        <v>56</v>
      </c>
      <c r="G106" s="49" t="s">
        <v>715</v>
      </c>
      <c r="H106" s="50">
        <v>45819</v>
      </c>
      <c r="I106" s="48" t="s">
        <v>2706</v>
      </c>
      <c r="J106" t="s">
        <v>2575</v>
      </c>
      <c r="K106" s="42" t="s">
        <v>2707</v>
      </c>
      <c r="L106" s="49"/>
    </row>
    <row r="107" spans="1:14" ht="15" customHeight="1" x14ac:dyDescent="0.25">
      <c r="A107" t="s">
        <v>2708</v>
      </c>
      <c r="B107" t="s">
        <v>194</v>
      </c>
      <c r="C107" t="s">
        <v>194</v>
      </c>
      <c r="D107" t="s">
        <v>178</v>
      </c>
      <c r="E107">
        <v>2133</v>
      </c>
      <c r="F107" s="48" t="s">
        <v>56</v>
      </c>
      <c r="G107" s="49" t="s">
        <v>715</v>
      </c>
      <c r="H107" s="10">
        <v>45826</v>
      </c>
      <c r="I107" t="s">
        <v>2709</v>
      </c>
      <c r="J107" t="s">
        <v>2549</v>
      </c>
    </row>
    <row r="108" spans="1:14" ht="15" customHeight="1" x14ac:dyDescent="0.25">
      <c r="A108" t="s">
        <v>2710</v>
      </c>
      <c r="B108" t="s">
        <v>2616</v>
      </c>
      <c r="C108" t="s">
        <v>257</v>
      </c>
      <c r="E108">
        <v>840</v>
      </c>
      <c r="F108" t="s">
        <v>56</v>
      </c>
      <c r="G108" t="s">
        <v>2142</v>
      </c>
      <c r="H108" s="10">
        <v>45854</v>
      </c>
      <c r="J108" t="s">
        <v>2575</v>
      </c>
    </row>
    <row r="109" spans="1:14" ht="15" customHeight="1" x14ac:dyDescent="0.25">
      <c r="A109" t="s">
        <v>2711</v>
      </c>
      <c r="B109" t="s">
        <v>2616</v>
      </c>
      <c r="C109" t="s">
        <v>257</v>
      </c>
      <c r="E109">
        <v>840</v>
      </c>
      <c r="F109" t="s">
        <v>56</v>
      </c>
      <c r="G109" t="s">
        <v>2142</v>
      </c>
      <c r="H109" s="10">
        <v>45854</v>
      </c>
      <c r="J109" t="s">
        <v>2575</v>
      </c>
    </row>
  </sheetData>
  <sortState xmlns:xlrd2="http://schemas.microsoft.com/office/spreadsheetml/2017/richdata2" ref="A44:M50">
    <sortCondition ref="A44:A50"/>
  </sortState>
  <hyperlinks>
    <hyperlink ref="K58" r:id="rId1" xr:uid="{A633BEA9-527C-409A-816B-81277886FAFE}"/>
    <hyperlink ref="K45" r:id="rId2" xr:uid="{A335DAB9-3F8B-47C2-8881-09AD8E4F7973}"/>
    <hyperlink ref="K46" r:id="rId3" xr:uid="{5A35A4C1-822C-41ED-A4ED-B68A5707C4EA}"/>
    <hyperlink ref="K47" r:id="rId4" xr:uid="{4C3F69D2-F8C2-46D8-9F25-88BDDB7D4973}"/>
    <hyperlink ref="K44" r:id="rId5" xr:uid="{96B82E2E-134E-441A-A748-70C294AA17F6}"/>
    <hyperlink ref="K48" r:id="rId6" xr:uid="{7C2BA2AB-F7F2-4A65-8B48-50FB3B066C51}"/>
    <hyperlink ref="K49" r:id="rId7" xr:uid="{504C55EA-A2F3-4F56-94D2-AFAB9152037D}"/>
    <hyperlink ref="K50" r:id="rId8" xr:uid="{A80402EA-E1FE-449C-B5BD-249841CE52F6}"/>
    <hyperlink ref="K51" r:id="rId9" xr:uid="{A6AB9C77-B5A3-4F07-A029-BEDE40AB0194}"/>
    <hyperlink ref="K52" r:id="rId10" xr:uid="{C1AA52B2-6768-48CA-86F7-A1483DE25E15}"/>
    <hyperlink ref="K53" r:id="rId11" xr:uid="{A831E028-236F-4C7A-8039-68B3F157A99F}"/>
    <hyperlink ref="K54" r:id="rId12" xr:uid="{AB6DB93C-D375-460A-B5D7-AB6C06785BEE}"/>
    <hyperlink ref="K55" r:id="rId13" xr:uid="{CAD09087-E5C9-43B3-9F1E-807ACD8E8E1F}"/>
    <hyperlink ref="K56" r:id="rId14" xr:uid="{D54EA5D3-F95C-4370-BA4E-EAEAF5DDA3D9}"/>
    <hyperlink ref="K57" r:id="rId15" xr:uid="{294000CA-9476-4CB7-88C7-8740FFDF9846}"/>
    <hyperlink ref="K59" r:id="rId16" xr:uid="{FCD1E31A-619A-437C-8A72-C9A7A521A220}"/>
    <hyperlink ref="K60" r:id="rId17" xr:uid="{DA780CDF-A6C2-4599-A670-1882519CAFC9}"/>
    <hyperlink ref="K61" r:id="rId18" xr:uid="{A566C3D2-6EB5-4996-8DF7-F28DD19509CA}"/>
    <hyperlink ref="K62" r:id="rId19" xr:uid="{51A2D312-B4D7-410B-B8DD-D0CB0550B8BD}"/>
    <hyperlink ref="K63" r:id="rId20" xr:uid="{299EB92E-DE74-4B3D-91C5-BD2FD92E68DF}"/>
    <hyperlink ref="K65" r:id="rId21" xr:uid="{E6960EC3-A616-47C3-A437-F996FFA3CD4F}"/>
    <hyperlink ref="K68" r:id="rId22" xr:uid="{53F6A551-B308-4189-B514-326210733C66}"/>
    <hyperlink ref="K69" r:id="rId23" xr:uid="{BA7D5312-3530-40A0-B5BD-FEF709E291C1}"/>
    <hyperlink ref="K70" r:id="rId24" xr:uid="{47BF4C35-0FC7-4EB6-A068-AFA0DEDE5F64}"/>
    <hyperlink ref="K71" r:id="rId25" xr:uid="{0CB74845-119E-468B-BBFB-E04382D055CB}"/>
    <hyperlink ref="K73" r:id="rId26" xr:uid="{94CD1B02-DDCA-44E3-A19B-38C856516E03}"/>
    <hyperlink ref="K74" r:id="rId27" xr:uid="{F53B8FF6-DB55-4BAB-A2B3-6E995E7A06F3}"/>
    <hyperlink ref="K75" r:id="rId28" xr:uid="{D887C627-A8A2-4F27-B874-8F09DBFF5325}"/>
    <hyperlink ref="K76" r:id="rId29" xr:uid="{8A5AB908-A10F-4147-908F-D212EFB52BB7}"/>
    <hyperlink ref="K77" r:id="rId30" xr:uid="{72FCD892-2504-43B8-A67A-010EDF59FDEF}"/>
    <hyperlink ref="K78" r:id="rId31" xr:uid="{33C05A07-E149-4EF3-9F49-5CCF0FD6D217}"/>
    <hyperlink ref="K79" r:id="rId32" xr:uid="{80457202-14E1-4DDD-BDFB-23913853D141}"/>
    <hyperlink ref="K80" r:id="rId33" xr:uid="{07F07174-FF4D-43A7-8AA6-EC721C5844BE}"/>
    <hyperlink ref="K82" r:id="rId34" xr:uid="{3A66AF37-0659-436C-AC24-05E48EC4D2D0}"/>
    <hyperlink ref="K81" r:id="rId35" xr:uid="{37AB19BF-A7D6-42BB-861C-C539432B0BB2}"/>
    <hyperlink ref="K87" r:id="rId36" xr:uid="{4FFE1A7F-FFB8-4673-B0A2-30A66C7B2F48}"/>
    <hyperlink ref="K83" r:id="rId37" xr:uid="{4084F669-4168-4763-A262-E1E0A5C0279D}"/>
    <hyperlink ref="K84" r:id="rId38" xr:uid="{F0FE5D65-10C3-4DAC-B0AB-0283947414EC}"/>
    <hyperlink ref="K85" r:id="rId39" xr:uid="{98FC2063-8E6D-470C-A5A9-220C49A52ED6}"/>
    <hyperlink ref="K86" r:id="rId40" xr:uid="{BE4D335F-394A-4546-9A30-EE5F8D6D650D}"/>
    <hyperlink ref="K88" r:id="rId41" xr:uid="{974FE2C0-758C-4CC9-A03A-247D167A9160}"/>
    <hyperlink ref="K89" r:id="rId42" xr:uid="{C8955D88-E30B-4BCF-B56D-1D6864A350A3}"/>
    <hyperlink ref="K90" r:id="rId43" xr:uid="{FE13289F-9CB3-4A15-BCD7-137AECA546BF}"/>
    <hyperlink ref="K91" r:id="rId44" xr:uid="{6F91E0D2-B997-4E4A-9D62-7B2752A00043}"/>
    <hyperlink ref="K92" r:id="rId45" xr:uid="{69FF6019-98DB-4082-A625-8909857130B6}"/>
    <hyperlink ref="K93" r:id="rId46" xr:uid="{6F13BE05-E8ED-46A9-87D1-951D3D31912C}"/>
    <hyperlink ref="K94" r:id="rId47" xr:uid="{FE988C32-1844-4FA7-BDD9-F4E2376393C9}"/>
    <hyperlink ref="K95" r:id="rId48" display="../../../../../:i:/s/AdvancedSurfacePlatingApS/ET2ERQzU4oVHt3yyWTN8x6oBvK-UiG3eFclle3K4UQb6Bg?e=VYIZ4l" xr:uid="{ABD5D707-728F-459A-BA89-803BFF0348AE}"/>
    <hyperlink ref="K96" r:id="rId49" xr:uid="{236093D4-1417-4AF0-9A13-171EE1EFCBF9}"/>
    <hyperlink ref="K97" r:id="rId50" xr:uid="{CD6A57C2-BAF1-49BA-A670-0E1986C29A2C}"/>
    <hyperlink ref="K98" r:id="rId51" xr:uid="{BF7DA6C7-02C2-4973-90FC-B3556FC92F45}"/>
    <hyperlink ref="K3" r:id="rId52" xr:uid="{86F80EB6-C90B-44DB-9657-6BEF726C66F0}"/>
    <hyperlink ref="K4" r:id="rId53" xr:uid="{CC9515D7-C0F0-453C-95E8-1F314B21921D}"/>
    <hyperlink ref="K5" r:id="rId54" xr:uid="{463E3696-00B6-4684-8A90-861EF44DD56A}"/>
    <hyperlink ref="K6" r:id="rId55" xr:uid="{D0CAF036-1EB8-480A-80E4-8C5DDC355D79}"/>
    <hyperlink ref="K7" r:id="rId56" xr:uid="{12959434-60EE-4CD1-8B9B-CFDC7456B60E}"/>
    <hyperlink ref="K9" r:id="rId57" display="IC0001_Catawj015_AnoNNF_T90_rho1191_AUX1NaN_AUX2NaN" xr:uid="{B4A98A81-732E-4159-A874-FD25A38E7C19}"/>
    <hyperlink ref="K8" r:id="rId58" xr:uid="{D9E9E551-404F-4AC7-97C6-E346E62CBFBA}"/>
    <hyperlink ref="K11" r:id="rId59" xr:uid="{E2572766-079E-4652-851C-A2D0C029E782}"/>
    <hyperlink ref="K17" r:id="rId60" xr:uid="{8C734D29-4F14-4F8F-AEED-84455347A989}"/>
    <hyperlink ref="K22" r:id="rId61" xr:uid="{6155DC71-EEB9-45A8-9F9E-AEF4324C2624}"/>
    <hyperlink ref="K36" r:id="rId62" xr:uid="{F31CC8C8-6D1A-4BFA-94F1-4DE75D60B088}"/>
    <hyperlink ref="K10" r:id="rId63" xr:uid="{5B020C82-E008-415D-9558-D36D07461C1B}"/>
    <hyperlink ref="K13" r:id="rId64" xr:uid="{9BDD62F9-693F-4CE4-9569-561FBF304891}"/>
    <hyperlink ref="K2" r:id="rId65" xr:uid="{3EF77329-BD1E-48F6-89FB-3EE6BA9C3502}"/>
    <hyperlink ref="K18" r:id="rId66" xr:uid="{C0DDEE0E-F8A2-4AC5-82EF-DB728CFD444B}"/>
    <hyperlink ref="K12" r:id="rId67" xr:uid="{DD5D07BA-4B1F-47CC-810B-4201808F4BDD}"/>
    <hyperlink ref="K15" r:id="rId68" xr:uid="{B9262D5A-0BB2-4B3B-9AD6-6654DB07E8A4}"/>
    <hyperlink ref="K16" r:id="rId69" xr:uid="{A8FA656E-5185-4C38-BFEA-9F153DEB3FCE}"/>
    <hyperlink ref="K24" r:id="rId70" xr:uid="{F743A68E-6B73-40AF-AF5E-F2C3F43C1CC3}"/>
    <hyperlink ref="K23" r:id="rId71" xr:uid="{135D3127-F41E-4225-A9AA-D9008E7EAC6B}"/>
    <hyperlink ref="K37" r:id="rId72" xr:uid="{21A65B35-6403-420E-97E4-3E27E73D6637}"/>
    <hyperlink ref="K38" r:id="rId73" xr:uid="{277188D4-BB49-4EE6-9502-49533479A8D3}"/>
    <hyperlink ref="K39" r:id="rId74" xr:uid="{BE817C56-1C6D-433D-B7FB-5EB7FE2C1FB6}"/>
    <hyperlink ref="K40" r:id="rId75" xr:uid="{7560CE4A-8498-4B96-8A33-E2536F8E029B}"/>
    <hyperlink ref="K41" r:id="rId76" xr:uid="{BD587B1C-B95E-4C7C-85F7-1E9ED798F425}"/>
    <hyperlink ref="K42" r:id="rId77" xr:uid="{2A79FE23-0808-4591-A3C4-F5E9EB4444A4}"/>
    <hyperlink ref="K26" r:id="rId78" xr:uid="{E6AFA0C0-11E8-4665-AD18-E7D69F8590D9}"/>
    <hyperlink ref="K43" r:id="rId79" xr:uid="{43766179-FF58-40FD-9B8A-BAC795FFCF0E}"/>
    <hyperlink ref="K30" r:id="rId80" xr:uid="{0F9FDD22-300E-496D-9247-069AD451642F}"/>
    <hyperlink ref="K27" r:id="rId81" xr:uid="{F428DB07-FD92-41E4-9E13-1AEE9D0D10B6}"/>
    <hyperlink ref="K28" r:id="rId82" xr:uid="{D64CAFE7-EEC2-4A62-80EB-91830DCAEA1C}"/>
    <hyperlink ref="K31" r:id="rId83" xr:uid="{A0EFCAD2-06DC-40EA-AFD5-932DA50DD42D}"/>
    <hyperlink ref="K32" r:id="rId84" xr:uid="{4E2C0AD8-DF06-427D-A87C-E8B64F383640}"/>
    <hyperlink ref="K33" r:id="rId85" xr:uid="{BD7FAC82-43BD-442A-8FFE-3411AA2AA994}"/>
    <hyperlink ref="K34" r:id="rId86" xr:uid="{6317EB38-B882-419F-ACF1-DA1884B2FBB7}"/>
    <hyperlink ref="K35" r:id="rId87" display="IC2606_Catawj081_Anoawj079_T90_rho1227_AUX1Cat_AUX2Ano" xr:uid="{3D96655D-806B-42FC-A290-38AFE5516C7E}"/>
    <hyperlink ref="K20" r:id="rId88" xr:uid="{9E94B8BB-4F58-4322-B801-6F28A4D9042B}"/>
    <hyperlink ref="K25" r:id="rId89" xr:uid="{4F90194A-A282-4ECD-B8FA-FA9AB9AC0DC2}"/>
    <hyperlink ref="K29" r:id="rId90" xr:uid="{6851587B-2636-489B-8150-55CA3D20A080}"/>
    <hyperlink ref="K99" r:id="rId91" xr:uid="{10651529-DAC0-4BA8-AECF-7393B0D4493B}"/>
    <hyperlink ref="K100" r:id="rId92" xr:uid="{33250415-E115-41DA-B609-EE74DA5CA262}"/>
    <hyperlink ref="K101" r:id="rId93" xr:uid="{25F79FBD-64C1-490C-B3B5-0009D7791F2B}"/>
    <hyperlink ref="K102" r:id="rId94" xr:uid="{A6C64374-6474-4D0D-B20E-F0CB9B74DAF3}"/>
    <hyperlink ref="K103" r:id="rId95" xr:uid="{05D4BABD-6EA1-42D9-9E80-680FE325675C}"/>
    <hyperlink ref="K104" r:id="rId96" xr:uid="{07EFD628-7463-4812-8EC2-202C36222E0F}"/>
    <hyperlink ref="K105" r:id="rId97" xr:uid="{C94CF253-5E05-4A0B-8216-7CEEF34FFBE0}"/>
    <hyperlink ref="K106" r:id="rId98" xr:uid="{69C8F99A-B694-4DD1-8AFB-3E7BA40E6F6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D543A-A6B0-4E6B-8021-AEFD164DAE59}">
  <dimension ref="A1:K23"/>
  <sheetViews>
    <sheetView topLeftCell="A15" workbookViewId="0">
      <selection activeCell="A32" sqref="A32"/>
    </sheetView>
  </sheetViews>
  <sheetFormatPr defaultRowHeight="15" customHeight="1" x14ac:dyDescent="0.25"/>
  <cols>
    <col min="1" max="1" width="70.7109375" bestFit="1" customWidth="1"/>
    <col min="3" max="3" width="13.7109375" bestFit="1" customWidth="1"/>
    <col min="4" max="4" width="16.28515625" bestFit="1" customWidth="1"/>
    <col min="5" max="5" width="13" bestFit="1" customWidth="1"/>
    <col min="6" max="6" width="36.28515625" bestFit="1" customWidth="1"/>
    <col min="8" max="8" width="22.28515625" style="27" bestFit="1" customWidth="1"/>
    <col min="9" max="9" width="36.5703125" bestFit="1" customWidth="1"/>
    <col min="10" max="10" width="36.5703125" customWidth="1"/>
    <col min="11" max="11" width="73.42578125" bestFit="1" customWidth="1"/>
  </cols>
  <sheetData>
    <row r="1" spans="1:11" x14ac:dyDescent="0.25">
      <c r="A1" s="4" t="s">
        <v>28</v>
      </c>
      <c r="B1" s="4" t="s">
        <v>29</v>
      </c>
      <c r="C1" s="4" t="s">
        <v>30</v>
      </c>
      <c r="D1" s="4" t="s">
        <v>31</v>
      </c>
      <c r="E1" s="4" t="s">
        <v>32</v>
      </c>
      <c r="F1" s="4" t="s">
        <v>33</v>
      </c>
      <c r="G1" s="4" t="s">
        <v>34</v>
      </c>
      <c r="H1" s="4" t="s">
        <v>35</v>
      </c>
      <c r="I1" s="5" t="s">
        <v>36</v>
      </c>
      <c r="J1" s="5" t="s">
        <v>37</v>
      </c>
      <c r="K1" s="5" t="s">
        <v>38</v>
      </c>
    </row>
    <row r="2" spans="1:11" x14ac:dyDescent="0.25">
      <c r="A2" s="1" t="s">
        <v>2712</v>
      </c>
      <c r="B2" t="s">
        <v>74</v>
      </c>
      <c r="E2">
        <v>168</v>
      </c>
      <c r="F2" t="s">
        <v>2148</v>
      </c>
      <c r="G2" t="s">
        <v>52</v>
      </c>
      <c r="H2" s="27">
        <v>45608</v>
      </c>
      <c r="K2" s="42" t="s">
        <v>2713</v>
      </c>
    </row>
    <row r="3" spans="1:11" x14ac:dyDescent="0.25">
      <c r="A3" t="s">
        <v>2714</v>
      </c>
      <c r="B3" t="s">
        <v>486</v>
      </c>
      <c r="E3">
        <v>168</v>
      </c>
      <c r="F3" t="s">
        <v>2148</v>
      </c>
      <c r="G3" t="s">
        <v>52</v>
      </c>
      <c r="H3" s="27">
        <v>45608</v>
      </c>
      <c r="K3" s="42" t="s">
        <v>2715</v>
      </c>
    </row>
    <row r="4" spans="1:11" x14ac:dyDescent="0.25">
      <c r="A4" s="1" t="s">
        <v>2716</v>
      </c>
      <c r="B4" t="s">
        <v>486</v>
      </c>
      <c r="E4">
        <v>168</v>
      </c>
      <c r="F4" t="s">
        <v>2148</v>
      </c>
      <c r="G4" t="s">
        <v>52</v>
      </c>
      <c r="H4" s="28">
        <v>45608</v>
      </c>
      <c r="K4" s="42" t="s">
        <v>2717</v>
      </c>
    </row>
    <row r="5" spans="1:11" x14ac:dyDescent="0.25">
      <c r="A5" t="s">
        <v>2718</v>
      </c>
      <c r="B5" t="s">
        <v>74</v>
      </c>
      <c r="E5">
        <v>168</v>
      </c>
      <c r="F5" t="s">
        <v>2148</v>
      </c>
      <c r="G5" t="s">
        <v>52</v>
      </c>
      <c r="H5" s="28" t="s">
        <v>2719</v>
      </c>
      <c r="K5" s="42" t="s">
        <v>2720</v>
      </c>
    </row>
    <row r="6" spans="1:11" x14ac:dyDescent="0.25">
      <c r="A6" t="s">
        <v>2721</v>
      </c>
      <c r="B6" t="s">
        <v>74</v>
      </c>
      <c r="E6">
        <v>168</v>
      </c>
      <c r="F6" t="s">
        <v>2148</v>
      </c>
      <c r="G6" t="s">
        <v>52</v>
      </c>
      <c r="H6" s="28" t="s">
        <v>2719</v>
      </c>
      <c r="K6" s="42" t="s">
        <v>2722</v>
      </c>
    </row>
    <row r="7" spans="1:11" x14ac:dyDescent="0.25">
      <c r="A7" t="s">
        <v>2723</v>
      </c>
      <c r="B7" t="s">
        <v>486</v>
      </c>
      <c r="E7">
        <v>168</v>
      </c>
      <c r="F7" t="s">
        <v>2148</v>
      </c>
      <c r="G7" t="s">
        <v>52</v>
      </c>
      <c r="H7" s="28" t="s">
        <v>2719</v>
      </c>
      <c r="K7" s="42" t="s">
        <v>2724</v>
      </c>
    </row>
    <row r="8" spans="1:11" x14ac:dyDescent="0.25">
      <c r="A8" t="s">
        <v>2725</v>
      </c>
      <c r="B8" t="s">
        <v>486</v>
      </c>
      <c r="E8">
        <v>168</v>
      </c>
      <c r="F8" t="s">
        <v>2148</v>
      </c>
      <c r="G8" t="s">
        <v>52</v>
      </c>
      <c r="H8" s="28" t="s">
        <v>2719</v>
      </c>
      <c r="K8" s="42" t="s">
        <v>2726</v>
      </c>
    </row>
    <row r="9" spans="1:11" x14ac:dyDescent="0.25">
      <c r="A9" t="s">
        <v>2727</v>
      </c>
      <c r="B9" t="s">
        <v>486</v>
      </c>
      <c r="E9">
        <v>168</v>
      </c>
      <c r="F9" t="s">
        <v>2148</v>
      </c>
      <c r="G9" t="s">
        <v>52</v>
      </c>
      <c r="H9" s="28" t="s">
        <v>2719</v>
      </c>
      <c r="K9" s="42" t="s">
        <v>2728</v>
      </c>
    </row>
    <row r="10" spans="1:11" x14ac:dyDescent="0.25">
      <c r="A10" t="s">
        <v>2729</v>
      </c>
      <c r="B10" t="s">
        <v>486</v>
      </c>
      <c r="E10">
        <v>168</v>
      </c>
      <c r="F10" t="s">
        <v>2148</v>
      </c>
      <c r="G10" t="s">
        <v>52</v>
      </c>
      <c r="H10" s="28" t="s">
        <v>2719</v>
      </c>
      <c r="K10" s="42" t="s">
        <v>2730</v>
      </c>
    </row>
    <row r="11" spans="1:11" x14ac:dyDescent="0.25">
      <c r="A11" t="s">
        <v>2731</v>
      </c>
      <c r="B11" t="s">
        <v>74</v>
      </c>
      <c r="E11">
        <v>168</v>
      </c>
      <c r="F11" t="s">
        <v>2148</v>
      </c>
      <c r="G11" t="s">
        <v>52</v>
      </c>
      <c r="H11" s="28" t="s">
        <v>2719</v>
      </c>
      <c r="K11" s="42" t="s">
        <v>2732</v>
      </c>
    </row>
    <row r="12" spans="1:11" x14ac:dyDescent="0.25">
      <c r="A12" t="s">
        <v>2733</v>
      </c>
      <c r="B12" t="s">
        <v>74</v>
      </c>
      <c r="E12">
        <v>168</v>
      </c>
      <c r="F12" t="s">
        <v>2148</v>
      </c>
      <c r="G12" t="s">
        <v>52</v>
      </c>
      <c r="H12" s="28" t="s">
        <v>2719</v>
      </c>
      <c r="K12" s="42" t="s">
        <v>2734</v>
      </c>
    </row>
    <row r="13" spans="1:11" x14ac:dyDescent="0.25">
      <c r="A13" t="s">
        <v>2735</v>
      </c>
      <c r="B13" t="s">
        <v>74</v>
      </c>
      <c r="E13">
        <v>168</v>
      </c>
      <c r="F13" t="s">
        <v>2148</v>
      </c>
      <c r="G13" t="s">
        <v>52</v>
      </c>
      <c r="H13" s="28">
        <v>45659</v>
      </c>
      <c r="K13" s="42" t="s">
        <v>2736</v>
      </c>
    </row>
    <row r="14" spans="1:11" x14ac:dyDescent="0.25">
      <c r="A14" t="s">
        <v>2737</v>
      </c>
      <c r="B14" t="s">
        <v>74</v>
      </c>
      <c r="E14">
        <v>168</v>
      </c>
      <c r="F14" t="s">
        <v>2148</v>
      </c>
      <c r="G14" t="s">
        <v>52</v>
      </c>
      <c r="H14" s="28">
        <v>45663</v>
      </c>
      <c r="K14" s="42" t="s">
        <v>2738</v>
      </c>
    </row>
    <row r="15" spans="1:11" ht="30" x14ac:dyDescent="0.25">
      <c r="A15" s="13" t="s">
        <v>2739</v>
      </c>
      <c r="B15" t="s">
        <v>486</v>
      </c>
      <c r="E15">
        <v>168</v>
      </c>
      <c r="F15" t="s">
        <v>2148</v>
      </c>
      <c r="G15" t="s">
        <v>52</v>
      </c>
      <c r="H15" s="28" t="s">
        <v>2740</v>
      </c>
      <c r="K15" s="25" t="s">
        <v>2741</v>
      </c>
    </row>
    <row r="16" spans="1:11" ht="30" x14ac:dyDescent="0.25">
      <c r="A16" s="13" t="s">
        <v>2742</v>
      </c>
      <c r="B16" t="s">
        <v>486</v>
      </c>
      <c r="E16">
        <v>168</v>
      </c>
      <c r="F16" t="s">
        <v>2148</v>
      </c>
      <c r="G16" t="s">
        <v>52</v>
      </c>
      <c r="H16" s="28" t="s">
        <v>2740</v>
      </c>
      <c r="K16" s="25" t="s">
        <v>2743</v>
      </c>
    </row>
    <row r="17" spans="1:11" x14ac:dyDescent="0.25">
      <c r="A17" t="s">
        <v>2744</v>
      </c>
      <c r="B17" t="s">
        <v>486</v>
      </c>
      <c r="C17" t="s">
        <v>178</v>
      </c>
      <c r="D17" t="s">
        <v>178</v>
      </c>
      <c r="E17">
        <v>168</v>
      </c>
      <c r="F17" t="s">
        <v>2148</v>
      </c>
      <c r="G17" t="s">
        <v>52</v>
      </c>
      <c r="H17" s="28">
        <v>45693</v>
      </c>
      <c r="K17" s="42" t="s">
        <v>2745</v>
      </c>
    </row>
    <row r="18" spans="1:11" x14ac:dyDescent="0.25">
      <c r="A18" t="s">
        <v>2746</v>
      </c>
      <c r="B18" t="s">
        <v>486</v>
      </c>
      <c r="C18" t="s">
        <v>178</v>
      </c>
      <c r="D18" t="s">
        <v>178</v>
      </c>
      <c r="E18">
        <v>188</v>
      </c>
      <c r="F18" t="s">
        <v>2148</v>
      </c>
      <c r="G18" t="s">
        <v>52</v>
      </c>
      <c r="H18" s="28">
        <v>45694</v>
      </c>
      <c r="K18" t="s">
        <v>27</v>
      </c>
    </row>
    <row r="19" spans="1:11" x14ac:dyDescent="0.25">
      <c r="A19" t="s">
        <v>2747</v>
      </c>
      <c r="B19" t="s">
        <v>83</v>
      </c>
      <c r="C19" t="s">
        <v>83</v>
      </c>
      <c r="D19" t="s">
        <v>155</v>
      </c>
      <c r="E19">
        <v>172</v>
      </c>
      <c r="F19" t="s">
        <v>56</v>
      </c>
      <c r="G19" t="s">
        <v>52</v>
      </c>
      <c r="H19" s="27">
        <v>45695</v>
      </c>
      <c r="K19" s="42" t="s">
        <v>2748</v>
      </c>
    </row>
    <row r="20" spans="1:11" x14ac:dyDescent="0.25">
      <c r="A20" t="s">
        <v>2749</v>
      </c>
      <c r="B20" t="s">
        <v>486</v>
      </c>
      <c r="E20">
        <v>163</v>
      </c>
      <c r="F20" t="s">
        <v>2148</v>
      </c>
      <c r="G20" t="s">
        <v>52</v>
      </c>
      <c r="H20" s="28">
        <v>45701</v>
      </c>
      <c r="K20" s="42" t="s">
        <v>2750</v>
      </c>
    </row>
    <row r="21" spans="1:11" x14ac:dyDescent="0.25">
      <c r="A21" t="s">
        <v>2751</v>
      </c>
      <c r="B21" t="s">
        <v>486</v>
      </c>
      <c r="E21">
        <v>163</v>
      </c>
      <c r="F21" t="s">
        <v>2148</v>
      </c>
      <c r="G21" t="s">
        <v>52</v>
      </c>
      <c r="H21" s="27">
        <v>45701</v>
      </c>
      <c r="K21" s="42" t="s">
        <v>2752</v>
      </c>
    </row>
    <row r="22" spans="1:11" x14ac:dyDescent="0.25">
      <c r="A22" t="s">
        <v>2753</v>
      </c>
      <c r="B22" t="s">
        <v>83</v>
      </c>
      <c r="E22">
        <v>381</v>
      </c>
      <c r="F22" t="s">
        <v>56</v>
      </c>
      <c r="G22" t="s">
        <v>52</v>
      </c>
      <c r="H22" s="27">
        <v>45723</v>
      </c>
      <c r="I22" t="s">
        <v>2754</v>
      </c>
      <c r="K22" s="42" t="s">
        <v>2755</v>
      </c>
    </row>
    <row r="23" spans="1:11" ht="30" x14ac:dyDescent="0.25">
      <c r="A23" t="s">
        <v>2608</v>
      </c>
      <c r="B23" t="s">
        <v>83</v>
      </c>
      <c r="C23" t="s">
        <v>178</v>
      </c>
      <c r="D23" t="s">
        <v>203</v>
      </c>
      <c r="E23">
        <v>117</v>
      </c>
      <c r="F23" t="s">
        <v>56</v>
      </c>
      <c r="G23" t="s">
        <v>52</v>
      </c>
      <c r="H23" s="27">
        <v>45741</v>
      </c>
      <c r="I23" s="13" t="s">
        <v>2756</v>
      </c>
      <c r="J23" s="13"/>
      <c r="K23" s="42" t="s">
        <v>2610</v>
      </c>
    </row>
  </sheetData>
  <hyperlinks>
    <hyperlink ref="K2" r:id="rId1" xr:uid="{985434CF-7349-43C5-BFD2-08E5F8093EC8}"/>
    <hyperlink ref="K3" r:id="rId2" xr:uid="{86E17BEB-A1F0-419A-8F9B-EC084BFF2825}"/>
    <hyperlink ref="K4" r:id="rId3" xr:uid="{F010BDCE-E474-493F-9D4A-017760BD962C}"/>
    <hyperlink ref="K5" r:id="rId4" xr:uid="{67983675-A26B-483B-B1CE-600BD46C726F}"/>
    <hyperlink ref="K6" r:id="rId5" xr:uid="{E1E8CA33-0AB7-43FF-9E4B-B74EFC06D424}"/>
    <hyperlink ref="K7" r:id="rId6" xr:uid="{017310F5-BCE9-42B8-A284-BA85E3D321FC}"/>
    <hyperlink ref="K8" r:id="rId7" xr:uid="{76DD0ACA-823C-47A7-B522-B2ADE6D0CBA0}"/>
    <hyperlink ref="K9" r:id="rId8" xr:uid="{5D72A59E-969E-466D-B043-79861ACE5A3E}"/>
    <hyperlink ref="K10" r:id="rId9" xr:uid="{F59F5312-D250-4554-ABE1-AA2828A0F912}"/>
    <hyperlink ref="K11" r:id="rId10" xr:uid="{550665B9-4BFE-4824-851B-FE60409C7326}"/>
    <hyperlink ref="K12" r:id="rId11" xr:uid="{DBA5DEBD-9B08-49DE-8462-1D9819D35038}"/>
    <hyperlink ref="K13" r:id="rId12" xr:uid="{42A1247D-4D82-4CAF-98EE-7C35C2756ACA}"/>
    <hyperlink ref="K14" r:id="rId13" xr:uid="{D003F4CA-3BD1-4F01-9FC8-A07D01CB8657}"/>
    <hyperlink ref="K15" r:id="rId14" xr:uid="{E1BD4DDD-7F90-4F2A-95EB-1E86FC4AA021}"/>
    <hyperlink ref="K16" r:id="rId15" xr:uid="{F3EACA67-B9B3-45B3-B9A1-38DEF7C0EEB9}"/>
    <hyperlink ref="K17" r:id="rId16" xr:uid="{F12861B3-BAD6-4CAD-A70D-BDFBA96F4712}"/>
    <hyperlink ref="K19" r:id="rId17" xr:uid="{D90E16BE-9786-4279-AB32-8DA3F208C471}"/>
    <hyperlink ref="K20" r:id="rId18" xr:uid="{A917668C-B3F0-484E-9ED3-9FE046B46AAB}"/>
    <hyperlink ref="K21" r:id="rId19" xr:uid="{AC4F06E6-1613-440F-989C-B3A5C65283AB}"/>
    <hyperlink ref="K22" r:id="rId20" xr:uid="{9F6F500E-42F1-416B-9DBA-CB7CE3D1A28F}"/>
    <hyperlink ref="K23" r:id="rId21" xr:uid="{82370D3C-9D8E-456A-A074-6626761813C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23394-AAA0-43A6-A37F-381D7EB95C05}">
  <dimension ref="A1:K34"/>
  <sheetViews>
    <sheetView topLeftCell="A5" workbookViewId="0">
      <selection activeCell="A28" sqref="A28:XFD28"/>
    </sheetView>
  </sheetViews>
  <sheetFormatPr defaultRowHeight="15" customHeight="1" x14ac:dyDescent="0.25"/>
  <cols>
    <col min="1" max="1" width="67.42578125" bestFit="1" customWidth="1"/>
    <col min="2" max="2" width="8.7109375" bestFit="1" customWidth="1"/>
    <col min="3" max="3" width="12.42578125" bestFit="1" customWidth="1"/>
    <col min="4" max="4" width="14.85546875" bestFit="1" customWidth="1"/>
    <col min="5" max="5" width="13" bestFit="1" customWidth="1"/>
    <col min="6" max="6" width="48.140625" customWidth="1"/>
    <col min="7" max="7" width="8.7109375" bestFit="1" customWidth="1"/>
    <col min="8" max="8" width="27.5703125" customWidth="1"/>
    <col min="9" max="9" width="72.28515625" customWidth="1"/>
    <col min="10" max="10" width="28.7109375" customWidth="1"/>
  </cols>
  <sheetData>
    <row r="1" spans="1:11" x14ac:dyDescent="0.25">
      <c r="A1" s="111" t="s">
        <v>28</v>
      </c>
      <c r="B1" s="111" t="s">
        <v>29</v>
      </c>
      <c r="C1" s="111" t="s">
        <v>30</v>
      </c>
      <c r="D1" s="111" t="s">
        <v>31</v>
      </c>
      <c r="E1" s="111" t="s">
        <v>32</v>
      </c>
      <c r="F1" s="111" t="s">
        <v>33</v>
      </c>
      <c r="G1" s="111" t="s">
        <v>34</v>
      </c>
      <c r="H1" s="112" t="s">
        <v>35</v>
      </c>
      <c r="I1" s="112" t="s">
        <v>36</v>
      </c>
      <c r="J1" s="99" t="s">
        <v>37</v>
      </c>
      <c r="K1" s="12" t="s">
        <v>38</v>
      </c>
    </row>
    <row r="2" spans="1:11" x14ac:dyDescent="0.25">
      <c r="A2" t="s">
        <v>2757</v>
      </c>
      <c r="B2" t="s">
        <v>602</v>
      </c>
      <c r="C2" t="s">
        <v>378</v>
      </c>
      <c r="D2" t="s">
        <v>414</v>
      </c>
      <c r="E2">
        <v>168</v>
      </c>
      <c r="F2" s="13" t="s">
        <v>271</v>
      </c>
      <c r="G2" s="18" t="s">
        <v>358</v>
      </c>
      <c r="H2" s="27">
        <v>46199</v>
      </c>
      <c r="I2" t="s">
        <v>2758</v>
      </c>
      <c r="J2" s="108" t="s">
        <v>2759</v>
      </c>
      <c r="K2" s="42"/>
    </row>
    <row r="3" spans="1:11" x14ac:dyDescent="0.25">
      <c r="A3" s="13" t="s">
        <v>2760</v>
      </c>
      <c r="B3" t="s">
        <v>602</v>
      </c>
      <c r="C3" t="s">
        <v>378</v>
      </c>
      <c r="D3" t="s">
        <v>392</v>
      </c>
      <c r="E3">
        <v>168</v>
      </c>
      <c r="F3" s="13" t="s">
        <v>271</v>
      </c>
      <c r="G3" s="18" t="s">
        <v>358</v>
      </c>
      <c r="H3" s="27">
        <v>46199</v>
      </c>
      <c r="I3" t="s">
        <v>2758</v>
      </c>
      <c r="J3" s="108" t="s">
        <v>2759</v>
      </c>
      <c r="K3" s="42"/>
    </row>
    <row r="4" spans="1:11" x14ac:dyDescent="0.25">
      <c r="A4" s="13" t="s">
        <v>2761</v>
      </c>
      <c r="B4" t="s">
        <v>602</v>
      </c>
      <c r="C4" t="s">
        <v>378</v>
      </c>
      <c r="D4" t="s">
        <v>414</v>
      </c>
      <c r="E4">
        <v>168</v>
      </c>
      <c r="F4" s="13" t="s">
        <v>271</v>
      </c>
      <c r="G4" s="18" t="s">
        <v>358</v>
      </c>
      <c r="H4" s="27">
        <v>46199</v>
      </c>
      <c r="I4" t="s">
        <v>2758</v>
      </c>
      <c r="J4" s="108" t="s">
        <v>2759</v>
      </c>
      <c r="K4" s="42"/>
    </row>
    <row r="5" spans="1:11" x14ac:dyDescent="0.25">
      <c r="A5" s="13" t="s">
        <v>2762</v>
      </c>
      <c r="B5" t="s">
        <v>602</v>
      </c>
      <c r="C5" t="s">
        <v>363</v>
      </c>
      <c r="D5" t="s">
        <v>414</v>
      </c>
      <c r="E5">
        <v>69</v>
      </c>
      <c r="F5" s="13" t="s">
        <v>438</v>
      </c>
      <c r="G5" s="18" t="s">
        <v>358</v>
      </c>
      <c r="H5" s="27">
        <v>46209</v>
      </c>
      <c r="I5" t="s">
        <v>2763</v>
      </c>
      <c r="J5" s="108" t="s">
        <v>2759</v>
      </c>
      <c r="K5" s="42"/>
    </row>
    <row r="6" spans="1:11" x14ac:dyDescent="0.25">
      <c r="A6" t="s">
        <v>2764</v>
      </c>
      <c r="B6" t="s">
        <v>602</v>
      </c>
      <c r="C6" t="s">
        <v>414</v>
      </c>
      <c r="D6" t="s">
        <v>363</v>
      </c>
      <c r="E6">
        <v>168</v>
      </c>
      <c r="F6" s="13" t="s">
        <v>271</v>
      </c>
      <c r="G6" t="s">
        <v>358</v>
      </c>
      <c r="H6" s="27">
        <v>46210</v>
      </c>
      <c r="I6" t="s">
        <v>2765</v>
      </c>
      <c r="J6" s="108" t="s">
        <v>2759</v>
      </c>
      <c r="K6" s="42"/>
    </row>
    <row r="7" spans="1:11" ht="15" customHeight="1" x14ac:dyDescent="0.25">
      <c r="A7" s="13" t="s">
        <v>2766</v>
      </c>
      <c r="B7" t="s">
        <v>602</v>
      </c>
      <c r="C7" t="s">
        <v>414</v>
      </c>
      <c r="D7" t="s">
        <v>363</v>
      </c>
      <c r="E7">
        <v>168</v>
      </c>
      <c r="F7" s="13" t="s">
        <v>271</v>
      </c>
      <c r="G7" t="s">
        <v>358</v>
      </c>
      <c r="H7" s="27">
        <v>46210</v>
      </c>
      <c r="I7" s="108" t="s">
        <v>2765</v>
      </c>
      <c r="J7" s="108" t="s">
        <v>2759</v>
      </c>
      <c r="K7" s="42"/>
    </row>
    <row r="8" spans="1:11" ht="15" customHeight="1" x14ac:dyDescent="0.25">
      <c r="A8" s="13" t="s">
        <v>2767</v>
      </c>
      <c r="B8" t="s">
        <v>428</v>
      </c>
      <c r="C8" t="s">
        <v>1232</v>
      </c>
      <c r="D8" t="s">
        <v>377</v>
      </c>
      <c r="E8">
        <v>181</v>
      </c>
      <c r="F8" s="13" t="s">
        <v>2768</v>
      </c>
      <c r="G8" t="s">
        <v>358</v>
      </c>
      <c r="H8" s="27">
        <v>46213</v>
      </c>
      <c r="I8" s="108" t="s">
        <v>2769</v>
      </c>
      <c r="J8" s="108" t="s">
        <v>2759</v>
      </c>
      <c r="K8" s="42"/>
    </row>
    <row r="9" spans="1:11" ht="15" customHeight="1" x14ac:dyDescent="0.25">
      <c r="A9" t="s">
        <v>2770</v>
      </c>
      <c r="B9" t="s">
        <v>428</v>
      </c>
      <c r="C9" t="s">
        <v>1232</v>
      </c>
      <c r="D9" t="s">
        <v>377</v>
      </c>
      <c r="E9">
        <v>181</v>
      </c>
      <c r="F9" s="13" t="s">
        <v>2768</v>
      </c>
      <c r="G9" t="s">
        <v>358</v>
      </c>
      <c r="H9" s="27">
        <v>46213</v>
      </c>
      <c r="I9" s="108" t="s">
        <v>2769</v>
      </c>
      <c r="J9" s="108"/>
      <c r="K9" s="42"/>
    </row>
    <row r="10" spans="1:11" ht="15" customHeight="1" x14ac:dyDescent="0.25">
      <c r="A10" t="s">
        <v>2771</v>
      </c>
      <c r="B10" t="s">
        <v>428</v>
      </c>
      <c r="C10" t="s">
        <v>1232</v>
      </c>
      <c r="D10" t="s">
        <v>377</v>
      </c>
      <c r="E10">
        <v>181</v>
      </c>
      <c r="F10" s="13" t="s">
        <v>2768</v>
      </c>
      <c r="G10" t="s">
        <v>358</v>
      </c>
      <c r="H10" s="27">
        <v>46213</v>
      </c>
      <c r="I10" s="108" t="s">
        <v>2769</v>
      </c>
      <c r="J10" s="108" t="s">
        <v>2759</v>
      </c>
      <c r="K10" s="42"/>
    </row>
    <row r="11" spans="1:11" ht="15" customHeight="1" x14ac:dyDescent="0.25">
      <c r="A11" t="s">
        <v>2772</v>
      </c>
      <c r="B11" t="s">
        <v>428</v>
      </c>
      <c r="C11" t="s">
        <v>1232</v>
      </c>
      <c r="D11" t="s">
        <v>377</v>
      </c>
      <c r="E11">
        <v>181</v>
      </c>
      <c r="F11" s="13" t="s">
        <v>2768</v>
      </c>
      <c r="G11" t="s">
        <v>358</v>
      </c>
      <c r="H11" s="27">
        <v>46213</v>
      </c>
      <c r="I11" s="108" t="s">
        <v>2769</v>
      </c>
      <c r="J11" s="108" t="s">
        <v>2759</v>
      </c>
      <c r="K11" s="42"/>
    </row>
    <row r="12" spans="1:11" ht="15" customHeight="1" x14ac:dyDescent="0.25">
      <c r="A12" t="s">
        <v>2773</v>
      </c>
      <c r="B12" t="s">
        <v>602</v>
      </c>
      <c r="C12" t="s">
        <v>363</v>
      </c>
      <c r="D12" t="s">
        <v>377</v>
      </c>
      <c r="E12">
        <v>168</v>
      </c>
      <c r="F12" s="13" t="s">
        <v>271</v>
      </c>
      <c r="G12" t="s">
        <v>358</v>
      </c>
      <c r="H12" s="27">
        <v>46213</v>
      </c>
      <c r="I12" t="s">
        <v>2774</v>
      </c>
      <c r="J12" s="108" t="s">
        <v>2759</v>
      </c>
    </row>
    <row r="13" spans="1:11" ht="15" customHeight="1" x14ac:dyDescent="0.25">
      <c r="A13" t="s">
        <v>2775</v>
      </c>
      <c r="B13" t="s">
        <v>602</v>
      </c>
      <c r="C13" t="s">
        <v>363</v>
      </c>
      <c r="D13" t="s">
        <v>377</v>
      </c>
      <c r="E13">
        <v>168</v>
      </c>
      <c r="F13" s="13" t="s">
        <v>271</v>
      </c>
      <c r="G13" t="s">
        <v>358</v>
      </c>
      <c r="H13" s="27">
        <v>46213</v>
      </c>
      <c r="I13" t="s">
        <v>2774</v>
      </c>
      <c r="J13" s="108" t="s">
        <v>2759</v>
      </c>
    </row>
    <row r="14" spans="1:11" ht="15" customHeight="1" x14ac:dyDescent="0.25">
      <c r="A14" s="13" t="s">
        <v>2776</v>
      </c>
      <c r="B14" t="s">
        <v>602</v>
      </c>
      <c r="C14" t="s">
        <v>363</v>
      </c>
      <c r="D14" t="s">
        <v>377</v>
      </c>
      <c r="E14">
        <v>168</v>
      </c>
      <c r="F14" s="13" t="s">
        <v>271</v>
      </c>
      <c r="G14" t="s">
        <v>358</v>
      </c>
      <c r="H14" s="27">
        <v>46213</v>
      </c>
      <c r="I14" s="13" t="s">
        <v>2774</v>
      </c>
      <c r="J14" s="108" t="s">
        <v>2759</v>
      </c>
    </row>
    <row r="15" spans="1:11" ht="15" customHeight="1" x14ac:dyDescent="0.25">
      <c r="A15" t="s">
        <v>2777</v>
      </c>
      <c r="B15" t="s">
        <v>602</v>
      </c>
      <c r="C15" t="s">
        <v>363</v>
      </c>
      <c r="D15" t="s">
        <v>377</v>
      </c>
      <c r="E15">
        <v>168</v>
      </c>
      <c r="F15" s="13" t="s">
        <v>271</v>
      </c>
      <c r="G15" t="s">
        <v>358</v>
      </c>
      <c r="H15" s="27">
        <v>46213</v>
      </c>
      <c r="I15" t="s">
        <v>2778</v>
      </c>
      <c r="J15" s="108" t="s">
        <v>2759</v>
      </c>
    </row>
    <row r="16" spans="1:11" ht="15" customHeight="1" x14ac:dyDescent="0.25">
      <c r="A16" t="s">
        <v>2779</v>
      </c>
      <c r="B16" t="s">
        <v>602</v>
      </c>
      <c r="C16" t="s">
        <v>363</v>
      </c>
      <c r="D16" t="s">
        <v>377</v>
      </c>
      <c r="E16">
        <v>168</v>
      </c>
      <c r="F16" s="13" t="s">
        <v>271</v>
      </c>
      <c r="G16" t="s">
        <v>358</v>
      </c>
      <c r="H16" s="27">
        <v>46213</v>
      </c>
      <c r="I16" t="s">
        <v>2778</v>
      </c>
      <c r="J16" s="108" t="s">
        <v>2759</v>
      </c>
    </row>
    <row r="17" spans="1:10" ht="15" customHeight="1" x14ac:dyDescent="0.25">
      <c r="A17" t="s">
        <v>2780</v>
      </c>
      <c r="B17" t="s">
        <v>428</v>
      </c>
      <c r="C17" t="s">
        <v>363</v>
      </c>
      <c r="D17" t="s">
        <v>363</v>
      </c>
      <c r="E17">
        <v>71</v>
      </c>
      <c r="F17" t="s">
        <v>2768</v>
      </c>
      <c r="G17" t="s">
        <v>358</v>
      </c>
      <c r="H17" s="27">
        <v>46216</v>
      </c>
      <c r="I17" s="1" t="s">
        <v>2781</v>
      </c>
      <c r="J17" s="108" t="s">
        <v>2759</v>
      </c>
    </row>
    <row r="18" spans="1:10" ht="15" customHeight="1" x14ac:dyDescent="0.25">
      <c r="A18" t="s">
        <v>2782</v>
      </c>
      <c r="B18" t="s">
        <v>428</v>
      </c>
      <c r="C18" t="s">
        <v>363</v>
      </c>
      <c r="D18" t="s">
        <v>363</v>
      </c>
      <c r="E18">
        <v>71</v>
      </c>
      <c r="F18" t="s">
        <v>2768</v>
      </c>
      <c r="G18" t="s">
        <v>358</v>
      </c>
      <c r="H18" s="27">
        <v>46216</v>
      </c>
      <c r="I18" s="1" t="s">
        <v>2783</v>
      </c>
      <c r="J18" s="108" t="s">
        <v>2759</v>
      </c>
    </row>
    <row r="19" spans="1:10" ht="15" customHeight="1" x14ac:dyDescent="0.25">
      <c r="A19" t="s">
        <v>2784</v>
      </c>
      <c r="B19" t="s">
        <v>602</v>
      </c>
      <c r="C19" t="s">
        <v>1232</v>
      </c>
      <c r="D19" t="s">
        <v>363</v>
      </c>
      <c r="E19">
        <v>168</v>
      </c>
      <c r="F19" s="13" t="s">
        <v>271</v>
      </c>
      <c r="G19" t="s">
        <v>358</v>
      </c>
      <c r="H19" s="27">
        <v>46216</v>
      </c>
      <c r="J19" s="108" t="s">
        <v>2759</v>
      </c>
    </row>
    <row r="20" spans="1:10" ht="15" customHeight="1" x14ac:dyDescent="0.25">
      <c r="A20" t="s">
        <v>2785</v>
      </c>
      <c r="B20" t="s">
        <v>602</v>
      </c>
      <c r="C20" t="s">
        <v>414</v>
      </c>
      <c r="D20" t="s">
        <v>363</v>
      </c>
      <c r="E20">
        <v>168</v>
      </c>
      <c r="F20" s="13" t="s">
        <v>271</v>
      </c>
      <c r="G20" t="s">
        <v>358</v>
      </c>
      <c r="H20" s="27">
        <v>46216</v>
      </c>
      <c r="J20" s="108" t="s">
        <v>2759</v>
      </c>
    </row>
    <row r="21" spans="1:10" ht="15" customHeight="1" x14ac:dyDescent="0.25">
      <c r="A21" t="s">
        <v>2786</v>
      </c>
      <c r="B21" t="s">
        <v>602</v>
      </c>
      <c r="C21" t="s">
        <v>245</v>
      </c>
      <c r="D21" t="s">
        <v>392</v>
      </c>
      <c r="E21">
        <v>46</v>
      </c>
      <c r="F21" t="s">
        <v>438</v>
      </c>
      <c r="G21" t="s">
        <v>246</v>
      </c>
      <c r="H21" s="27">
        <v>46148</v>
      </c>
      <c r="I21" t="s">
        <v>2787</v>
      </c>
      <c r="J21" t="s">
        <v>2788</v>
      </c>
    </row>
    <row r="22" spans="1:10" ht="15" customHeight="1" x14ac:dyDescent="0.25">
      <c r="A22" t="s">
        <v>2789</v>
      </c>
      <c r="B22" t="s">
        <v>602</v>
      </c>
      <c r="C22" t="s">
        <v>245</v>
      </c>
      <c r="D22" t="s">
        <v>392</v>
      </c>
      <c r="E22">
        <v>46</v>
      </c>
      <c r="F22" t="s">
        <v>438</v>
      </c>
      <c r="G22" t="s">
        <v>246</v>
      </c>
      <c r="H22" s="27">
        <v>46148</v>
      </c>
      <c r="I22" t="s">
        <v>2787</v>
      </c>
      <c r="J22" t="s">
        <v>2788</v>
      </c>
    </row>
    <row r="23" spans="1:10" ht="15" customHeight="1" x14ac:dyDescent="0.25">
      <c r="A23" t="s">
        <v>2790</v>
      </c>
      <c r="B23" t="s">
        <v>602</v>
      </c>
      <c r="C23" t="s">
        <v>245</v>
      </c>
      <c r="D23" t="s">
        <v>392</v>
      </c>
      <c r="E23">
        <v>46</v>
      </c>
      <c r="F23" t="s">
        <v>438</v>
      </c>
      <c r="G23" t="s">
        <v>246</v>
      </c>
      <c r="H23" s="27">
        <v>46148</v>
      </c>
      <c r="I23" t="s">
        <v>435</v>
      </c>
      <c r="J23" t="s">
        <v>2788</v>
      </c>
    </row>
    <row r="24" spans="1:10" ht="15" customHeight="1" x14ac:dyDescent="0.25">
      <c r="A24" t="s">
        <v>2791</v>
      </c>
      <c r="B24" t="s">
        <v>602</v>
      </c>
      <c r="C24" t="s">
        <v>245</v>
      </c>
      <c r="D24" t="s">
        <v>392</v>
      </c>
      <c r="E24">
        <v>46</v>
      </c>
      <c r="F24" t="s">
        <v>438</v>
      </c>
      <c r="G24" t="s">
        <v>246</v>
      </c>
      <c r="H24" s="27">
        <v>46148</v>
      </c>
      <c r="I24" t="s">
        <v>435</v>
      </c>
      <c r="J24" t="s">
        <v>2788</v>
      </c>
    </row>
    <row r="25" spans="1:10" ht="15" customHeight="1" x14ac:dyDescent="0.25">
      <c r="A25" t="s">
        <v>2792</v>
      </c>
      <c r="B25" t="s">
        <v>40</v>
      </c>
      <c r="C25" t="s">
        <v>2793</v>
      </c>
      <c r="D25" t="s">
        <v>377</v>
      </c>
      <c r="E25">
        <v>5004</v>
      </c>
      <c r="F25" s="23" t="s">
        <v>438</v>
      </c>
      <c r="G25" t="s">
        <v>358</v>
      </c>
      <c r="H25" s="27">
        <v>46178</v>
      </c>
      <c r="I25" t="s">
        <v>2794</v>
      </c>
    </row>
    <row r="26" spans="1:10" ht="15" customHeight="1" x14ac:dyDescent="0.25">
      <c r="A26" s="13" t="s">
        <v>2795</v>
      </c>
      <c r="B26" t="s">
        <v>40</v>
      </c>
      <c r="C26" t="s">
        <v>2793</v>
      </c>
      <c r="D26" t="s">
        <v>377</v>
      </c>
      <c r="E26">
        <v>5004</v>
      </c>
      <c r="F26" s="23" t="s">
        <v>438</v>
      </c>
      <c r="G26" t="s">
        <v>358</v>
      </c>
      <c r="H26" s="27">
        <v>46178</v>
      </c>
      <c r="I26" t="s">
        <v>2796</v>
      </c>
      <c r="J26" t="s">
        <v>2797</v>
      </c>
    </row>
    <row r="27" spans="1:10" ht="15" customHeight="1" x14ac:dyDescent="0.25">
      <c r="A27" t="s">
        <v>2798</v>
      </c>
      <c r="B27" t="s">
        <v>40</v>
      </c>
      <c r="C27" t="s">
        <v>363</v>
      </c>
      <c r="D27" t="s">
        <v>27</v>
      </c>
      <c r="E27">
        <v>183</v>
      </c>
      <c r="F27" s="23" t="s">
        <v>438</v>
      </c>
      <c r="G27" t="s">
        <v>358</v>
      </c>
      <c r="H27" s="27">
        <v>46225</v>
      </c>
      <c r="I27" t="s">
        <v>2799</v>
      </c>
    </row>
    <row r="33" spans="8:8" ht="15" customHeight="1" x14ac:dyDescent="0.25">
      <c r="H33" s="27"/>
    </row>
    <row r="34" spans="8:8" ht="15" customHeight="1" x14ac:dyDescent="0.25">
      <c r="H34" s="2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FC716-BB79-4615-B7E8-3C14C370B060}">
  <dimension ref="A1:K299"/>
  <sheetViews>
    <sheetView topLeftCell="A275" zoomScale="80" workbookViewId="0">
      <selection activeCell="A298" sqref="A298:XFD299"/>
    </sheetView>
  </sheetViews>
  <sheetFormatPr defaultRowHeight="15" customHeight="1" x14ac:dyDescent="0.25"/>
  <cols>
    <col min="1" max="1" width="81" customWidth="1"/>
    <col min="2" max="2" width="9.42578125" bestFit="1" customWidth="1"/>
    <col min="3" max="3" width="13.7109375" bestFit="1" customWidth="1"/>
    <col min="4" max="4" width="16.7109375" bestFit="1" customWidth="1"/>
    <col min="5" max="5" width="13" bestFit="1" customWidth="1"/>
    <col min="6" max="6" width="49.140625" bestFit="1" customWidth="1"/>
    <col min="8" max="8" width="26.7109375" style="27" bestFit="1" customWidth="1"/>
    <col min="9" max="9" width="145.28515625" customWidth="1"/>
    <col min="10" max="10" width="29.7109375" customWidth="1"/>
    <col min="11" max="11" width="72.42578125" bestFit="1" customWidth="1"/>
  </cols>
  <sheetData>
    <row r="1" spans="1:11" x14ac:dyDescent="0.25">
      <c r="A1" s="6" t="s">
        <v>28</v>
      </c>
      <c r="B1" s="7" t="s">
        <v>29</v>
      </c>
      <c r="C1" s="4" t="s">
        <v>30</v>
      </c>
      <c r="D1" s="4" t="s">
        <v>31</v>
      </c>
      <c r="E1" s="7" t="s">
        <v>32</v>
      </c>
      <c r="F1" s="7" t="s">
        <v>33</v>
      </c>
      <c r="G1" s="7" t="s">
        <v>34</v>
      </c>
      <c r="H1" s="5" t="s">
        <v>35</v>
      </c>
      <c r="I1" s="8" t="s">
        <v>36</v>
      </c>
      <c r="J1" s="100" t="s">
        <v>37</v>
      </c>
      <c r="K1" s="5" t="s">
        <v>38</v>
      </c>
    </row>
    <row r="2" spans="1:11" x14ac:dyDescent="0.25">
      <c r="A2" s="1" t="s">
        <v>2800</v>
      </c>
      <c r="B2" t="s">
        <v>2801</v>
      </c>
      <c r="E2">
        <v>168</v>
      </c>
      <c r="F2" t="s">
        <v>48</v>
      </c>
      <c r="G2" t="s">
        <v>52</v>
      </c>
      <c r="H2" s="27">
        <v>45809</v>
      </c>
      <c r="I2" t="s">
        <v>2802</v>
      </c>
      <c r="J2" t="s">
        <v>1310</v>
      </c>
      <c r="K2" s="42" t="s">
        <v>2803</v>
      </c>
    </row>
    <row r="3" spans="1:11" x14ac:dyDescent="0.25">
      <c r="A3" s="1" t="s">
        <v>2804</v>
      </c>
      <c r="B3" t="s">
        <v>2801</v>
      </c>
      <c r="E3">
        <v>168</v>
      </c>
      <c r="F3" t="s">
        <v>48</v>
      </c>
      <c r="G3" t="s">
        <v>52</v>
      </c>
      <c r="H3" s="27">
        <v>45809</v>
      </c>
      <c r="I3" t="s">
        <v>2802</v>
      </c>
      <c r="J3" t="s">
        <v>1310</v>
      </c>
      <c r="K3" s="42" t="s">
        <v>2805</v>
      </c>
    </row>
    <row r="4" spans="1:11" x14ac:dyDescent="0.25">
      <c r="A4" s="1" t="s">
        <v>2806</v>
      </c>
      <c r="B4" t="s">
        <v>2801</v>
      </c>
      <c r="E4">
        <v>168</v>
      </c>
      <c r="F4" t="s">
        <v>48</v>
      </c>
      <c r="G4" t="s">
        <v>52</v>
      </c>
      <c r="H4" s="27">
        <v>45809</v>
      </c>
      <c r="I4" t="s">
        <v>2802</v>
      </c>
      <c r="J4" t="s">
        <v>1310</v>
      </c>
      <c r="K4" s="42" t="s">
        <v>2807</v>
      </c>
    </row>
    <row r="5" spans="1:11" x14ac:dyDescent="0.25">
      <c r="A5" t="s">
        <v>2808</v>
      </c>
      <c r="B5" t="s">
        <v>2801</v>
      </c>
      <c r="E5">
        <v>168</v>
      </c>
      <c r="F5" t="s">
        <v>48</v>
      </c>
      <c r="G5" t="s">
        <v>52</v>
      </c>
      <c r="H5" s="27" t="s">
        <v>2809</v>
      </c>
      <c r="I5" s="24" t="s">
        <v>2810</v>
      </c>
      <c r="J5" t="s">
        <v>1310</v>
      </c>
      <c r="K5" s="42" t="s">
        <v>2811</v>
      </c>
    </row>
    <row r="6" spans="1:11" x14ac:dyDescent="0.25">
      <c r="A6" t="s">
        <v>2812</v>
      </c>
      <c r="B6" t="s">
        <v>2801</v>
      </c>
      <c r="E6">
        <v>168</v>
      </c>
      <c r="F6" t="s">
        <v>48</v>
      </c>
      <c r="G6" t="s">
        <v>52</v>
      </c>
      <c r="H6" s="27" t="s">
        <v>2809</v>
      </c>
      <c r="I6" s="24" t="s">
        <v>2810</v>
      </c>
      <c r="J6" t="s">
        <v>1310</v>
      </c>
      <c r="K6" s="42" t="s">
        <v>2813</v>
      </c>
    </row>
    <row r="7" spans="1:11" x14ac:dyDescent="0.25">
      <c r="A7" t="s">
        <v>2814</v>
      </c>
      <c r="B7" t="s">
        <v>2801</v>
      </c>
      <c r="E7">
        <v>168</v>
      </c>
      <c r="F7" t="s">
        <v>48</v>
      </c>
      <c r="G7" t="s">
        <v>52</v>
      </c>
      <c r="H7" s="27" t="s">
        <v>2809</v>
      </c>
      <c r="I7" s="24" t="s">
        <v>2810</v>
      </c>
      <c r="J7" t="s">
        <v>1310</v>
      </c>
      <c r="K7" s="42" t="s">
        <v>2815</v>
      </c>
    </row>
    <row r="8" spans="1:11" x14ac:dyDescent="0.25">
      <c r="A8" s="13" t="s">
        <v>2816</v>
      </c>
      <c r="B8" t="s">
        <v>2801</v>
      </c>
      <c r="E8">
        <v>168</v>
      </c>
      <c r="F8" t="s">
        <v>48</v>
      </c>
      <c r="G8" t="s">
        <v>52</v>
      </c>
      <c r="H8" s="27" t="s">
        <v>2817</v>
      </c>
      <c r="I8" s="1" t="s">
        <v>2818</v>
      </c>
      <c r="J8" s="1"/>
      <c r="K8" s="42" t="s">
        <v>2819</v>
      </c>
    </row>
    <row r="9" spans="1:11" x14ac:dyDescent="0.25">
      <c r="A9" t="s">
        <v>2820</v>
      </c>
      <c r="B9" t="s">
        <v>2801</v>
      </c>
      <c r="E9">
        <v>168</v>
      </c>
      <c r="F9" t="s">
        <v>48</v>
      </c>
      <c r="G9" t="s">
        <v>52</v>
      </c>
      <c r="H9" s="27" t="s">
        <v>2817</v>
      </c>
      <c r="I9" s="1" t="s">
        <v>2821</v>
      </c>
      <c r="J9" s="1"/>
      <c r="K9" s="42" t="s">
        <v>2822</v>
      </c>
    </row>
    <row r="10" spans="1:11" x14ac:dyDescent="0.25">
      <c r="A10" t="s">
        <v>2823</v>
      </c>
      <c r="B10" t="s">
        <v>2801</v>
      </c>
      <c r="E10">
        <v>168</v>
      </c>
      <c r="F10" t="s">
        <v>48</v>
      </c>
      <c r="G10" t="s">
        <v>52</v>
      </c>
      <c r="H10" s="27" t="s">
        <v>2817</v>
      </c>
      <c r="I10" s="1" t="s">
        <v>2824</v>
      </c>
      <c r="J10" s="1"/>
      <c r="K10" s="42" t="s">
        <v>2825</v>
      </c>
    </row>
    <row r="11" spans="1:11" x14ac:dyDescent="0.25">
      <c r="A11" s="13" t="s">
        <v>2826</v>
      </c>
      <c r="B11" t="s">
        <v>2801</v>
      </c>
      <c r="E11">
        <v>168</v>
      </c>
      <c r="F11" t="s">
        <v>48</v>
      </c>
      <c r="G11" t="s">
        <v>52</v>
      </c>
      <c r="H11" s="27" t="s">
        <v>2817</v>
      </c>
      <c r="I11" s="1" t="s">
        <v>2827</v>
      </c>
      <c r="J11" s="1"/>
      <c r="K11" s="42" t="s">
        <v>2828</v>
      </c>
    </row>
    <row r="12" spans="1:11" x14ac:dyDescent="0.25">
      <c r="A12" s="13" t="s">
        <v>2829</v>
      </c>
      <c r="B12" t="s">
        <v>2801</v>
      </c>
      <c r="E12">
        <v>168</v>
      </c>
      <c r="F12" t="s">
        <v>48</v>
      </c>
      <c r="G12" t="s">
        <v>52</v>
      </c>
      <c r="H12" s="27" t="s">
        <v>2817</v>
      </c>
      <c r="I12" s="1" t="s">
        <v>2830</v>
      </c>
      <c r="J12" s="1" t="s">
        <v>2831</v>
      </c>
      <c r="K12" s="42" t="s">
        <v>2832</v>
      </c>
    </row>
    <row r="13" spans="1:11" x14ac:dyDescent="0.25">
      <c r="A13" t="s">
        <v>2833</v>
      </c>
      <c r="B13" t="s">
        <v>2801</v>
      </c>
      <c r="E13">
        <v>168</v>
      </c>
      <c r="F13" t="s">
        <v>48</v>
      </c>
      <c r="G13" t="s">
        <v>52</v>
      </c>
      <c r="H13" s="27" t="s">
        <v>2834</v>
      </c>
      <c r="I13" t="s">
        <v>2835</v>
      </c>
      <c r="K13" s="42" t="s">
        <v>2836</v>
      </c>
    </row>
    <row r="14" spans="1:11" x14ac:dyDescent="0.25">
      <c r="A14" t="s">
        <v>2837</v>
      </c>
      <c r="B14" t="s">
        <v>2801</v>
      </c>
      <c r="E14">
        <v>168</v>
      </c>
      <c r="F14" t="s">
        <v>48</v>
      </c>
      <c r="G14" t="s">
        <v>52</v>
      </c>
      <c r="H14" s="27" t="s">
        <v>123</v>
      </c>
      <c r="I14" t="s">
        <v>2838</v>
      </c>
      <c r="K14" s="42" t="s">
        <v>2839</v>
      </c>
    </row>
    <row r="15" spans="1:11" ht="30" x14ac:dyDescent="0.25">
      <c r="A15" s="13" t="s">
        <v>2840</v>
      </c>
      <c r="B15" t="s">
        <v>2801</v>
      </c>
      <c r="E15">
        <v>168</v>
      </c>
      <c r="F15" t="s">
        <v>48</v>
      </c>
      <c r="G15" t="s">
        <v>52</v>
      </c>
      <c r="H15" s="27" t="s">
        <v>2841</v>
      </c>
      <c r="I15" t="s">
        <v>2842</v>
      </c>
      <c r="K15" s="25" t="s">
        <v>2843</v>
      </c>
    </row>
    <row r="16" spans="1:11" ht="30" x14ac:dyDescent="0.25">
      <c r="A16" s="13" t="s">
        <v>2844</v>
      </c>
      <c r="B16" t="s">
        <v>2801</v>
      </c>
      <c r="E16">
        <v>168</v>
      </c>
      <c r="F16" t="s">
        <v>48</v>
      </c>
      <c r="G16" t="s">
        <v>52</v>
      </c>
      <c r="H16" s="27" t="s">
        <v>2845</v>
      </c>
      <c r="I16" s="13" t="s">
        <v>2846</v>
      </c>
      <c r="J16" s="13"/>
      <c r="K16" s="25" t="s">
        <v>2847</v>
      </c>
    </row>
    <row r="17" spans="1:11" x14ac:dyDescent="0.25">
      <c r="A17" t="s">
        <v>2848</v>
      </c>
      <c r="B17" t="s">
        <v>2801</v>
      </c>
      <c r="E17">
        <v>168</v>
      </c>
      <c r="F17" t="s">
        <v>48</v>
      </c>
      <c r="G17" t="s">
        <v>52</v>
      </c>
      <c r="H17" s="27" t="s">
        <v>2849</v>
      </c>
      <c r="I17" t="s">
        <v>2850</v>
      </c>
      <c r="J17" t="s">
        <v>1310</v>
      </c>
      <c r="K17" s="42" t="s">
        <v>2851</v>
      </c>
    </row>
    <row r="18" spans="1:11" x14ac:dyDescent="0.25">
      <c r="A18" t="s">
        <v>2852</v>
      </c>
      <c r="B18" t="s">
        <v>2801</v>
      </c>
      <c r="E18">
        <v>168</v>
      </c>
      <c r="F18" t="s">
        <v>48</v>
      </c>
      <c r="G18" t="s">
        <v>52</v>
      </c>
      <c r="H18" s="29" t="s">
        <v>2849</v>
      </c>
      <c r="I18" t="s">
        <v>2850</v>
      </c>
      <c r="J18" t="s">
        <v>1310</v>
      </c>
      <c r="K18" s="42" t="s">
        <v>2853</v>
      </c>
    </row>
    <row r="19" spans="1:11" x14ac:dyDescent="0.25">
      <c r="A19" t="s">
        <v>2854</v>
      </c>
      <c r="B19" t="s">
        <v>2801</v>
      </c>
      <c r="E19">
        <v>168</v>
      </c>
      <c r="F19" t="s">
        <v>48</v>
      </c>
      <c r="G19" t="s">
        <v>52</v>
      </c>
      <c r="H19" s="29" t="s">
        <v>2849</v>
      </c>
      <c r="I19" t="s">
        <v>2850</v>
      </c>
      <c r="K19" s="42" t="s">
        <v>2855</v>
      </c>
    </row>
    <row r="20" spans="1:11" ht="60" x14ac:dyDescent="0.25">
      <c r="A20" s="13" t="s">
        <v>2856</v>
      </c>
      <c r="B20" t="s">
        <v>2801</v>
      </c>
      <c r="E20">
        <v>168</v>
      </c>
      <c r="F20" t="s">
        <v>48</v>
      </c>
      <c r="G20" t="s">
        <v>52</v>
      </c>
      <c r="H20" s="27">
        <v>45691</v>
      </c>
      <c r="I20" s="13" t="s">
        <v>2857</v>
      </c>
      <c r="J20" s="13" t="s">
        <v>1310</v>
      </c>
      <c r="K20" s="25" t="s">
        <v>2858</v>
      </c>
    </row>
    <row r="21" spans="1:11" ht="60" x14ac:dyDescent="0.25">
      <c r="A21" s="13" t="s">
        <v>2859</v>
      </c>
      <c r="B21" t="s">
        <v>2801</v>
      </c>
      <c r="E21">
        <v>168</v>
      </c>
      <c r="F21" t="s">
        <v>48</v>
      </c>
      <c r="G21" t="s">
        <v>52</v>
      </c>
      <c r="H21" s="27">
        <v>45691</v>
      </c>
      <c r="I21" s="13" t="s">
        <v>2860</v>
      </c>
      <c r="J21" s="13"/>
      <c r="K21" s="25" t="s">
        <v>2861</v>
      </c>
    </row>
    <row r="22" spans="1:11" ht="60" x14ac:dyDescent="0.25">
      <c r="A22" s="13" t="s">
        <v>2862</v>
      </c>
      <c r="B22" t="s">
        <v>2801</v>
      </c>
      <c r="E22">
        <v>168</v>
      </c>
      <c r="F22" t="s">
        <v>48</v>
      </c>
      <c r="G22" t="s">
        <v>52</v>
      </c>
      <c r="H22" s="27">
        <v>45691</v>
      </c>
      <c r="I22" s="13" t="s">
        <v>2863</v>
      </c>
      <c r="J22" s="13"/>
      <c r="K22" s="25" t="s">
        <v>2864</v>
      </c>
    </row>
    <row r="23" spans="1:11" ht="60" x14ac:dyDescent="0.25">
      <c r="A23" s="13" t="s">
        <v>2865</v>
      </c>
      <c r="B23" t="s">
        <v>2801</v>
      </c>
      <c r="E23">
        <v>168</v>
      </c>
      <c r="F23" t="s">
        <v>48</v>
      </c>
      <c r="G23" t="s">
        <v>52</v>
      </c>
      <c r="H23" s="27">
        <v>45692</v>
      </c>
      <c r="I23" s="13" t="s">
        <v>2866</v>
      </c>
      <c r="J23" s="13" t="s">
        <v>1310</v>
      </c>
      <c r="K23" s="25" t="s">
        <v>2867</v>
      </c>
    </row>
    <row r="24" spans="1:11" ht="60" x14ac:dyDescent="0.25">
      <c r="A24" s="13" t="s">
        <v>2868</v>
      </c>
      <c r="B24" t="s">
        <v>2801</v>
      </c>
      <c r="C24" t="s">
        <v>178</v>
      </c>
      <c r="D24" t="s">
        <v>178</v>
      </c>
      <c r="E24">
        <v>168</v>
      </c>
      <c r="F24" t="s">
        <v>48</v>
      </c>
      <c r="G24" t="s">
        <v>52</v>
      </c>
      <c r="H24" s="27">
        <v>45693</v>
      </c>
      <c r="I24" s="13" t="s">
        <v>2869</v>
      </c>
      <c r="J24" s="13" t="s">
        <v>1310</v>
      </c>
      <c r="K24" s="25" t="s">
        <v>2870</v>
      </c>
    </row>
    <row r="25" spans="1:11" ht="60" x14ac:dyDescent="0.25">
      <c r="A25" s="13" t="s">
        <v>2871</v>
      </c>
      <c r="B25" t="s">
        <v>2801</v>
      </c>
      <c r="D25" t="s">
        <v>155</v>
      </c>
      <c r="E25">
        <v>168</v>
      </c>
      <c r="F25" t="s">
        <v>48</v>
      </c>
      <c r="G25" t="s">
        <v>52</v>
      </c>
      <c r="H25" s="27">
        <v>45695</v>
      </c>
      <c r="I25" s="13" t="s">
        <v>2872</v>
      </c>
      <c r="J25" s="13" t="s">
        <v>1310</v>
      </c>
      <c r="K25" s="25" t="s">
        <v>2873</v>
      </c>
    </row>
    <row r="26" spans="1:11" x14ac:dyDescent="0.25">
      <c r="A26" s="10" t="s">
        <v>2874</v>
      </c>
      <c r="B26" t="s">
        <v>2801</v>
      </c>
      <c r="C26" t="s">
        <v>2543</v>
      </c>
      <c r="D26" t="s">
        <v>178</v>
      </c>
      <c r="E26">
        <v>14</v>
      </c>
      <c r="F26" t="s">
        <v>48</v>
      </c>
      <c r="G26" t="s">
        <v>52</v>
      </c>
      <c r="H26" s="27">
        <v>45708</v>
      </c>
      <c r="I26" t="s">
        <v>2875</v>
      </c>
      <c r="J26" t="s">
        <v>2831</v>
      </c>
      <c r="K26" t="s">
        <v>27</v>
      </c>
    </row>
    <row r="27" spans="1:11" x14ac:dyDescent="0.25">
      <c r="A27" t="s">
        <v>2876</v>
      </c>
      <c r="B27" t="s">
        <v>2801</v>
      </c>
      <c r="C27" t="s">
        <v>178</v>
      </c>
      <c r="D27" t="s">
        <v>203</v>
      </c>
      <c r="E27">
        <v>168</v>
      </c>
      <c r="F27" t="s">
        <v>48</v>
      </c>
      <c r="G27" t="s">
        <v>52</v>
      </c>
      <c r="H27" s="27">
        <v>45713</v>
      </c>
      <c r="I27" t="s">
        <v>2877</v>
      </c>
      <c r="J27" t="s">
        <v>2831</v>
      </c>
      <c r="K27" s="42" t="s">
        <v>2878</v>
      </c>
    </row>
    <row r="28" spans="1:11" x14ac:dyDescent="0.25">
      <c r="A28" t="s">
        <v>2879</v>
      </c>
      <c r="B28" t="s">
        <v>2801</v>
      </c>
      <c r="C28" t="s">
        <v>2543</v>
      </c>
      <c r="D28" t="s">
        <v>178</v>
      </c>
      <c r="E28">
        <v>138</v>
      </c>
      <c r="F28" t="s">
        <v>48</v>
      </c>
      <c r="G28" t="s">
        <v>52</v>
      </c>
      <c r="H28" s="27">
        <v>45715</v>
      </c>
      <c r="I28" s="13" t="s">
        <v>2880</v>
      </c>
      <c r="J28" t="s">
        <v>2831</v>
      </c>
      <c r="K28" s="42" t="s">
        <v>2881</v>
      </c>
    </row>
    <row r="29" spans="1:11" x14ac:dyDescent="0.25">
      <c r="A29" t="s">
        <v>2882</v>
      </c>
      <c r="B29" t="s">
        <v>2801</v>
      </c>
      <c r="C29" t="s">
        <v>178</v>
      </c>
      <c r="D29" t="s">
        <v>178</v>
      </c>
      <c r="E29">
        <v>168</v>
      </c>
      <c r="F29" t="s">
        <v>48</v>
      </c>
      <c r="G29" t="s">
        <v>52</v>
      </c>
      <c r="H29" s="27">
        <v>45715</v>
      </c>
      <c r="J29" t="s">
        <v>2831</v>
      </c>
      <c r="K29" s="42" t="s">
        <v>2883</v>
      </c>
    </row>
    <row r="30" spans="1:11" x14ac:dyDescent="0.25">
      <c r="A30" t="s">
        <v>2884</v>
      </c>
      <c r="B30" t="s">
        <v>2801</v>
      </c>
      <c r="C30" t="s">
        <v>194</v>
      </c>
      <c r="D30" t="s">
        <v>155</v>
      </c>
      <c r="E30">
        <v>168</v>
      </c>
      <c r="F30" t="s">
        <v>48</v>
      </c>
      <c r="G30" t="s">
        <v>52</v>
      </c>
      <c r="H30" s="27">
        <v>45719</v>
      </c>
      <c r="I30" t="s">
        <v>2885</v>
      </c>
      <c r="J30" t="s">
        <v>2831</v>
      </c>
      <c r="K30" s="42" t="s">
        <v>2886</v>
      </c>
    </row>
    <row r="31" spans="1:11" x14ac:dyDescent="0.25">
      <c r="A31" t="s">
        <v>2887</v>
      </c>
      <c r="B31" t="s">
        <v>2801</v>
      </c>
      <c r="C31" t="s">
        <v>194</v>
      </c>
      <c r="D31" t="s">
        <v>155</v>
      </c>
      <c r="E31">
        <v>168</v>
      </c>
      <c r="F31" t="s">
        <v>48</v>
      </c>
      <c r="G31" t="s">
        <v>52</v>
      </c>
      <c r="H31" s="27">
        <v>45719</v>
      </c>
      <c r="I31" t="s">
        <v>2885</v>
      </c>
      <c r="J31" t="s">
        <v>2831</v>
      </c>
      <c r="K31" s="42" t="s">
        <v>2888</v>
      </c>
    </row>
    <row r="32" spans="1:11" x14ac:dyDescent="0.25">
      <c r="A32" t="s">
        <v>2889</v>
      </c>
      <c r="B32" t="s">
        <v>2801</v>
      </c>
      <c r="C32" t="s">
        <v>194</v>
      </c>
      <c r="D32" t="s">
        <v>155</v>
      </c>
      <c r="E32">
        <v>168</v>
      </c>
      <c r="F32" t="s">
        <v>48</v>
      </c>
      <c r="G32" t="s">
        <v>52</v>
      </c>
      <c r="H32" s="27">
        <v>45719</v>
      </c>
      <c r="I32" t="s">
        <v>2885</v>
      </c>
      <c r="J32" t="s">
        <v>2831</v>
      </c>
      <c r="K32" s="42" t="s">
        <v>2890</v>
      </c>
    </row>
    <row r="33" spans="1:11" x14ac:dyDescent="0.25">
      <c r="A33" t="s">
        <v>2891</v>
      </c>
      <c r="B33" t="s">
        <v>2801</v>
      </c>
      <c r="C33" t="s">
        <v>194</v>
      </c>
      <c r="D33" t="s">
        <v>155</v>
      </c>
      <c r="E33">
        <v>168</v>
      </c>
      <c r="F33" t="s">
        <v>48</v>
      </c>
      <c r="G33" t="s">
        <v>52</v>
      </c>
      <c r="H33" s="27">
        <v>45719</v>
      </c>
      <c r="J33" t="s">
        <v>2831</v>
      </c>
      <c r="K33" s="42" t="s">
        <v>2892</v>
      </c>
    </row>
    <row r="34" spans="1:11" x14ac:dyDescent="0.25">
      <c r="A34" t="s">
        <v>2893</v>
      </c>
      <c r="B34" t="s">
        <v>2801</v>
      </c>
      <c r="C34" t="s">
        <v>203</v>
      </c>
      <c r="D34" t="s">
        <v>178</v>
      </c>
      <c r="E34">
        <v>168</v>
      </c>
      <c r="F34" t="s">
        <v>48</v>
      </c>
      <c r="G34" t="s">
        <v>52</v>
      </c>
      <c r="H34" s="27">
        <v>45721</v>
      </c>
      <c r="I34" s="13" t="s">
        <v>2894</v>
      </c>
      <c r="J34" t="s">
        <v>2831</v>
      </c>
      <c r="K34" s="42" t="s">
        <v>2895</v>
      </c>
    </row>
    <row r="35" spans="1:11" x14ac:dyDescent="0.25">
      <c r="A35" t="s">
        <v>2896</v>
      </c>
      <c r="B35" t="s">
        <v>602</v>
      </c>
      <c r="C35" t="s">
        <v>178</v>
      </c>
      <c r="D35" t="s">
        <v>155</v>
      </c>
      <c r="E35">
        <v>24</v>
      </c>
      <c r="F35" t="s">
        <v>2897</v>
      </c>
      <c r="G35" t="s">
        <v>52</v>
      </c>
      <c r="H35" s="27">
        <v>45723</v>
      </c>
      <c r="I35" t="s">
        <v>2898</v>
      </c>
      <c r="J35" t="s">
        <v>2831</v>
      </c>
      <c r="K35" s="42" t="s">
        <v>2899</v>
      </c>
    </row>
    <row r="36" spans="1:11" x14ac:dyDescent="0.25">
      <c r="A36" t="s">
        <v>2900</v>
      </c>
      <c r="B36" t="s">
        <v>602</v>
      </c>
      <c r="C36" t="s">
        <v>178</v>
      </c>
      <c r="D36" t="s">
        <v>155</v>
      </c>
      <c r="E36">
        <v>24</v>
      </c>
      <c r="F36" t="s">
        <v>2897</v>
      </c>
      <c r="G36" t="s">
        <v>52</v>
      </c>
      <c r="H36" s="27">
        <v>45723</v>
      </c>
      <c r="I36" t="s">
        <v>2898</v>
      </c>
      <c r="J36" t="s">
        <v>2831</v>
      </c>
      <c r="K36" s="42" t="s">
        <v>2901</v>
      </c>
    </row>
    <row r="37" spans="1:11" x14ac:dyDescent="0.25">
      <c r="A37" t="s">
        <v>2902</v>
      </c>
      <c r="B37" t="s">
        <v>602</v>
      </c>
      <c r="C37" t="s">
        <v>178</v>
      </c>
      <c r="D37" t="s">
        <v>155</v>
      </c>
      <c r="E37">
        <v>24</v>
      </c>
      <c r="F37" t="s">
        <v>2897</v>
      </c>
      <c r="G37" t="s">
        <v>52</v>
      </c>
      <c r="H37" s="27">
        <v>45723</v>
      </c>
      <c r="I37" t="s">
        <v>2898</v>
      </c>
      <c r="J37" t="s">
        <v>2831</v>
      </c>
      <c r="K37" s="42" t="s">
        <v>2903</v>
      </c>
    </row>
    <row r="38" spans="1:11" ht="45" x14ac:dyDescent="0.25">
      <c r="A38" t="s">
        <v>2904</v>
      </c>
      <c r="B38" t="s">
        <v>2801</v>
      </c>
      <c r="C38" t="s">
        <v>203</v>
      </c>
      <c r="D38" t="s">
        <v>203</v>
      </c>
      <c r="E38">
        <v>168</v>
      </c>
      <c r="F38" t="s">
        <v>48</v>
      </c>
      <c r="G38" t="s">
        <v>52</v>
      </c>
      <c r="H38" s="27">
        <v>45727</v>
      </c>
      <c r="I38" s="13" t="s">
        <v>2905</v>
      </c>
      <c r="J38" t="s">
        <v>2831</v>
      </c>
      <c r="K38" s="42" t="s">
        <v>2906</v>
      </c>
    </row>
    <row r="39" spans="1:11" ht="45" x14ac:dyDescent="0.25">
      <c r="A39" t="s">
        <v>2907</v>
      </c>
      <c r="B39" t="s">
        <v>2801</v>
      </c>
      <c r="C39" t="s">
        <v>203</v>
      </c>
      <c r="D39" t="s">
        <v>203</v>
      </c>
      <c r="E39">
        <v>168</v>
      </c>
      <c r="F39" t="s">
        <v>48</v>
      </c>
      <c r="G39" t="s">
        <v>52</v>
      </c>
      <c r="H39" s="27">
        <v>45727</v>
      </c>
      <c r="I39" s="13" t="s">
        <v>2905</v>
      </c>
      <c r="J39" t="s">
        <v>2831</v>
      </c>
      <c r="K39" s="42" t="s">
        <v>2908</v>
      </c>
    </row>
    <row r="40" spans="1:11" ht="45" x14ac:dyDescent="0.25">
      <c r="A40" t="s">
        <v>2909</v>
      </c>
      <c r="B40" t="s">
        <v>2801</v>
      </c>
      <c r="C40" t="s">
        <v>178</v>
      </c>
      <c r="D40" t="s">
        <v>178</v>
      </c>
      <c r="E40">
        <v>24</v>
      </c>
      <c r="F40" s="32" t="s">
        <v>1352</v>
      </c>
      <c r="G40" t="s">
        <v>52</v>
      </c>
      <c r="H40" s="27">
        <v>45728</v>
      </c>
      <c r="I40" s="13" t="s">
        <v>2910</v>
      </c>
      <c r="J40" t="s">
        <v>2831</v>
      </c>
      <c r="K40" s="42" t="s">
        <v>2911</v>
      </c>
    </row>
    <row r="41" spans="1:11" ht="45" x14ac:dyDescent="0.25">
      <c r="A41" t="s">
        <v>2912</v>
      </c>
      <c r="B41" t="s">
        <v>2801</v>
      </c>
      <c r="C41" t="s">
        <v>178</v>
      </c>
      <c r="D41" t="s">
        <v>178</v>
      </c>
      <c r="E41">
        <v>24</v>
      </c>
      <c r="F41" s="32" t="s">
        <v>1352</v>
      </c>
      <c r="G41" t="s">
        <v>52</v>
      </c>
      <c r="H41" s="27">
        <v>45728</v>
      </c>
      <c r="I41" s="13" t="s">
        <v>2910</v>
      </c>
      <c r="J41" t="s">
        <v>2831</v>
      </c>
      <c r="K41" s="42" t="s">
        <v>2913</v>
      </c>
    </row>
    <row r="42" spans="1:11" ht="30" x14ac:dyDescent="0.25">
      <c r="A42" s="13" t="s">
        <v>2914</v>
      </c>
      <c r="B42" t="s">
        <v>2801</v>
      </c>
      <c r="C42" t="s">
        <v>2543</v>
      </c>
      <c r="D42" t="s">
        <v>178</v>
      </c>
      <c r="E42">
        <v>168</v>
      </c>
      <c r="F42" t="s">
        <v>48</v>
      </c>
      <c r="G42" t="s">
        <v>52</v>
      </c>
      <c r="H42" s="27">
        <v>45750</v>
      </c>
      <c r="I42" t="s">
        <v>2915</v>
      </c>
      <c r="K42" s="25" t="s">
        <v>2916</v>
      </c>
    </row>
    <row r="43" spans="1:11" ht="30" x14ac:dyDescent="0.25">
      <c r="A43" s="13" t="s">
        <v>2917</v>
      </c>
      <c r="B43" t="s">
        <v>2801</v>
      </c>
      <c r="C43" t="s">
        <v>2543</v>
      </c>
      <c r="D43" t="s">
        <v>178</v>
      </c>
      <c r="E43">
        <v>168</v>
      </c>
      <c r="F43" t="s">
        <v>48</v>
      </c>
      <c r="G43" t="s">
        <v>52</v>
      </c>
      <c r="H43" s="27">
        <v>45750</v>
      </c>
      <c r="I43" t="s">
        <v>2915</v>
      </c>
      <c r="K43" s="25" t="s">
        <v>2918</v>
      </c>
    </row>
    <row r="44" spans="1:11" x14ac:dyDescent="0.25">
      <c r="A44" t="s">
        <v>2919</v>
      </c>
      <c r="B44" t="s">
        <v>2801</v>
      </c>
      <c r="C44" t="s">
        <v>155</v>
      </c>
      <c r="D44" t="s">
        <v>178</v>
      </c>
      <c r="E44">
        <v>168</v>
      </c>
      <c r="F44" t="s">
        <v>48</v>
      </c>
      <c r="G44" t="s">
        <v>52</v>
      </c>
      <c r="H44" s="27">
        <v>45756</v>
      </c>
      <c r="I44" t="s">
        <v>2920</v>
      </c>
      <c r="K44" s="42" t="s">
        <v>2921</v>
      </c>
    </row>
    <row r="45" spans="1:11" x14ac:dyDescent="0.25">
      <c r="A45" t="s">
        <v>2922</v>
      </c>
      <c r="B45" t="s">
        <v>2801</v>
      </c>
      <c r="C45" t="s">
        <v>155</v>
      </c>
      <c r="D45" t="s">
        <v>178</v>
      </c>
      <c r="E45">
        <v>168</v>
      </c>
      <c r="F45" t="s">
        <v>48</v>
      </c>
      <c r="G45" t="s">
        <v>52</v>
      </c>
      <c r="H45" s="27">
        <v>45756</v>
      </c>
      <c r="I45" t="s">
        <v>2923</v>
      </c>
      <c r="K45" s="42" t="s">
        <v>2924</v>
      </c>
    </row>
    <row r="46" spans="1:11" x14ac:dyDescent="0.25">
      <c r="A46" t="s">
        <v>2925</v>
      </c>
      <c r="B46" t="s">
        <v>2801</v>
      </c>
      <c r="C46" t="s">
        <v>2647</v>
      </c>
      <c r="D46" t="s">
        <v>178</v>
      </c>
      <c r="E46">
        <v>168</v>
      </c>
      <c r="F46" t="s">
        <v>48</v>
      </c>
      <c r="G46" t="s">
        <v>52</v>
      </c>
      <c r="H46" s="27">
        <v>45756</v>
      </c>
      <c r="I46" t="s">
        <v>2926</v>
      </c>
      <c r="K46" s="42" t="s">
        <v>2927</v>
      </c>
    </row>
    <row r="47" spans="1:11" x14ac:dyDescent="0.25">
      <c r="A47" t="s">
        <v>2928</v>
      </c>
      <c r="B47" t="s">
        <v>2801</v>
      </c>
      <c r="C47" t="s">
        <v>178</v>
      </c>
      <c r="D47" t="s">
        <v>155</v>
      </c>
      <c r="E47">
        <v>168</v>
      </c>
      <c r="F47" t="s">
        <v>48</v>
      </c>
      <c r="G47" t="s">
        <v>52</v>
      </c>
      <c r="H47" s="27">
        <v>45757</v>
      </c>
      <c r="I47" t="s">
        <v>2929</v>
      </c>
      <c r="J47" t="s">
        <v>2930</v>
      </c>
      <c r="K47" s="42" t="s">
        <v>2931</v>
      </c>
    </row>
    <row r="48" spans="1:11" x14ac:dyDescent="0.25">
      <c r="A48" t="s">
        <v>2932</v>
      </c>
      <c r="B48" t="s">
        <v>2801</v>
      </c>
      <c r="C48" t="s">
        <v>178</v>
      </c>
      <c r="D48" t="s">
        <v>155</v>
      </c>
      <c r="E48">
        <v>168</v>
      </c>
      <c r="F48" t="s">
        <v>48</v>
      </c>
      <c r="G48" t="s">
        <v>52</v>
      </c>
      <c r="H48" s="27">
        <v>45757</v>
      </c>
      <c r="I48" t="s">
        <v>2933</v>
      </c>
      <c r="K48" s="42" t="s">
        <v>2934</v>
      </c>
    </row>
    <row r="49" spans="1:11" x14ac:dyDescent="0.25">
      <c r="A49" t="s">
        <v>2935</v>
      </c>
      <c r="B49" t="s">
        <v>2801</v>
      </c>
      <c r="C49" t="s">
        <v>178</v>
      </c>
      <c r="D49" t="s">
        <v>245</v>
      </c>
      <c r="E49">
        <v>168</v>
      </c>
      <c r="F49" t="s">
        <v>48</v>
      </c>
      <c r="G49" t="s">
        <v>52</v>
      </c>
      <c r="H49" s="27">
        <v>45762</v>
      </c>
      <c r="I49" t="s">
        <v>2936</v>
      </c>
      <c r="K49" s="42" t="s">
        <v>2937</v>
      </c>
    </row>
    <row r="50" spans="1:11" x14ac:dyDescent="0.25">
      <c r="A50" t="s">
        <v>2938</v>
      </c>
      <c r="B50" t="s">
        <v>2801</v>
      </c>
      <c r="C50" t="s">
        <v>178</v>
      </c>
      <c r="D50" t="s">
        <v>245</v>
      </c>
      <c r="E50">
        <v>168</v>
      </c>
      <c r="F50" t="s">
        <v>48</v>
      </c>
      <c r="G50" t="s">
        <v>52</v>
      </c>
      <c r="H50" s="27">
        <v>45762</v>
      </c>
      <c r="I50" t="s">
        <v>2939</v>
      </c>
      <c r="K50" s="42" t="s">
        <v>2940</v>
      </c>
    </row>
    <row r="51" spans="1:11" x14ac:dyDescent="0.25">
      <c r="A51" t="s">
        <v>2941</v>
      </c>
      <c r="B51" t="s">
        <v>2801</v>
      </c>
      <c r="C51" t="s">
        <v>178</v>
      </c>
      <c r="D51" t="s">
        <v>245</v>
      </c>
      <c r="E51">
        <v>168</v>
      </c>
      <c r="F51" t="s">
        <v>2942</v>
      </c>
      <c r="G51" t="s">
        <v>52</v>
      </c>
      <c r="H51" s="27">
        <v>45762</v>
      </c>
      <c r="I51" t="s">
        <v>2943</v>
      </c>
      <c r="K51" s="42" t="s">
        <v>2944</v>
      </c>
    </row>
    <row r="52" spans="1:11" ht="30" x14ac:dyDescent="0.25">
      <c r="A52" t="s">
        <v>2945</v>
      </c>
      <c r="B52" t="s">
        <v>2801</v>
      </c>
      <c r="C52" t="s">
        <v>194</v>
      </c>
      <c r="D52" t="s">
        <v>194</v>
      </c>
      <c r="E52">
        <v>168</v>
      </c>
      <c r="F52" t="s">
        <v>48</v>
      </c>
      <c r="G52" t="s">
        <v>52</v>
      </c>
      <c r="H52" s="27">
        <v>45762</v>
      </c>
      <c r="I52" s="13" t="s">
        <v>2946</v>
      </c>
      <c r="J52" s="13"/>
      <c r="K52" s="42" t="s">
        <v>2947</v>
      </c>
    </row>
    <row r="53" spans="1:11" ht="30" x14ac:dyDescent="0.25">
      <c r="A53" t="s">
        <v>2948</v>
      </c>
      <c r="B53" t="s">
        <v>2801</v>
      </c>
      <c r="C53" t="s">
        <v>194</v>
      </c>
      <c r="D53" t="s">
        <v>194</v>
      </c>
      <c r="E53">
        <v>168</v>
      </c>
      <c r="F53" t="s">
        <v>48</v>
      </c>
      <c r="G53" t="s">
        <v>52</v>
      </c>
      <c r="H53" s="27">
        <v>45762</v>
      </c>
      <c r="I53" s="13" t="s">
        <v>2949</v>
      </c>
      <c r="J53" s="13"/>
      <c r="K53" s="42" t="s">
        <v>2950</v>
      </c>
    </row>
    <row r="54" spans="1:11" ht="30" x14ac:dyDescent="0.25">
      <c r="A54" t="s">
        <v>2951</v>
      </c>
      <c r="B54" t="s">
        <v>2801</v>
      </c>
      <c r="C54" t="s">
        <v>178</v>
      </c>
      <c r="D54" t="s">
        <v>178</v>
      </c>
      <c r="E54">
        <v>168</v>
      </c>
      <c r="F54" t="s">
        <v>48</v>
      </c>
      <c r="G54" t="s">
        <v>52</v>
      </c>
      <c r="H54" s="27">
        <v>45763</v>
      </c>
      <c r="I54" s="13" t="s">
        <v>2952</v>
      </c>
      <c r="J54" s="13"/>
      <c r="K54" s="42" t="s">
        <v>2953</v>
      </c>
    </row>
    <row r="55" spans="1:11" ht="30" x14ac:dyDescent="0.25">
      <c r="A55" t="s">
        <v>2954</v>
      </c>
      <c r="B55" t="s">
        <v>2801</v>
      </c>
      <c r="C55" t="s">
        <v>178</v>
      </c>
      <c r="D55" t="s">
        <v>178</v>
      </c>
      <c r="E55">
        <v>168</v>
      </c>
      <c r="F55" t="s">
        <v>48</v>
      </c>
      <c r="G55" t="s">
        <v>52</v>
      </c>
      <c r="H55" s="27">
        <v>45763</v>
      </c>
      <c r="I55" s="13" t="s">
        <v>2946</v>
      </c>
      <c r="J55" s="13"/>
      <c r="K55" s="42" t="s">
        <v>2955</v>
      </c>
    </row>
    <row r="56" spans="1:11" ht="30" x14ac:dyDescent="0.25">
      <c r="A56" t="s">
        <v>2956</v>
      </c>
      <c r="B56" t="s">
        <v>2801</v>
      </c>
      <c r="C56" t="s">
        <v>178</v>
      </c>
      <c r="D56" t="s">
        <v>178</v>
      </c>
      <c r="E56">
        <v>168</v>
      </c>
      <c r="F56" t="s">
        <v>48</v>
      </c>
      <c r="G56" t="s">
        <v>52</v>
      </c>
      <c r="H56" s="27">
        <v>45763</v>
      </c>
      <c r="I56" s="13" t="s">
        <v>2949</v>
      </c>
      <c r="J56" s="13"/>
      <c r="K56" s="42" t="s">
        <v>2957</v>
      </c>
    </row>
    <row r="57" spans="1:11" ht="30" x14ac:dyDescent="0.25">
      <c r="A57" t="s">
        <v>2958</v>
      </c>
      <c r="B57" t="s">
        <v>2801</v>
      </c>
      <c r="C57" t="s">
        <v>194</v>
      </c>
      <c r="D57" t="s">
        <v>194</v>
      </c>
      <c r="E57">
        <v>168</v>
      </c>
      <c r="F57" t="s">
        <v>48</v>
      </c>
      <c r="G57" t="s">
        <v>52</v>
      </c>
      <c r="H57" s="27">
        <v>45763</v>
      </c>
      <c r="I57" s="13" t="s">
        <v>2959</v>
      </c>
      <c r="J57" t="s">
        <v>2960</v>
      </c>
      <c r="K57" s="42" t="s">
        <v>2961</v>
      </c>
    </row>
    <row r="58" spans="1:11" x14ac:dyDescent="0.25">
      <c r="A58" t="s">
        <v>2962</v>
      </c>
      <c r="B58" t="s">
        <v>2801</v>
      </c>
      <c r="C58" t="s">
        <v>178</v>
      </c>
      <c r="D58" t="s">
        <v>257</v>
      </c>
      <c r="E58">
        <v>168</v>
      </c>
      <c r="F58" t="s">
        <v>48</v>
      </c>
      <c r="G58" t="s">
        <v>52</v>
      </c>
      <c r="H58" s="27">
        <v>45770</v>
      </c>
      <c r="I58" t="s">
        <v>2963</v>
      </c>
      <c r="J58" t="s">
        <v>2960</v>
      </c>
      <c r="K58" s="42" t="s">
        <v>2964</v>
      </c>
    </row>
    <row r="59" spans="1:11" x14ac:dyDescent="0.25">
      <c r="A59" t="s">
        <v>2965</v>
      </c>
      <c r="B59" t="s">
        <v>2801</v>
      </c>
      <c r="C59" t="s">
        <v>178</v>
      </c>
      <c r="D59" t="s">
        <v>257</v>
      </c>
      <c r="E59">
        <v>168</v>
      </c>
      <c r="F59" t="s">
        <v>48</v>
      </c>
      <c r="G59" t="s">
        <v>52</v>
      </c>
      <c r="H59" s="27">
        <v>45770</v>
      </c>
      <c r="I59" t="s">
        <v>2966</v>
      </c>
      <c r="K59" s="42" t="s">
        <v>2967</v>
      </c>
    </row>
    <row r="60" spans="1:11" x14ac:dyDescent="0.25">
      <c r="A60" t="s">
        <v>2968</v>
      </c>
      <c r="B60" t="s">
        <v>2801</v>
      </c>
      <c r="C60" t="s">
        <v>178</v>
      </c>
      <c r="D60" t="s">
        <v>257</v>
      </c>
      <c r="E60">
        <v>168</v>
      </c>
      <c r="F60" t="s">
        <v>48</v>
      </c>
      <c r="G60" t="s">
        <v>52</v>
      </c>
      <c r="H60" s="27">
        <v>45770</v>
      </c>
      <c r="I60" t="s">
        <v>2969</v>
      </c>
      <c r="J60" t="s">
        <v>2960</v>
      </c>
      <c r="K60" s="42" t="s">
        <v>2970</v>
      </c>
    </row>
    <row r="61" spans="1:11" x14ac:dyDescent="0.25">
      <c r="A61" t="s">
        <v>2971</v>
      </c>
      <c r="B61" t="s">
        <v>2801</v>
      </c>
      <c r="C61" t="s">
        <v>194</v>
      </c>
      <c r="D61" t="s">
        <v>257</v>
      </c>
      <c r="E61">
        <v>168</v>
      </c>
      <c r="F61" t="s">
        <v>48</v>
      </c>
      <c r="G61" t="s">
        <v>52</v>
      </c>
      <c r="H61" s="27">
        <v>45770</v>
      </c>
      <c r="I61" t="s">
        <v>2972</v>
      </c>
      <c r="J61" t="s">
        <v>2960</v>
      </c>
      <c r="K61" s="42" t="s">
        <v>2973</v>
      </c>
    </row>
    <row r="62" spans="1:11" ht="30" x14ac:dyDescent="0.25">
      <c r="A62" t="s">
        <v>2974</v>
      </c>
      <c r="B62" t="s">
        <v>2801</v>
      </c>
      <c r="C62" t="s">
        <v>194</v>
      </c>
      <c r="D62" t="s">
        <v>2647</v>
      </c>
      <c r="E62">
        <v>168</v>
      </c>
      <c r="F62" t="s">
        <v>48</v>
      </c>
      <c r="G62" t="s">
        <v>52</v>
      </c>
      <c r="H62" s="27">
        <v>45772</v>
      </c>
      <c r="I62" s="13" t="s">
        <v>2949</v>
      </c>
      <c r="J62" s="13"/>
      <c r="K62" s="42" t="s">
        <v>2975</v>
      </c>
    </row>
    <row r="63" spans="1:11" ht="30" x14ac:dyDescent="0.25">
      <c r="A63" t="s">
        <v>2976</v>
      </c>
      <c r="B63" t="s">
        <v>2801</v>
      </c>
      <c r="C63" t="s">
        <v>194</v>
      </c>
      <c r="D63" t="s">
        <v>2647</v>
      </c>
      <c r="E63">
        <v>168</v>
      </c>
      <c r="F63" t="s">
        <v>48</v>
      </c>
      <c r="G63" t="s">
        <v>52</v>
      </c>
      <c r="H63" s="27">
        <v>45772</v>
      </c>
      <c r="I63" s="13" t="s">
        <v>2977</v>
      </c>
      <c r="J63" s="13"/>
      <c r="K63" s="42" t="s">
        <v>2978</v>
      </c>
    </row>
    <row r="64" spans="1:11" x14ac:dyDescent="0.25">
      <c r="A64" t="s">
        <v>2979</v>
      </c>
      <c r="B64" t="s">
        <v>2801</v>
      </c>
      <c r="C64" t="s">
        <v>194</v>
      </c>
      <c r="D64" t="s">
        <v>2647</v>
      </c>
      <c r="E64">
        <v>168</v>
      </c>
      <c r="F64" t="s">
        <v>48</v>
      </c>
      <c r="G64" t="s">
        <v>52</v>
      </c>
      <c r="H64" s="27">
        <v>45772</v>
      </c>
      <c r="I64" s="13" t="s">
        <v>2980</v>
      </c>
      <c r="J64" s="13"/>
      <c r="K64" s="42" t="s">
        <v>2981</v>
      </c>
    </row>
    <row r="65" spans="1:11" x14ac:dyDescent="0.25">
      <c r="A65" t="s">
        <v>2982</v>
      </c>
      <c r="B65" t="s">
        <v>2801</v>
      </c>
      <c r="C65" t="s">
        <v>194</v>
      </c>
      <c r="D65" t="s">
        <v>2647</v>
      </c>
      <c r="E65">
        <v>168</v>
      </c>
      <c r="F65" t="s">
        <v>48</v>
      </c>
      <c r="G65" t="s">
        <v>52</v>
      </c>
      <c r="H65" s="27">
        <v>45772</v>
      </c>
      <c r="I65" s="13" t="s">
        <v>2983</v>
      </c>
      <c r="J65" t="s">
        <v>2960</v>
      </c>
      <c r="K65" s="42" t="s">
        <v>2984</v>
      </c>
    </row>
    <row r="66" spans="1:11" x14ac:dyDescent="0.25">
      <c r="A66" t="s">
        <v>2985</v>
      </c>
      <c r="B66" t="s">
        <v>2801</v>
      </c>
      <c r="C66" t="s">
        <v>194</v>
      </c>
      <c r="D66" t="s">
        <v>2647</v>
      </c>
      <c r="E66">
        <v>168</v>
      </c>
      <c r="F66" t="s">
        <v>48</v>
      </c>
      <c r="G66" t="s">
        <v>52</v>
      </c>
      <c r="H66" s="27">
        <v>45772</v>
      </c>
      <c r="I66" s="13" t="s">
        <v>2986</v>
      </c>
      <c r="J66" s="13"/>
      <c r="K66" s="42" t="s">
        <v>2987</v>
      </c>
    </row>
    <row r="67" spans="1:11" x14ac:dyDescent="0.25">
      <c r="A67" t="s">
        <v>2988</v>
      </c>
      <c r="B67" t="s">
        <v>2801</v>
      </c>
      <c r="C67" t="s">
        <v>194</v>
      </c>
      <c r="D67" t="s">
        <v>245</v>
      </c>
      <c r="E67">
        <v>168</v>
      </c>
      <c r="F67" t="s">
        <v>48</v>
      </c>
      <c r="G67" t="s">
        <v>358</v>
      </c>
      <c r="H67" s="27">
        <v>45779</v>
      </c>
      <c r="I67" t="s">
        <v>2989</v>
      </c>
      <c r="J67" t="s">
        <v>2960</v>
      </c>
      <c r="K67" s="42" t="s">
        <v>2990</v>
      </c>
    </row>
    <row r="68" spans="1:11" x14ac:dyDescent="0.25">
      <c r="A68" t="s">
        <v>2991</v>
      </c>
      <c r="B68" t="s">
        <v>2801</v>
      </c>
      <c r="C68" t="s">
        <v>257</v>
      </c>
      <c r="D68" t="s">
        <v>245</v>
      </c>
      <c r="E68">
        <v>168</v>
      </c>
      <c r="F68" t="s">
        <v>48</v>
      </c>
      <c r="G68" t="s">
        <v>715</v>
      </c>
      <c r="H68" s="27">
        <v>45783</v>
      </c>
      <c r="I68" t="s">
        <v>2992</v>
      </c>
      <c r="K68" s="42" t="s">
        <v>2993</v>
      </c>
    </row>
    <row r="69" spans="1:11" x14ac:dyDescent="0.25">
      <c r="A69" t="s">
        <v>2994</v>
      </c>
      <c r="B69" t="s">
        <v>2801</v>
      </c>
      <c r="C69" t="s">
        <v>257</v>
      </c>
      <c r="D69" t="s">
        <v>245</v>
      </c>
      <c r="E69">
        <v>168</v>
      </c>
      <c r="F69" t="s">
        <v>48</v>
      </c>
      <c r="G69" t="s">
        <v>715</v>
      </c>
      <c r="H69" s="27">
        <v>45783</v>
      </c>
      <c r="I69" t="s">
        <v>2995</v>
      </c>
      <c r="J69" t="s">
        <v>2960</v>
      </c>
      <c r="K69" s="42" t="s">
        <v>2996</v>
      </c>
    </row>
    <row r="70" spans="1:11" x14ac:dyDescent="0.25">
      <c r="A70" t="s">
        <v>2997</v>
      </c>
      <c r="B70" t="s">
        <v>2801</v>
      </c>
      <c r="C70" t="s">
        <v>257</v>
      </c>
      <c r="D70" t="s">
        <v>245</v>
      </c>
      <c r="E70">
        <v>168</v>
      </c>
      <c r="F70" t="s">
        <v>48</v>
      </c>
      <c r="G70" t="s">
        <v>715</v>
      </c>
      <c r="H70" s="27">
        <v>45783</v>
      </c>
      <c r="I70" t="s">
        <v>2998</v>
      </c>
      <c r="K70" s="42" t="s">
        <v>2999</v>
      </c>
    </row>
    <row r="71" spans="1:11" x14ac:dyDescent="0.25">
      <c r="A71" t="s">
        <v>3000</v>
      </c>
      <c r="B71" t="s">
        <v>2801</v>
      </c>
      <c r="C71" t="s">
        <v>257</v>
      </c>
      <c r="D71" t="s">
        <v>245</v>
      </c>
      <c r="E71">
        <v>168</v>
      </c>
      <c r="F71" t="s">
        <v>48</v>
      </c>
      <c r="G71" t="s">
        <v>715</v>
      </c>
      <c r="H71" s="27">
        <v>45783</v>
      </c>
      <c r="I71" t="s">
        <v>3001</v>
      </c>
      <c r="J71" t="s">
        <v>2960</v>
      </c>
      <c r="K71" s="42" t="s">
        <v>3002</v>
      </c>
    </row>
    <row r="72" spans="1:11" x14ac:dyDescent="0.25">
      <c r="A72" t="s">
        <v>3003</v>
      </c>
      <c r="B72" t="s">
        <v>2801</v>
      </c>
      <c r="C72" t="s">
        <v>194</v>
      </c>
      <c r="D72" t="s">
        <v>245</v>
      </c>
      <c r="E72">
        <v>168</v>
      </c>
      <c r="F72" t="s">
        <v>48</v>
      </c>
      <c r="G72" t="s">
        <v>358</v>
      </c>
      <c r="H72" s="27">
        <v>45786</v>
      </c>
      <c r="I72" t="s">
        <v>2665</v>
      </c>
      <c r="K72" s="42" t="s">
        <v>3004</v>
      </c>
    </row>
    <row r="73" spans="1:11" x14ac:dyDescent="0.25">
      <c r="A73" t="s">
        <v>3005</v>
      </c>
      <c r="B73" t="s">
        <v>2801</v>
      </c>
      <c r="C73" t="s">
        <v>257</v>
      </c>
      <c r="D73" t="s">
        <v>2323</v>
      </c>
      <c r="E73">
        <v>168</v>
      </c>
      <c r="F73" t="s">
        <v>48</v>
      </c>
      <c r="G73" t="s">
        <v>358</v>
      </c>
      <c r="H73" s="27">
        <v>45789</v>
      </c>
      <c r="I73" t="s">
        <v>3006</v>
      </c>
      <c r="J73" t="s">
        <v>2960</v>
      </c>
      <c r="K73" s="42" t="s">
        <v>3007</v>
      </c>
    </row>
    <row r="74" spans="1:11" x14ac:dyDescent="0.25">
      <c r="A74" t="s">
        <v>3008</v>
      </c>
      <c r="B74" t="s">
        <v>2801</v>
      </c>
      <c r="C74" t="s">
        <v>194</v>
      </c>
      <c r="D74" t="s">
        <v>2647</v>
      </c>
      <c r="E74">
        <v>168</v>
      </c>
      <c r="F74" t="s">
        <v>48</v>
      </c>
      <c r="G74" t="s">
        <v>358</v>
      </c>
      <c r="H74" s="27">
        <v>45790</v>
      </c>
      <c r="I74" t="s">
        <v>3009</v>
      </c>
      <c r="J74" t="s">
        <v>2960</v>
      </c>
      <c r="K74" s="42" t="s">
        <v>3010</v>
      </c>
    </row>
    <row r="75" spans="1:11" x14ac:dyDescent="0.25">
      <c r="A75" t="s">
        <v>3011</v>
      </c>
      <c r="B75" t="s">
        <v>2801</v>
      </c>
      <c r="C75" t="s">
        <v>257</v>
      </c>
      <c r="D75" t="s">
        <v>657</v>
      </c>
      <c r="E75">
        <v>168</v>
      </c>
      <c r="F75" t="s">
        <v>48</v>
      </c>
      <c r="G75" t="s">
        <v>358</v>
      </c>
      <c r="H75" s="27">
        <v>45792</v>
      </c>
      <c r="J75" t="s">
        <v>2960</v>
      </c>
      <c r="K75" s="42" t="s">
        <v>3012</v>
      </c>
    </row>
    <row r="76" spans="1:11" x14ac:dyDescent="0.25">
      <c r="A76" t="s">
        <v>3013</v>
      </c>
      <c r="B76" t="s">
        <v>2801</v>
      </c>
      <c r="C76" t="s">
        <v>257</v>
      </c>
      <c r="D76" t="s">
        <v>257</v>
      </c>
      <c r="E76">
        <v>168</v>
      </c>
      <c r="F76" t="s">
        <v>48</v>
      </c>
      <c r="G76" t="s">
        <v>358</v>
      </c>
      <c r="H76" s="27">
        <v>45796</v>
      </c>
      <c r="I76" t="s">
        <v>2251</v>
      </c>
      <c r="J76" t="s">
        <v>2960</v>
      </c>
      <c r="K76" s="42" t="s">
        <v>3014</v>
      </c>
    </row>
    <row r="77" spans="1:11" x14ac:dyDescent="0.25">
      <c r="A77" t="s">
        <v>3015</v>
      </c>
      <c r="B77" t="s">
        <v>2801</v>
      </c>
      <c r="C77" t="s">
        <v>257</v>
      </c>
      <c r="D77" t="s">
        <v>257</v>
      </c>
      <c r="E77">
        <v>168</v>
      </c>
      <c r="F77" t="s">
        <v>48</v>
      </c>
      <c r="G77" t="s">
        <v>358</v>
      </c>
      <c r="H77" s="27">
        <v>45796</v>
      </c>
      <c r="I77" t="s">
        <v>2217</v>
      </c>
      <c r="J77" t="s">
        <v>2960</v>
      </c>
      <c r="K77" s="42" t="s">
        <v>3016</v>
      </c>
    </row>
    <row r="78" spans="1:11" x14ac:dyDescent="0.25">
      <c r="A78" t="s">
        <v>3017</v>
      </c>
      <c r="B78" t="s">
        <v>2801</v>
      </c>
      <c r="C78" t="s">
        <v>257</v>
      </c>
      <c r="D78" t="s">
        <v>257</v>
      </c>
      <c r="E78">
        <v>168</v>
      </c>
      <c r="F78" t="s">
        <v>48</v>
      </c>
      <c r="G78" t="s">
        <v>358</v>
      </c>
      <c r="H78" s="27">
        <v>45796</v>
      </c>
      <c r="I78" t="s">
        <v>2204</v>
      </c>
      <c r="J78" t="s">
        <v>2960</v>
      </c>
      <c r="K78" s="42" t="s">
        <v>3018</v>
      </c>
    </row>
    <row r="79" spans="1:11" x14ac:dyDescent="0.25">
      <c r="A79" t="s">
        <v>3019</v>
      </c>
      <c r="B79" t="s">
        <v>2801</v>
      </c>
      <c r="C79" t="s">
        <v>245</v>
      </c>
      <c r="D79" t="s">
        <v>245</v>
      </c>
      <c r="E79">
        <v>168</v>
      </c>
      <c r="F79" t="s">
        <v>48</v>
      </c>
      <c r="G79" t="s">
        <v>358</v>
      </c>
      <c r="H79" s="27">
        <v>45797</v>
      </c>
      <c r="I79" t="s">
        <v>3020</v>
      </c>
      <c r="J79" t="s">
        <v>2960</v>
      </c>
      <c r="K79" s="42" t="s">
        <v>3021</v>
      </c>
    </row>
    <row r="80" spans="1:11" x14ac:dyDescent="0.25">
      <c r="A80" t="s">
        <v>3022</v>
      </c>
      <c r="B80" t="s">
        <v>2801</v>
      </c>
      <c r="C80" t="s">
        <v>245</v>
      </c>
      <c r="D80" t="s">
        <v>245</v>
      </c>
      <c r="E80">
        <v>168</v>
      </c>
      <c r="F80" t="s">
        <v>48</v>
      </c>
      <c r="G80" t="s">
        <v>358</v>
      </c>
      <c r="H80" s="27">
        <v>45797</v>
      </c>
      <c r="I80" t="s">
        <v>3023</v>
      </c>
      <c r="J80" t="s">
        <v>2960</v>
      </c>
      <c r="K80" s="42" t="s">
        <v>3024</v>
      </c>
    </row>
    <row r="81" spans="1:11" x14ac:dyDescent="0.25">
      <c r="A81" t="s">
        <v>3025</v>
      </c>
      <c r="B81" t="s">
        <v>2801</v>
      </c>
      <c r="C81" t="s">
        <v>194</v>
      </c>
      <c r="D81" t="s">
        <v>245</v>
      </c>
      <c r="E81">
        <v>17</v>
      </c>
      <c r="F81" t="s">
        <v>48</v>
      </c>
      <c r="G81" t="s">
        <v>358</v>
      </c>
      <c r="H81" s="27">
        <v>45805</v>
      </c>
      <c r="I81" s="13" t="s">
        <v>3026</v>
      </c>
      <c r="J81" s="13"/>
      <c r="K81" s="42" t="s">
        <v>3027</v>
      </c>
    </row>
    <row r="82" spans="1:11" x14ac:dyDescent="0.25">
      <c r="A82" t="s">
        <v>3028</v>
      </c>
      <c r="B82" t="s">
        <v>2801</v>
      </c>
      <c r="C82" t="s">
        <v>194</v>
      </c>
      <c r="D82" t="s">
        <v>194</v>
      </c>
      <c r="E82">
        <v>168</v>
      </c>
      <c r="F82" t="s">
        <v>48</v>
      </c>
      <c r="G82" t="s">
        <v>358</v>
      </c>
      <c r="H82" s="27">
        <v>45805</v>
      </c>
      <c r="J82" t="s">
        <v>3029</v>
      </c>
      <c r="K82" s="42" t="s">
        <v>3030</v>
      </c>
    </row>
    <row r="83" spans="1:11" x14ac:dyDescent="0.25">
      <c r="A83" t="s">
        <v>3031</v>
      </c>
      <c r="B83" t="s">
        <v>2801</v>
      </c>
      <c r="C83" t="s">
        <v>194</v>
      </c>
      <c r="D83" t="s">
        <v>245</v>
      </c>
      <c r="E83">
        <v>168</v>
      </c>
      <c r="F83" t="s">
        <v>48</v>
      </c>
      <c r="G83" t="s">
        <v>358</v>
      </c>
      <c r="H83" s="27">
        <v>45805</v>
      </c>
      <c r="J83" t="s">
        <v>3029</v>
      </c>
      <c r="K83" s="42" t="s">
        <v>3032</v>
      </c>
    </row>
    <row r="84" spans="1:11" x14ac:dyDescent="0.25">
      <c r="A84" t="s">
        <v>3033</v>
      </c>
      <c r="B84" t="s">
        <v>2801</v>
      </c>
      <c r="C84" t="s">
        <v>194</v>
      </c>
      <c r="D84" t="s">
        <v>245</v>
      </c>
      <c r="E84">
        <v>168</v>
      </c>
      <c r="F84" t="s">
        <v>48</v>
      </c>
      <c r="G84" t="s">
        <v>358</v>
      </c>
      <c r="H84" s="27">
        <v>45805</v>
      </c>
      <c r="J84" t="s">
        <v>3029</v>
      </c>
      <c r="K84" s="42" t="s">
        <v>3034</v>
      </c>
    </row>
    <row r="85" spans="1:11" x14ac:dyDescent="0.25">
      <c r="A85" t="s">
        <v>3035</v>
      </c>
      <c r="B85" t="s">
        <v>2801</v>
      </c>
      <c r="C85" t="s">
        <v>194</v>
      </c>
      <c r="D85" t="s">
        <v>194</v>
      </c>
      <c r="E85">
        <v>168</v>
      </c>
      <c r="F85" t="s">
        <v>48</v>
      </c>
      <c r="G85" t="s">
        <v>358</v>
      </c>
      <c r="H85" s="27">
        <v>45805</v>
      </c>
      <c r="J85" t="s">
        <v>3029</v>
      </c>
      <c r="K85" s="42" t="s">
        <v>3036</v>
      </c>
    </row>
    <row r="86" spans="1:11" x14ac:dyDescent="0.25">
      <c r="A86" t="s">
        <v>3037</v>
      </c>
      <c r="B86" t="s">
        <v>2801</v>
      </c>
      <c r="C86" t="s">
        <v>194</v>
      </c>
      <c r="D86" t="s">
        <v>245</v>
      </c>
      <c r="E86">
        <v>168</v>
      </c>
      <c r="F86" t="s">
        <v>48</v>
      </c>
      <c r="G86" t="s">
        <v>358</v>
      </c>
      <c r="H86" s="27">
        <v>45805</v>
      </c>
      <c r="J86" t="s">
        <v>3029</v>
      </c>
    </row>
    <row r="87" spans="1:11" x14ac:dyDescent="0.25">
      <c r="A87" t="s">
        <v>3038</v>
      </c>
      <c r="B87" t="s">
        <v>2801</v>
      </c>
      <c r="C87" t="s">
        <v>194</v>
      </c>
      <c r="D87" t="s">
        <v>245</v>
      </c>
      <c r="E87">
        <v>168</v>
      </c>
      <c r="F87" t="s">
        <v>48</v>
      </c>
      <c r="G87" t="s">
        <v>358</v>
      </c>
      <c r="H87" s="27">
        <v>45805</v>
      </c>
      <c r="J87" t="s">
        <v>3029</v>
      </c>
      <c r="K87" s="42" t="s">
        <v>3039</v>
      </c>
    </row>
    <row r="88" spans="1:11" x14ac:dyDescent="0.25">
      <c r="A88" t="s">
        <v>3040</v>
      </c>
      <c r="B88" t="s">
        <v>2801</v>
      </c>
      <c r="C88" t="s">
        <v>566</v>
      </c>
      <c r="D88" t="s">
        <v>194</v>
      </c>
      <c r="E88">
        <v>168</v>
      </c>
      <c r="F88" t="s">
        <v>48</v>
      </c>
      <c r="G88" t="s">
        <v>358</v>
      </c>
      <c r="H88" s="27">
        <v>45807</v>
      </c>
      <c r="I88" t="s">
        <v>3041</v>
      </c>
      <c r="J88" t="s">
        <v>3029</v>
      </c>
      <c r="K88" s="42" t="s">
        <v>3042</v>
      </c>
    </row>
    <row r="89" spans="1:11" x14ac:dyDescent="0.25">
      <c r="A89" t="s">
        <v>3043</v>
      </c>
      <c r="B89" t="s">
        <v>2801</v>
      </c>
      <c r="C89" t="s">
        <v>566</v>
      </c>
      <c r="D89" t="s">
        <v>194</v>
      </c>
      <c r="E89">
        <v>168</v>
      </c>
      <c r="F89" t="s">
        <v>48</v>
      </c>
      <c r="G89" t="s">
        <v>358</v>
      </c>
      <c r="H89" s="27">
        <v>45807</v>
      </c>
      <c r="I89" t="s">
        <v>3044</v>
      </c>
      <c r="J89" t="s">
        <v>3029</v>
      </c>
      <c r="K89" s="42" t="s">
        <v>3045</v>
      </c>
    </row>
    <row r="90" spans="1:11" x14ac:dyDescent="0.25">
      <c r="A90" t="s">
        <v>3046</v>
      </c>
      <c r="B90" t="s">
        <v>2801</v>
      </c>
      <c r="C90" t="s">
        <v>566</v>
      </c>
      <c r="D90" t="s">
        <v>194</v>
      </c>
      <c r="E90">
        <v>168</v>
      </c>
      <c r="F90" t="s">
        <v>48</v>
      </c>
      <c r="G90" t="s">
        <v>358</v>
      </c>
      <c r="H90" s="27">
        <v>45807</v>
      </c>
      <c r="I90" t="s">
        <v>3047</v>
      </c>
      <c r="J90" t="s">
        <v>3029</v>
      </c>
      <c r="K90" s="42" t="s">
        <v>3048</v>
      </c>
    </row>
    <row r="91" spans="1:11" x14ac:dyDescent="0.25">
      <c r="A91" t="s">
        <v>3049</v>
      </c>
      <c r="B91" t="s">
        <v>2801</v>
      </c>
      <c r="C91" t="s">
        <v>566</v>
      </c>
      <c r="D91" t="s">
        <v>194</v>
      </c>
      <c r="E91">
        <v>168</v>
      </c>
      <c r="F91" t="s">
        <v>48</v>
      </c>
      <c r="G91" t="s">
        <v>358</v>
      </c>
      <c r="H91" s="27">
        <v>45807</v>
      </c>
      <c r="I91" s="13" t="s">
        <v>3044</v>
      </c>
      <c r="J91" t="s">
        <v>3029</v>
      </c>
      <c r="K91" s="42" t="s">
        <v>3050</v>
      </c>
    </row>
    <row r="92" spans="1:11" x14ac:dyDescent="0.25">
      <c r="A92" t="s">
        <v>3051</v>
      </c>
      <c r="B92" t="s">
        <v>2801</v>
      </c>
      <c r="C92" t="s">
        <v>566</v>
      </c>
      <c r="D92" t="s">
        <v>245</v>
      </c>
      <c r="E92">
        <v>168</v>
      </c>
      <c r="F92" t="s">
        <v>48</v>
      </c>
      <c r="G92" t="s">
        <v>358</v>
      </c>
      <c r="H92" s="27">
        <v>45807</v>
      </c>
      <c r="I92" s="13" t="s">
        <v>3041</v>
      </c>
      <c r="J92" t="s">
        <v>3029</v>
      </c>
      <c r="K92" s="42" t="s">
        <v>3052</v>
      </c>
    </row>
    <row r="93" spans="1:11" x14ac:dyDescent="0.25">
      <c r="A93" t="s">
        <v>3053</v>
      </c>
      <c r="B93" t="s">
        <v>2801</v>
      </c>
      <c r="C93" t="s">
        <v>566</v>
      </c>
      <c r="D93" t="s">
        <v>194</v>
      </c>
      <c r="E93">
        <v>168</v>
      </c>
      <c r="F93" t="s">
        <v>48</v>
      </c>
      <c r="G93" t="s">
        <v>358</v>
      </c>
      <c r="H93" s="27">
        <v>45807</v>
      </c>
      <c r="I93" t="s">
        <v>3054</v>
      </c>
      <c r="J93" t="s">
        <v>3029</v>
      </c>
      <c r="K93" s="42" t="s">
        <v>3042</v>
      </c>
    </row>
    <row r="94" spans="1:11" x14ac:dyDescent="0.25">
      <c r="A94" t="s">
        <v>3055</v>
      </c>
      <c r="B94" t="s">
        <v>2801</v>
      </c>
      <c r="C94" t="s">
        <v>194</v>
      </c>
      <c r="D94" t="s">
        <v>245</v>
      </c>
      <c r="E94">
        <v>168</v>
      </c>
      <c r="F94" t="s">
        <v>48</v>
      </c>
      <c r="G94" t="s">
        <v>358</v>
      </c>
      <c r="H94" s="27">
        <v>45812</v>
      </c>
      <c r="J94" t="s">
        <v>3029</v>
      </c>
      <c r="K94" s="42" t="s">
        <v>3056</v>
      </c>
    </row>
    <row r="95" spans="1:11" x14ac:dyDescent="0.25">
      <c r="A95" t="s">
        <v>3057</v>
      </c>
      <c r="B95" t="s">
        <v>2801</v>
      </c>
      <c r="C95" t="s">
        <v>194</v>
      </c>
      <c r="D95" t="s">
        <v>3058</v>
      </c>
      <c r="E95">
        <v>168</v>
      </c>
      <c r="F95" t="s">
        <v>48</v>
      </c>
      <c r="G95" t="s">
        <v>358</v>
      </c>
      <c r="H95" s="27">
        <v>45812</v>
      </c>
      <c r="J95" t="s">
        <v>3029</v>
      </c>
      <c r="K95" s="42" t="s">
        <v>3059</v>
      </c>
    </row>
    <row r="96" spans="1:11" x14ac:dyDescent="0.25">
      <c r="A96" t="s">
        <v>3060</v>
      </c>
      <c r="B96" t="s">
        <v>2801</v>
      </c>
      <c r="C96" t="s">
        <v>245</v>
      </c>
      <c r="D96" t="s">
        <v>245</v>
      </c>
      <c r="E96">
        <v>168</v>
      </c>
      <c r="F96" t="s">
        <v>48</v>
      </c>
      <c r="G96" t="s">
        <v>358</v>
      </c>
      <c r="H96" s="27">
        <v>45812</v>
      </c>
      <c r="I96" t="s">
        <v>3061</v>
      </c>
      <c r="J96" t="s">
        <v>3029</v>
      </c>
      <c r="K96" s="42" t="s">
        <v>3062</v>
      </c>
    </row>
    <row r="97" spans="1:11" x14ac:dyDescent="0.25">
      <c r="A97" t="s">
        <v>3063</v>
      </c>
      <c r="B97" t="s">
        <v>2801</v>
      </c>
      <c r="C97" t="s">
        <v>245</v>
      </c>
      <c r="D97" t="s">
        <v>257</v>
      </c>
      <c r="E97">
        <v>168</v>
      </c>
      <c r="F97" t="s">
        <v>48</v>
      </c>
      <c r="G97" t="s">
        <v>358</v>
      </c>
      <c r="H97" s="27">
        <v>45813</v>
      </c>
      <c r="I97" s="13" t="s">
        <v>3064</v>
      </c>
      <c r="J97" t="s">
        <v>3029</v>
      </c>
      <c r="K97" s="42" t="s">
        <v>3065</v>
      </c>
    </row>
    <row r="98" spans="1:11" x14ac:dyDescent="0.25">
      <c r="A98" t="s">
        <v>3066</v>
      </c>
      <c r="B98" t="s">
        <v>2801</v>
      </c>
      <c r="C98" t="s">
        <v>2647</v>
      </c>
      <c r="D98" t="s">
        <v>257</v>
      </c>
      <c r="E98">
        <v>168</v>
      </c>
      <c r="F98" t="s">
        <v>48</v>
      </c>
      <c r="G98" t="s">
        <v>358</v>
      </c>
      <c r="H98" s="27">
        <v>45813</v>
      </c>
      <c r="I98" s="13" t="s">
        <v>3020</v>
      </c>
      <c r="J98" t="s">
        <v>3029</v>
      </c>
      <c r="K98" s="42" t="s">
        <v>3067</v>
      </c>
    </row>
    <row r="99" spans="1:11" x14ac:dyDescent="0.25">
      <c r="A99" t="s">
        <v>3068</v>
      </c>
      <c r="B99" t="s">
        <v>2801</v>
      </c>
      <c r="C99" t="s">
        <v>2647</v>
      </c>
      <c r="D99" t="s">
        <v>257</v>
      </c>
      <c r="E99">
        <v>168</v>
      </c>
      <c r="F99" t="s">
        <v>48</v>
      </c>
      <c r="G99" t="s">
        <v>358</v>
      </c>
      <c r="H99" s="27">
        <v>45813</v>
      </c>
      <c r="I99" s="13" t="s">
        <v>3023</v>
      </c>
      <c r="J99" t="s">
        <v>3029</v>
      </c>
      <c r="K99" s="42" t="s">
        <v>3069</v>
      </c>
    </row>
    <row r="100" spans="1:11" x14ac:dyDescent="0.25">
      <c r="A100" t="s">
        <v>3070</v>
      </c>
      <c r="B100" t="s">
        <v>2801</v>
      </c>
      <c r="C100" t="s">
        <v>194</v>
      </c>
      <c r="D100" t="s">
        <v>245</v>
      </c>
      <c r="E100">
        <v>168</v>
      </c>
      <c r="F100" t="s">
        <v>48</v>
      </c>
      <c r="G100" t="s">
        <v>358</v>
      </c>
      <c r="H100" s="10">
        <v>45818</v>
      </c>
      <c r="I100" t="s">
        <v>3071</v>
      </c>
      <c r="J100" t="s">
        <v>3029</v>
      </c>
      <c r="K100" s="42" t="s">
        <v>3072</v>
      </c>
    </row>
    <row r="101" spans="1:11" x14ac:dyDescent="0.25">
      <c r="A101" t="s">
        <v>3073</v>
      </c>
      <c r="B101" t="s">
        <v>2801</v>
      </c>
      <c r="C101" t="s">
        <v>245</v>
      </c>
      <c r="D101" t="s">
        <v>245</v>
      </c>
      <c r="E101">
        <v>168</v>
      </c>
      <c r="F101" t="s">
        <v>48</v>
      </c>
      <c r="G101" t="s">
        <v>358</v>
      </c>
      <c r="H101" s="10">
        <v>45818</v>
      </c>
      <c r="I101" t="s">
        <v>3020</v>
      </c>
      <c r="J101" t="s">
        <v>3029</v>
      </c>
      <c r="K101" s="42" t="s">
        <v>3074</v>
      </c>
    </row>
    <row r="102" spans="1:11" x14ac:dyDescent="0.25">
      <c r="A102" t="s">
        <v>3075</v>
      </c>
      <c r="B102" t="s">
        <v>2801</v>
      </c>
      <c r="C102" t="s">
        <v>194</v>
      </c>
      <c r="D102" t="s">
        <v>245</v>
      </c>
      <c r="E102">
        <v>168</v>
      </c>
      <c r="F102" t="s">
        <v>48</v>
      </c>
      <c r="G102" t="s">
        <v>358</v>
      </c>
      <c r="H102" s="10">
        <v>45818</v>
      </c>
      <c r="I102" t="s">
        <v>3023</v>
      </c>
      <c r="J102" t="s">
        <v>3029</v>
      </c>
      <c r="K102" s="42" t="s">
        <v>3076</v>
      </c>
    </row>
    <row r="103" spans="1:11" x14ac:dyDescent="0.25">
      <c r="A103" t="s">
        <v>3077</v>
      </c>
      <c r="B103" t="s">
        <v>2801</v>
      </c>
      <c r="C103" t="s">
        <v>245</v>
      </c>
      <c r="D103" t="s">
        <v>245</v>
      </c>
      <c r="E103">
        <v>168</v>
      </c>
      <c r="F103" t="s">
        <v>48</v>
      </c>
      <c r="G103" t="s">
        <v>358</v>
      </c>
      <c r="H103" s="10">
        <v>45818</v>
      </c>
      <c r="I103" t="s">
        <v>3064</v>
      </c>
      <c r="J103" t="s">
        <v>3029</v>
      </c>
      <c r="K103" s="42" t="s">
        <v>3078</v>
      </c>
    </row>
    <row r="104" spans="1:11" x14ac:dyDescent="0.25">
      <c r="A104" t="s">
        <v>3079</v>
      </c>
      <c r="B104" t="s">
        <v>2801</v>
      </c>
      <c r="C104" t="s">
        <v>257</v>
      </c>
      <c r="D104" t="s">
        <v>245</v>
      </c>
      <c r="E104">
        <v>168</v>
      </c>
      <c r="F104" t="s">
        <v>48</v>
      </c>
      <c r="G104" t="s">
        <v>358</v>
      </c>
      <c r="H104" s="10">
        <v>45818</v>
      </c>
      <c r="I104" s="1" t="s">
        <v>3080</v>
      </c>
      <c r="J104" t="s">
        <v>3029</v>
      </c>
      <c r="K104" s="42" t="s">
        <v>3081</v>
      </c>
    </row>
    <row r="105" spans="1:11" x14ac:dyDescent="0.25">
      <c r="A105" t="s">
        <v>3082</v>
      </c>
      <c r="B105" t="s">
        <v>2801</v>
      </c>
      <c r="C105" t="s">
        <v>245</v>
      </c>
      <c r="D105" t="s">
        <v>245</v>
      </c>
      <c r="E105">
        <v>168</v>
      </c>
      <c r="F105" t="s">
        <v>48</v>
      </c>
      <c r="G105" t="s">
        <v>358</v>
      </c>
      <c r="H105" s="10">
        <v>45818</v>
      </c>
      <c r="I105" t="s">
        <v>3083</v>
      </c>
      <c r="J105" t="s">
        <v>3029</v>
      </c>
      <c r="K105" s="42" t="s">
        <v>3084</v>
      </c>
    </row>
    <row r="106" spans="1:11" x14ac:dyDescent="0.25">
      <c r="A106" t="s">
        <v>3085</v>
      </c>
      <c r="B106" t="s">
        <v>2801</v>
      </c>
      <c r="C106" t="s">
        <v>245</v>
      </c>
      <c r="D106" t="s">
        <v>257</v>
      </c>
      <c r="E106">
        <v>24</v>
      </c>
      <c r="F106" t="s">
        <v>48</v>
      </c>
      <c r="G106" t="s">
        <v>358</v>
      </c>
      <c r="H106" s="10">
        <v>45819</v>
      </c>
      <c r="I106" s="34" t="s">
        <v>3086</v>
      </c>
      <c r="J106" t="s">
        <v>3029</v>
      </c>
      <c r="K106" s="42" t="s">
        <v>3087</v>
      </c>
    </row>
    <row r="107" spans="1:11" x14ac:dyDescent="0.25">
      <c r="A107" t="s">
        <v>3088</v>
      </c>
      <c r="B107" t="s">
        <v>2801</v>
      </c>
      <c r="C107" t="s">
        <v>178</v>
      </c>
      <c r="D107" t="s">
        <v>257</v>
      </c>
      <c r="E107">
        <v>139</v>
      </c>
      <c r="F107" t="s">
        <v>3089</v>
      </c>
      <c r="G107" t="s">
        <v>358</v>
      </c>
      <c r="H107" s="10">
        <v>45820</v>
      </c>
      <c r="I107" s="34" t="s">
        <v>3090</v>
      </c>
      <c r="J107" t="s">
        <v>3029</v>
      </c>
      <c r="K107" s="42" t="s">
        <v>3091</v>
      </c>
    </row>
    <row r="108" spans="1:11" x14ac:dyDescent="0.25">
      <c r="A108" t="s">
        <v>3092</v>
      </c>
      <c r="B108" t="s">
        <v>2801</v>
      </c>
      <c r="C108" t="s">
        <v>155</v>
      </c>
      <c r="D108" t="s">
        <v>178</v>
      </c>
      <c r="E108">
        <v>168</v>
      </c>
      <c r="F108" t="s">
        <v>48</v>
      </c>
      <c r="G108" t="s">
        <v>358</v>
      </c>
      <c r="H108" s="27">
        <v>45820</v>
      </c>
      <c r="I108" s="54" t="s">
        <v>2251</v>
      </c>
      <c r="J108" t="s">
        <v>3029</v>
      </c>
      <c r="K108" s="42" t="s">
        <v>3093</v>
      </c>
    </row>
    <row r="109" spans="1:11" x14ac:dyDescent="0.25">
      <c r="A109" t="s">
        <v>3094</v>
      </c>
      <c r="B109" t="s">
        <v>2801</v>
      </c>
      <c r="C109" t="s">
        <v>155</v>
      </c>
      <c r="D109" t="s">
        <v>178</v>
      </c>
      <c r="E109">
        <v>168</v>
      </c>
      <c r="F109" t="s">
        <v>48</v>
      </c>
      <c r="G109" t="s">
        <v>358</v>
      </c>
      <c r="H109" s="27">
        <v>45820</v>
      </c>
      <c r="I109" s="54" t="s">
        <v>2217</v>
      </c>
      <c r="J109" t="s">
        <v>3029</v>
      </c>
      <c r="K109" s="42" t="s">
        <v>3095</v>
      </c>
    </row>
    <row r="110" spans="1:11" x14ac:dyDescent="0.25">
      <c r="A110" t="s">
        <v>3096</v>
      </c>
      <c r="B110" t="s">
        <v>2801</v>
      </c>
      <c r="C110" t="s">
        <v>155</v>
      </c>
      <c r="D110" t="s">
        <v>178</v>
      </c>
      <c r="E110">
        <v>168</v>
      </c>
      <c r="F110" t="s">
        <v>48</v>
      </c>
      <c r="G110" t="s">
        <v>358</v>
      </c>
      <c r="H110" s="27">
        <v>45820</v>
      </c>
      <c r="I110" s="54" t="s">
        <v>2204</v>
      </c>
      <c r="J110" t="s">
        <v>3029</v>
      </c>
      <c r="K110" s="42" t="s">
        <v>3097</v>
      </c>
    </row>
    <row r="111" spans="1:11" x14ac:dyDescent="0.25">
      <c r="A111" t="s">
        <v>3098</v>
      </c>
      <c r="B111" t="s">
        <v>2801</v>
      </c>
      <c r="C111" t="s">
        <v>257</v>
      </c>
      <c r="D111" t="s">
        <v>178</v>
      </c>
      <c r="E111">
        <v>168</v>
      </c>
      <c r="F111" t="s">
        <v>48</v>
      </c>
      <c r="G111" t="s">
        <v>358</v>
      </c>
      <c r="H111" s="27">
        <v>45820</v>
      </c>
      <c r="I111" s="55" t="s">
        <v>3020</v>
      </c>
      <c r="J111" t="s">
        <v>3029</v>
      </c>
      <c r="K111" s="42" t="s">
        <v>3099</v>
      </c>
    </row>
    <row r="112" spans="1:11" x14ac:dyDescent="0.25">
      <c r="A112" t="s">
        <v>3100</v>
      </c>
      <c r="B112" t="s">
        <v>2801</v>
      </c>
      <c r="C112" t="s">
        <v>257</v>
      </c>
      <c r="D112" t="s">
        <v>178</v>
      </c>
      <c r="E112">
        <v>168</v>
      </c>
      <c r="F112" t="s">
        <v>48</v>
      </c>
      <c r="G112" t="s">
        <v>358</v>
      </c>
      <c r="H112" s="27">
        <v>45820</v>
      </c>
      <c r="I112" s="55" t="s">
        <v>3071</v>
      </c>
      <c r="J112" t="s">
        <v>3029</v>
      </c>
      <c r="K112" s="42" t="s">
        <v>3101</v>
      </c>
    </row>
    <row r="113" spans="1:11" x14ac:dyDescent="0.25">
      <c r="A113" t="s">
        <v>3102</v>
      </c>
      <c r="B113" t="s">
        <v>2801</v>
      </c>
      <c r="C113" t="s">
        <v>257</v>
      </c>
      <c r="D113" t="s">
        <v>178</v>
      </c>
      <c r="E113">
        <v>168</v>
      </c>
      <c r="F113" t="s">
        <v>48</v>
      </c>
      <c r="G113" t="s">
        <v>358</v>
      </c>
      <c r="H113" s="27">
        <v>45820</v>
      </c>
      <c r="I113" s="55" t="s">
        <v>3023</v>
      </c>
      <c r="J113" t="s">
        <v>3029</v>
      </c>
      <c r="K113" s="42" t="s">
        <v>3103</v>
      </c>
    </row>
    <row r="114" spans="1:11" x14ac:dyDescent="0.25">
      <c r="A114" t="s">
        <v>3104</v>
      </c>
      <c r="B114" t="s">
        <v>2801</v>
      </c>
      <c r="C114" t="s">
        <v>178</v>
      </c>
      <c r="D114" t="s">
        <v>155</v>
      </c>
      <c r="E114">
        <v>168</v>
      </c>
      <c r="F114" t="s">
        <v>48</v>
      </c>
      <c r="G114" t="s">
        <v>358</v>
      </c>
      <c r="H114" s="27">
        <v>45821</v>
      </c>
      <c r="J114" t="s">
        <v>3029</v>
      </c>
      <c r="K114" s="42" t="s">
        <v>3105</v>
      </c>
    </row>
    <row r="115" spans="1:11" x14ac:dyDescent="0.25">
      <c r="A115" t="s">
        <v>3106</v>
      </c>
      <c r="B115" t="s">
        <v>2801</v>
      </c>
      <c r="C115" t="s">
        <v>178</v>
      </c>
      <c r="D115" t="s">
        <v>155</v>
      </c>
      <c r="E115">
        <v>168</v>
      </c>
      <c r="F115" t="s">
        <v>48</v>
      </c>
      <c r="G115" t="s">
        <v>358</v>
      </c>
      <c r="H115" s="27">
        <v>45821</v>
      </c>
      <c r="J115" t="s">
        <v>3029</v>
      </c>
      <c r="K115" s="42" t="s">
        <v>3107</v>
      </c>
    </row>
    <row r="116" spans="1:11" x14ac:dyDescent="0.25">
      <c r="A116" t="s">
        <v>3108</v>
      </c>
      <c r="B116" t="s">
        <v>2801</v>
      </c>
      <c r="C116" t="s">
        <v>178</v>
      </c>
      <c r="D116" t="s">
        <v>155</v>
      </c>
      <c r="E116">
        <v>168</v>
      </c>
      <c r="F116" t="s">
        <v>48</v>
      </c>
      <c r="G116" t="s">
        <v>358</v>
      </c>
      <c r="H116" s="27">
        <v>45821</v>
      </c>
      <c r="J116" t="s">
        <v>3029</v>
      </c>
      <c r="K116" s="42" t="s">
        <v>3109</v>
      </c>
    </row>
    <row r="117" spans="1:11" x14ac:dyDescent="0.25">
      <c r="A117" t="s">
        <v>3110</v>
      </c>
      <c r="B117" t="s">
        <v>2801</v>
      </c>
      <c r="C117" t="s">
        <v>178</v>
      </c>
      <c r="D117" t="s">
        <v>257</v>
      </c>
      <c r="E117">
        <v>168</v>
      </c>
      <c r="F117" t="s">
        <v>3089</v>
      </c>
      <c r="G117" t="s">
        <v>358</v>
      </c>
      <c r="H117" s="27">
        <v>45824</v>
      </c>
      <c r="I117" s="56" t="s">
        <v>3111</v>
      </c>
      <c r="J117" t="s">
        <v>3029</v>
      </c>
      <c r="K117" s="42" t="s">
        <v>3112</v>
      </c>
    </row>
    <row r="118" spans="1:11" x14ac:dyDescent="0.25">
      <c r="A118" t="s">
        <v>3113</v>
      </c>
      <c r="B118" t="s">
        <v>2801</v>
      </c>
      <c r="C118" t="s">
        <v>178</v>
      </c>
      <c r="D118" t="s">
        <v>257</v>
      </c>
      <c r="E118">
        <v>168</v>
      </c>
      <c r="F118" t="s">
        <v>3114</v>
      </c>
      <c r="G118" t="s">
        <v>358</v>
      </c>
      <c r="H118" s="27">
        <v>45825</v>
      </c>
      <c r="I118" s="56" t="s">
        <v>3115</v>
      </c>
      <c r="J118" t="s">
        <v>3029</v>
      </c>
      <c r="K118" s="42" t="s">
        <v>3116</v>
      </c>
    </row>
    <row r="119" spans="1:11" x14ac:dyDescent="0.25">
      <c r="A119" t="s">
        <v>3117</v>
      </c>
      <c r="B119" t="s">
        <v>2801</v>
      </c>
      <c r="C119" t="s">
        <v>245</v>
      </c>
      <c r="D119" t="s">
        <v>178</v>
      </c>
      <c r="E119">
        <v>168</v>
      </c>
      <c r="F119" t="s">
        <v>48</v>
      </c>
      <c r="G119" t="s">
        <v>358</v>
      </c>
      <c r="H119" s="27">
        <v>45826</v>
      </c>
      <c r="I119" s="13" t="s">
        <v>3118</v>
      </c>
      <c r="J119" t="s">
        <v>3029</v>
      </c>
    </row>
    <row r="120" spans="1:11" x14ac:dyDescent="0.25">
      <c r="A120" t="s">
        <v>3119</v>
      </c>
      <c r="B120" t="s">
        <v>2801</v>
      </c>
      <c r="C120" t="s">
        <v>245</v>
      </c>
      <c r="D120" t="s">
        <v>178</v>
      </c>
      <c r="E120">
        <v>168</v>
      </c>
      <c r="F120" t="s">
        <v>48</v>
      </c>
      <c r="G120" t="s">
        <v>358</v>
      </c>
      <c r="H120" s="27">
        <v>45826</v>
      </c>
      <c r="I120" s="13" t="s">
        <v>3119</v>
      </c>
      <c r="J120" t="s">
        <v>3029</v>
      </c>
    </row>
    <row r="121" spans="1:11" x14ac:dyDescent="0.25">
      <c r="A121" t="s">
        <v>3120</v>
      </c>
      <c r="B121" t="s">
        <v>2801</v>
      </c>
      <c r="C121" t="s">
        <v>178</v>
      </c>
      <c r="D121" t="s">
        <v>178</v>
      </c>
      <c r="E121">
        <v>168</v>
      </c>
      <c r="F121" t="s">
        <v>48</v>
      </c>
      <c r="G121" t="s">
        <v>358</v>
      </c>
      <c r="H121" s="27">
        <v>45827</v>
      </c>
      <c r="I121" t="s">
        <v>3121</v>
      </c>
      <c r="J121" t="s">
        <v>3029</v>
      </c>
    </row>
    <row r="122" spans="1:11" x14ac:dyDescent="0.25">
      <c r="A122" t="s">
        <v>3122</v>
      </c>
      <c r="B122" t="s">
        <v>2801</v>
      </c>
      <c r="C122" t="s">
        <v>3123</v>
      </c>
      <c r="D122" t="s">
        <v>178</v>
      </c>
      <c r="E122">
        <v>168</v>
      </c>
      <c r="F122" t="s">
        <v>48</v>
      </c>
      <c r="G122" t="s">
        <v>358</v>
      </c>
      <c r="H122" s="27">
        <v>45827</v>
      </c>
      <c r="I122" t="s">
        <v>3124</v>
      </c>
      <c r="J122" t="s">
        <v>3029</v>
      </c>
    </row>
    <row r="123" spans="1:11" x14ac:dyDescent="0.25">
      <c r="A123" t="s">
        <v>3125</v>
      </c>
      <c r="B123" t="s">
        <v>2801</v>
      </c>
      <c r="C123" t="s">
        <v>657</v>
      </c>
      <c r="D123" t="s">
        <v>155</v>
      </c>
      <c r="E123">
        <v>168</v>
      </c>
      <c r="F123" t="s">
        <v>48</v>
      </c>
      <c r="G123" t="s">
        <v>358</v>
      </c>
      <c r="H123" s="27">
        <v>45832</v>
      </c>
    </row>
    <row r="124" spans="1:11" x14ac:dyDescent="0.25">
      <c r="A124" t="s">
        <v>3126</v>
      </c>
      <c r="B124" t="s">
        <v>2801</v>
      </c>
      <c r="C124" t="s">
        <v>657</v>
      </c>
      <c r="D124" t="s">
        <v>155</v>
      </c>
      <c r="E124">
        <v>168</v>
      </c>
      <c r="F124" t="s">
        <v>48</v>
      </c>
      <c r="G124" t="s">
        <v>358</v>
      </c>
      <c r="H124" s="27">
        <v>45832</v>
      </c>
    </row>
    <row r="125" spans="1:11" x14ac:dyDescent="0.25">
      <c r="A125" t="s">
        <v>3127</v>
      </c>
      <c r="B125" t="s">
        <v>2801</v>
      </c>
      <c r="C125" t="s">
        <v>657</v>
      </c>
      <c r="D125" t="s">
        <v>155</v>
      </c>
      <c r="E125">
        <v>168</v>
      </c>
      <c r="F125" t="s">
        <v>48</v>
      </c>
      <c r="G125" t="s">
        <v>358</v>
      </c>
      <c r="H125" s="27">
        <v>45832</v>
      </c>
    </row>
    <row r="126" spans="1:11" x14ac:dyDescent="0.25">
      <c r="A126" t="s">
        <v>3128</v>
      </c>
      <c r="B126" t="s">
        <v>2801</v>
      </c>
      <c r="C126" t="s">
        <v>657</v>
      </c>
      <c r="D126" t="s">
        <v>155</v>
      </c>
      <c r="E126">
        <v>168</v>
      </c>
      <c r="F126" t="s">
        <v>48</v>
      </c>
      <c r="G126" t="s">
        <v>358</v>
      </c>
      <c r="H126" s="27">
        <v>45832</v>
      </c>
    </row>
    <row r="127" spans="1:11" x14ac:dyDescent="0.25">
      <c r="A127" t="s">
        <v>3129</v>
      </c>
      <c r="B127" t="s">
        <v>2801</v>
      </c>
      <c r="C127" t="s">
        <v>657</v>
      </c>
      <c r="D127" t="s">
        <v>155</v>
      </c>
      <c r="E127">
        <v>168</v>
      </c>
      <c r="F127" t="s">
        <v>48</v>
      </c>
      <c r="G127" t="s">
        <v>358</v>
      </c>
      <c r="H127" s="27">
        <v>45832</v>
      </c>
      <c r="I127" t="s">
        <v>3130</v>
      </c>
    </row>
    <row r="128" spans="1:11" x14ac:dyDescent="0.25">
      <c r="A128" t="s">
        <v>3131</v>
      </c>
      <c r="B128" t="s">
        <v>2801</v>
      </c>
      <c r="C128" t="s">
        <v>657</v>
      </c>
      <c r="D128" t="s">
        <v>155</v>
      </c>
      <c r="E128">
        <v>168</v>
      </c>
      <c r="F128" t="s">
        <v>48</v>
      </c>
      <c r="G128" t="s">
        <v>358</v>
      </c>
      <c r="H128" s="27">
        <v>45832</v>
      </c>
      <c r="I128" t="s">
        <v>3130</v>
      </c>
    </row>
    <row r="129" spans="1:10" x14ac:dyDescent="0.25">
      <c r="A129" t="s">
        <v>3132</v>
      </c>
      <c r="B129" t="s">
        <v>2801</v>
      </c>
      <c r="C129" t="s">
        <v>2647</v>
      </c>
      <c r="D129" t="s">
        <v>1986</v>
      </c>
      <c r="E129">
        <v>168</v>
      </c>
      <c r="F129" t="s">
        <v>48</v>
      </c>
      <c r="G129" t="s">
        <v>52</v>
      </c>
      <c r="H129" s="27">
        <v>45838</v>
      </c>
      <c r="I129" t="s">
        <v>3133</v>
      </c>
      <c r="J129" t="s">
        <v>2960</v>
      </c>
    </row>
    <row r="130" spans="1:10" x14ac:dyDescent="0.25">
      <c r="A130" t="s">
        <v>3134</v>
      </c>
      <c r="B130" t="s">
        <v>2801</v>
      </c>
      <c r="C130" t="s">
        <v>245</v>
      </c>
      <c r="D130" t="s">
        <v>1986</v>
      </c>
      <c r="E130">
        <v>168</v>
      </c>
      <c r="F130" t="s">
        <v>3135</v>
      </c>
      <c r="G130" t="s">
        <v>358</v>
      </c>
      <c r="H130" s="27">
        <v>45838</v>
      </c>
      <c r="I130" t="s">
        <v>3136</v>
      </c>
    </row>
    <row r="131" spans="1:10" x14ac:dyDescent="0.25">
      <c r="A131" t="s">
        <v>3137</v>
      </c>
      <c r="B131" t="s">
        <v>2801</v>
      </c>
      <c r="C131" t="s">
        <v>245</v>
      </c>
      <c r="D131" t="s">
        <v>1986</v>
      </c>
      <c r="E131">
        <v>168</v>
      </c>
      <c r="F131" t="s">
        <v>3135</v>
      </c>
      <c r="G131" t="s">
        <v>358</v>
      </c>
      <c r="H131" s="27">
        <v>45838</v>
      </c>
      <c r="I131" t="s">
        <v>3136</v>
      </c>
    </row>
    <row r="132" spans="1:10" x14ac:dyDescent="0.25">
      <c r="A132" t="s">
        <v>3138</v>
      </c>
      <c r="B132" t="s">
        <v>2801</v>
      </c>
      <c r="C132" t="s">
        <v>245</v>
      </c>
      <c r="D132" t="s">
        <v>1986</v>
      </c>
      <c r="E132">
        <v>168</v>
      </c>
      <c r="F132" t="s">
        <v>3135</v>
      </c>
      <c r="G132" t="s">
        <v>52</v>
      </c>
      <c r="H132" s="27">
        <v>45838</v>
      </c>
      <c r="I132" t="s">
        <v>3136</v>
      </c>
    </row>
    <row r="133" spans="1:10" x14ac:dyDescent="0.25">
      <c r="A133" t="s">
        <v>3139</v>
      </c>
      <c r="B133" t="s">
        <v>2801</v>
      </c>
      <c r="C133" t="s">
        <v>245</v>
      </c>
      <c r="D133" t="s">
        <v>683</v>
      </c>
      <c r="E133">
        <v>168</v>
      </c>
      <c r="F133" t="s">
        <v>48</v>
      </c>
      <c r="G133" t="s">
        <v>358</v>
      </c>
      <c r="H133" s="27">
        <v>45845</v>
      </c>
      <c r="I133" t="s">
        <v>3140</v>
      </c>
      <c r="J133" t="s">
        <v>2960</v>
      </c>
    </row>
    <row r="134" spans="1:10" x14ac:dyDescent="0.25">
      <c r="A134" t="s">
        <v>3141</v>
      </c>
      <c r="B134" t="s">
        <v>2801</v>
      </c>
      <c r="C134" t="s">
        <v>3142</v>
      </c>
      <c r="D134" t="s">
        <v>683</v>
      </c>
      <c r="E134">
        <v>168</v>
      </c>
      <c r="F134" t="s">
        <v>48</v>
      </c>
      <c r="G134" t="s">
        <v>358</v>
      </c>
      <c r="H134" s="27">
        <v>45845</v>
      </c>
      <c r="I134" t="s">
        <v>3140</v>
      </c>
      <c r="J134" t="s">
        <v>2960</v>
      </c>
    </row>
    <row r="135" spans="1:10" x14ac:dyDescent="0.25">
      <c r="A135" t="s">
        <v>3143</v>
      </c>
      <c r="B135" t="s">
        <v>2801</v>
      </c>
      <c r="C135" t="s">
        <v>257</v>
      </c>
      <c r="D135" t="s">
        <v>245</v>
      </c>
      <c r="E135">
        <v>168</v>
      </c>
      <c r="F135" t="s">
        <v>48</v>
      </c>
      <c r="G135" t="s">
        <v>358</v>
      </c>
      <c r="H135" s="27">
        <v>45847</v>
      </c>
      <c r="I135" t="s">
        <v>3144</v>
      </c>
      <c r="J135" t="s">
        <v>2960</v>
      </c>
    </row>
    <row r="136" spans="1:10" x14ac:dyDescent="0.25">
      <c r="A136" t="s">
        <v>3145</v>
      </c>
      <c r="B136" t="s">
        <v>2801</v>
      </c>
      <c r="C136" t="s">
        <v>257</v>
      </c>
      <c r="D136" t="s">
        <v>363</v>
      </c>
      <c r="E136">
        <v>168</v>
      </c>
      <c r="F136" t="s">
        <v>48</v>
      </c>
      <c r="G136" t="s">
        <v>358</v>
      </c>
      <c r="H136" s="27">
        <v>45856</v>
      </c>
      <c r="I136" t="s">
        <v>3146</v>
      </c>
      <c r="J136" t="s">
        <v>3147</v>
      </c>
    </row>
    <row r="137" spans="1:10" x14ac:dyDescent="0.25">
      <c r="A137" s="13" t="s">
        <v>3148</v>
      </c>
      <c r="B137" t="s">
        <v>2801</v>
      </c>
      <c r="C137" t="s">
        <v>257</v>
      </c>
      <c r="D137" t="s">
        <v>363</v>
      </c>
      <c r="E137">
        <v>168</v>
      </c>
      <c r="F137" t="s">
        <v>48</v>
      </c>
      <c r="G137" t="s">
        <v>358</v>
      </c>
      <c r="H137" s="27">
        <v>45856</v>
      </c>
      <c r="I137" t="s">
        <v>3149</v>
      </c>
      <c r="J137" t="s">
        <v>3147</v>
      </c>
    </row>
    <row r="138" spans="1:10" x14ac:dyDescent="0.25">
      <c r="A138" t="s">
        <v>3150</v>
      </c>
      <c r="B138" t="s">
        <v>2801</v>
      </c>
      <c r="C138" t="s">
        <v>257</v>
      </c>
      <c r="D138" t="s">
        <v>363</v>
      </c>
      <c r="E138">
        <v>168</v>
      </c>
      <c r="F138" t="s">
        <v>3089</v>
      </c>
      <c r="G138" t="s">
        <v>358</v>
      </c>
      <c r="H138" s="27">
        <v>45857</v>
      </c>
      <c r="I138" t="s">
        <v>3151</v>
      </c>
      <c r="J138" t="s">
        <v>3147</v>
      </c>
    </row>
    <row r="139" spans="1:10" x14ac:dyDescent="0.25">
      <c r="A139" t="s">
        <v>3152</v>
      </c>
      <c r="B139" t="s">
        <v>2801</v>
      </c>
      <c r="C139" t="s">
        <v>378</v>
      </c>
      <c r="D139" t="s">
        <v>377</v>
      </c>
      <c r="E139">
        <v>168</v>
      </c>
      <c r="F139" t="s">
        <v>48</v>
      </c>
      <c r="G139" t="s">
        <v>52</v>
      </c>
      <c r="H139" s="27">
        <v>45860</v>
      </c>
    </row>
    <row r="140" spans="1:10" x14ac:dyDescent="0.25">
      <c r="A140" t="s">
        <v>3153</v>
      </c>
      <c r="B140" t="s">
        <v>2801</v>
      </c>
      <c r="C140" t="s">
        <v>378</v>
      </c>
      <c r="D140" t="s">
        <v>377</v>
      </c>
      <c r="E140">
        <v>168</v>
      </c>
      <c r="F140" t="s">
        <v>48</v>
      </c>
      <c r="G140" t="s">
        <v>52</v>
      </c>
      <c r="H140" s="27">
        <v>45860</v>
      </c>
    </row>
    <row r="141" spans="1:10" x14ac:dyDescent="0.25">
      <c r="A141" t="s">
        <v>3154</v>
      </c>
      <c r="B141" t="s">
        <v>2801</v>
      </c>
      <c r="C141" t="s">
        <v>378</v>
      </c>
      <c r="D141" t="s">
        <v>377</v>
      </c>
      <c r="E141">
        <v>168</v>
      </c>
      <c r="F141" t="s">
        <v>48</v>
      </c>
      <c r="G141" t="s">
        <v>52</v>
      </c>
      <c r="H141" s="27">
        <v>45860</v>
      </c>
    </row>
    <row r="142" spans="1:10" x14ac:dyDescent="0.25">
      <c r="A142" t="s">
        <v>3155</v>
      </c>
      <c r="B142" t="s">
        <v>2801</v>
      </c>
      <c r="C142" t="s">
        <v>257</v>
      </c>
      <c r="D142" t="s">
        <v>378</v>
      </c>
      <c r="E142">
        <v>74</v>
      </c>
      <c r="F142" t="s">
        <v>3156</v>
      </c>
      <c r="G142" t="s">
        <v>358</v>
      </c>
      <c r="H142" s="27">
        <v>45866</v>
      </c>
      <c r="I142" s="34" t="s">
        <v>3157</v>
      </c>
      <c r="J142" t="s">
        <v>375</v>
      </c>
    </row>
    <row r="143" spans="1:10" x14ac:dyDescent="0.25">
      <c r="A143" t="s">
        <v>3158</v>
      </c>
      <c r="B143" t="s">
        <v>2801</v>
      </c>
      <c r="C143" t="s">
        <v>257</v>
      </c>
      <c r="D143" t="s">
        <v>378</v>
      </c>
      <c r="E143">
        <v>74</v>
      </c>
      <c r="F143" t="s">
        <v>3156</v>
      </c>
      <c r="G143" t="s">
        <v>358</v>
      </c>
      <c r="H143" s="27">
        <v>45866</v>
      </c>
      <c r="I143" s="34" t="s">
        <v>3159</v>
      </c>
      <c r="J143" s="34"/>
    </row>
    <row r="144" spans="1:10" x14ac:dyDescent="0.25">
      <c r="A144" t="s">
        <v>3160</v>
      </c>
      <c r="B144" t="s">
        <v>2801</v>
      </c>
      <c r="C144" t="s">
        <v>257</v>
      </c>
      <c r="D144" t="s">
        <v>378</v>
      </c>
      <c r="E144">
        <v>74</v>
      </c>
      <c r="F144" t="s">
        <v>3156</v>
      </c>
      <c r="G144" t="s">
        <v>358</v>
      </c>
      <c r="H144" s="27">
        <v>45866</v>
      </c>
      <c r="I144" s="34" t="s">
        <v>3161</v>
      </c>
      <c r="J144" s="34"/>
    </row>
    <row r="145" spans="1:10" x14ac:dyDescent="0.25">
      <c r="A145" t="s">
        <v>3162</v>
      </c>
      <c r="B145" t="s">
        <v>2801</v>
      </c>
      <c r="C145" t="s">
        <v>245</v>
      </c>
      <c r="D145" t="s">
        <v>378</v>
      </c>
      <c r="E145">
        <v>168</v>
      </c>
      <c r="F145" t="s">
        <v>48</v>
      </c>
      <c r="G145" t="s">
        <v>358</v>
      </c>
      <c r="H145" s="27">
        <v>45877</v>
      </c>
      <c r="I145" t="s">
        <v>3163</v>
      </c>
      <c r="J145" t="s">
        <v>3147</v>
      </c>
    </row>
    <row r="146" spans="1:10" x14ac:dyDescent="0.25">
      <c r="A146" t="s">
        <v>3164</v>
      </c>
      <c r="B146" t="s">
        <v>2801</v>
      </c>
      <c r="C146" t="s">
        <v>245</v>
      </c>
      <c r="D146" t="s">
        <v>378</v>
      </c>
      <c r="E146">
        <v>168</v>
      </c>
      <c r="F146" t="s">
        <v>48</v>
      </c>
      <c r="G146" t="s">
        <v>358</v>
      </c>
      <c r="H146" s="27">
        <v>45877</v>
      </c>
      <c r="I146" t="s">
        <v>3165</v>
      </c>
      <c r="J146" t="s">
        <v>3147</v>
      </c>
    </row>
    <row r="147" spans="1:10" x14ac:dyDescent="0.25">
      <c r="A147" t="s">
        <v>3166</v>
      </c>
      <c r="B147" t="s">
        <v>2801</v>
      </c>
      <c r="C147" t="s">
        <v>245</v>
      </c>
      <c r="D147" t="s">
        <v>378</v>
      </c>
      <c r="E147">
        <v>168</v>
      </c>
      <c r="F147" t="s">
        <v>48</v>
      </c>
      <c r="G147" t="s">
        <v>358</v>
      </c>
      <c r="H147" s="27">
        <v>45877</v>
      </c>
      <c r="I147" t="s">
        <v>3167</v>
      </c>
      <c r="J147" t="s">
        <v>3147</v>
      </c>
    </row>
    <row r="148" spans="1:10" x14ac:dyDescent="0.25">
      <c r="A148" t="s">
        <v>3168</v>
      </c>
      <c r="B148" t="s">
        <v>2801</v>
      </c>
      <c r="C148" t="s">
        <v>245</v>
      </c>
      <c r="D148" t="s">
        <v>378</v>
      </c>
      <c r="E148">
        <v>168</v>
      </c>
      <c r="F148" t="s">
        <v>48</v>
      </c>
      <c r="G148" t="s">
        <v>358</v>
      </c>
      <c r="H148" s="27">
        <v>45877</v>
      </c>
      <c r="I148" t="s">
        <v>3169</v>
      </c>
      <c r="J148" t="s">
        <v>2960</v>
      </c>
    </row>
    <row r="149" spans="1:10" x14ac:dyDescent="0.25">
      <c r="A149" t="s">
        <v>3170</v>
      </c>
      <c r="B149" t="s">
        <v>2801</v>
      </c>
      <c r="C149" t="s">
        <v>245</v>
      </c>
      <c r="D149" t="s">
        <v>378</v>
      </c>
      <c r="E149">
        <v>168</v>
      </c>
      <c r="F149" t="s">
        <v>48</v>
      </c>
      <c r="G149" t="s">
        <v>358</v>
      </c>
      <c r="H149" s="27">
        <v>45877</v>
      </c>
      <c r="I149" t="s">
        <v>3171</v>
      </c>
      <c r="J149" t="s">
        <v>3147</v>
      </c>
    </row>
    <row r="150" spans="1:10" x14ac:dyDescent="0.25">
      <c r="A150" t="s">
        <v>3172</v>
      </c>
      <c r="B150" t="s">
        <v>2801</v>
      </c>
      <c r="C150" t="s">
        <v>245</v>
      </c>
      <c r="D150" t="s">
        <v>378</v>
      </c>
      <c r="E150">
        <v>168</v>
      </c>
      <c r="F150" t="s">
        <v>48</v>
      </c>
      <c r="G150" t="s">
        <v>358</v>
      </c>
      <c r="H150" s="27">
        <v>45877</v>
      </c>
      <c r="I150" t="s">
        <v>3173</v>
      </c>
      <c r="J150" t="s">
        <v>2960</v>
      </c>
    </row>
    <row r="151" spans="1:10" x14ac:dyDescent="0.25">
      <c r="A151" t="s">
        <v>3174</v>
      </c>
      <c r="B151" t="s">
        <v>428</v>
      </c>
      <c r="C151" t="s">
        <v>1234</v>
      </c>
      <c r="D151" t="s">
        <v>378</v>
      </c>
      <c r="E151">
        <v>58.5</v>
      </c>
      <c r="F151" t="s">
        <v>3175</v>
      </c>
      <c r="G151" t="s">
        <v>358</v>
      </c>
      <c r="H151" s="27">
        <v>45882</v>
      </c>
      <c r="J151" t="s">
        <v>1923</v>
      </c>
    </row>
    <row r="152" spans="1:10" x14ac:dyDescent="0.25">
      <c r="A152" t="s">
        <v>1999</v>
      </c>
      <c r="B152" t="s">
        <v>428</v>
      </c>
      <c r="C152" t="s">
        <v>1234</v>
      </c>
      <c r="D152" t="s">
        <v>378</v>
      </c>
      <c r="E152">
        <v>58.5</v>
      </c>
      <c r="F152" t="s">
        <v>3175</v>
      </c>
      <c r="G152" t="s">
        <v>358</v>
      </c>
      <c r="H152" s="27">
        <v>45882</v>
      </c>
      <c r="J152" t="s">
        <v>1923</v>
      </c>
    </row>
    <row r="153" spans="1:10" x14ac:dyDescent="0.25">
      <c r="A153" t="s">
        <v>3176</v>
      </c>
      <c r="B153" t="s">
        <v>2801</v>
      </c>
      <c r="C153" t="s">
        <v>378</v>
      </c>
      <c r="D153" t="s">
        <v>377</v>
      </c>
      <c r="E153">
        <v>16</v>
      </c>
      <c r="F153" t="s">
        <v>48</v>
      </c>
      <c r="G153" t="s">
        <v>715</v>
      </c>
      <c r="H153" s="27">
        <v>45891</v>
      </c>
      <c r="I153" t="s">
        <v>3177</v>
      </c>
      <c r="J153" t="s">
        <v>360</v>
      </c>
    </row>
    <row r="154" spans="1:10" x14ac:dyDescent="0.25">
      <c r="A154" t="s">
        <v>3178</v>
      </c>
      <c r="B154" t="s">
        <v>2801</v>
      </c>
      <c r="C154" t="s">
        <v>378</v>
      </c>
      <c r="D154" t="s">
        <v>257</v>
      </c>
      <c r="E154">
        <v>168</v>
      </c>
      <c r="F154" t="s">
        <v>48</v>
      </c>
      <c r="G154" t="s">
        <v>715</v>
      </c>
      <c r="H154" s="27">
        <v>45894</v>
      </c>
      <c r="J154" t="s">
        <v>3179</v>
      </c>
    </row>
    <row r="155" spans="1:10" x14ac:dyDescent="0.25">
      <c r="A155" t="s">
        <v>3180</v>
      </c>
      <c r="B155" t="s">
        <v>2801</v>
      </c>
      <c r="C155" t="s">
        <v>378</v>
      </c>
      <c r="D155" t="s">
        <v>257</v>
      </c>
      <c r="E155">
        <v>168</v>
      </c>
      <c r="F155" t="s">
        <v>48</v>
      </c>
      <c r="G155" t="s">
        <v>715</v>
      </c>
      <c r="H155" s="27">
        <v>45894</v>
      </c>
      <c r="J155" t="s">
        <v>3179</v>
      </c>
    </row>
    <row r="156" spans="1:10" x14ac:dyDescent="0.25">
      <c r="A156" t="s">
        <v>3181</v>
      </c>
      <c r="B156" t="s">
        <v>2801</v>
      </c>
      <c r="C156" t="s">
        <v>378</v>
      </c>
      <c r="D156" t="s">
        <v>257</v>
      </c>
      <c r="E156">
        <v>168</v>
      </c>
      <c r="F156" t="s">
        <v>48</v>
      </c>
      <c r="G156" t="s">
        <v>715</v>
      </c>
      <c r="H156" s="27">
        <v>45894</v>
      </c>
      <c r="J156" t="s">
        <v>3179</v>
      </c>
    </row>
    <row r="157" spans="1:10" x14ac:dyDescent="0.25">
      <c r="A157" t="s">
        <v>3182</v>
      </c>
      <c r="B157" t="s">
        <v>2801</v>
      </c>
      <c r="C157" t="s">
        <v>257</v>
      </c>
      <c r="D157" t="s">
        <v>363</v>
      </c>
      <c r="E157">
        <v>168</v>
      </c>
      <c r="F157" t="s">
        <v>48</v>
      </c>
      <c r="G157" t="s">
        <v>715</v>
      </c>
      <c r="H157" s="27">
        <v>45895</v>
      </c>
      <c r="I157" t="s">
        <v>3183</v>
      </c>
      <c r="J157" t="s">
        <v>2960</v>
      </c>
    </row>
    <row r="158" spans="1:10" x14ac:dyDescent="0.25">
      <c r="A158" s="13" t="s">
        <v>3184</v>
      </c>
      <c r="B158" t="s">
        <v>2801</v>
      </c>
      <c r="C158" t="s">
        <v>257</v>
      </c>
      <c r="D158" t="s">
        <v>363</v>
      </c>
      <c r="E158">
        <v>168</v>
      </c>
      <c r="F158" t="s">
        <v>48</v>
      </c>
      <c r="G158" t="s">
        <v>715</v>
      </c>
      <c r="H158" s="27">
        <v>45895</v>
      </c>
      <c r="I158" t="s">
        <v>3185</v>
      </c>
      <c r="J158" t="s">
        <v>2960</v>
      </c>
    </row>
    <row r="159" spans="1:10" x14ac:dyDescent="0.25">
      <c r="A159" t="s">
        <v>3186</v>
      </c>
      <c r="B159" t="s">
        <v>2801</v>
      </c>
      <c r="C159" t="s">
        <v>257</v>
      </c>
      <c r="D159" t="s">
        <v>363</v>
      </c>
      <c r="E159">
        <v>168</v>
      </c>
      <c r="F159" t="s">
        <v>48</v>
      </c>
      <c r="G159" t="s">
        <v>715</v>
      </c>
      <c r="H159" s="27">
        <v>45895</v>
      </c>
      <c r="I159" t="s">
        <v>3187</v>
      </c>
      <c r="J159" t="s">
        <v>2960</v>
      </c>
    </row>
    <row r="160" spans="1:10" x14ac:dyDescent="0.25">
      <c r="A160" t="s">
        <v>3188</v>
      </c>
      <c r="B160" t="s">
        <v>2801</v>
      </c>
      <c r="C160" t="s">
        <v>3189</v>
      </c>
      <c r="D160" t="s">
        <v>657</v>
      </c>
      <c r="E160">
        <v>168</v>
      </c>
      <c r="F160" t="s">
        <v>48</v>
      </c>
      <c r="G160" t="s">
        <v>358</v>
      </c>
      <c r="H160" s="27">
        <v>45897</v>
      </c>
      <c r="I160" t="s">
        <v>3190</v>
      </c>
      <c r="J160" t="s">
        <v>3147</v>
      </c>
    </row>
    <row r="161" spans="1:10" x14ac:dyDescent="0.25">
      <c r="A161" t="s">
        <v>3191</v>
      </c>
      <c r="B161" t="s">
        <v>2801</v>
      </c>
      <c r="C161" t="s">
        <v>378</v>
      </c>
      <c r="D161" t="s">
        <v>257</v>
      </c>
      <c r="E161">
        <v>168</v>
      </c>
      <c r="F161" t="s">
        <v>3089</v>
      </c>
      <c r="G161" t="s">
        <v>358</v>
      </c>
      <c r="H161" s="27">
        <v>45902</v>
      </c>
      <c r="I161" t="s">
        <v>3192</v>
      </c>
      <c r="J161" t="s">
        <v>3147</v>
      </c>
    </row>
    <row r="162" spans="1:10" x14ac:dyDescent="0.25">
      <c r="A162" t="s">
        <v>3193</v>
      </c>
      <c r="B162" t="s">
        <v>2801</v>
      </c>
      <c r="C162" t="s">
        <v>377</v>
      </c>
      <c r="D162" t="s">
        <v>257</v>
      </c>
      <c r="E162">
        <v>168</v>
      </c>
      <c r="F162" t="s">
        <v>3089</v>
      </c>
      <c r="G162" t="s">
        <v>358</v>
      </c>
      <c r="H162" s="27">
        <v>45902</v>
      </c>
      <c r="I162" t="s">
        <v>3192</v>
      </c>
      <c r="J162" t="s">
        <v>3147</v>
      </c>
    </row>
    <row r="163" spans="1:10" x14ac:dyDescent="0.25">
      <c r="A163" t="s">
        <v>3194</v>
      </c>
      <c r="B163" t="s">
        <v>2801</v>
      </c>
      <c r="C163" t="s">
        <v>257</v>
      </c>
      <c r="D163" t="s">
        <v>257</v>
      </c>
      <c r="E163">
        <v>168</v>
      </c>
      <c r="F163" t="s">
        <v>3089</v>
      </c>
      <c r="G163" t="s">
        <v>358</v>
      </c>
      <c r="H163" s="27">
        <v>45908</v>
      </c>
      <c r="I163" t="s">
        <v>3195</v>
      </c>
      <c r="J163" t="s">
        <v>3147</v>
      </c>
    </row>
    <row r="164" spans="1:10" x14ac:dyDescent="0.25">
      <c r="A164" t="s">
        <v>3196</v>
      </c>
      <c r="B164" t="s">
        <v>2801</v>
      </c>
      <c r="C164" t="s">
        <v>257</v>
      </c>
      <c r="D164" t="s">
        <v>245</v>
      </c>
      <c r="E164">
        <v>336</v>
      </c>
      <c r="F164" t="s">
        <v>3197</v>
      </c>
      <c r="G164" t="s">
        <v>358</v>
      </c>
      <c r="H164" s="27">
        <v>45909</v>
      </c>
      <c r="I164" t="s">
        <v>3198</v>
      </c>
      <c r="J164" t="s">
        <v>3147</v>
      </c>
    </row>
    <row r="165" spans="1:10" x14ac:dyDescent="0.25">
      <c r="A165" t="s">
        <v>3199</v>
      </c>
      <c r="B165" t="s">
        <v>2801</v>
      </c>
      <c r="C165" t="s">
        <v>257</v>
      </c>
      <c r="D165" t="s">
        <v>257</v>
      </c>
      <c r="E165">
        <v>168</v>
      </c>
      <c r="F165" t="s">
        <v>48</v>
      </c>
      <c r="G165" t="s">
        <v>358</v>
      </c>
      <c r="H165" s="27">
        <v>45910</v>
      </c>
      <c r="I165" t="s">
        <v>3200</v>
      </c>
      <c r="J165" t="s">
        <v>3147</v>
      </c>
    </row>
    <row r="166" spans="1:10" x14ac:dyDescent="0.25">
      <c r="A166" t="s">
        <v>3201</v>
      </c>
      <c r="B166" t="s">
        <v>2801</v>
      </c>
      <c r="C166" t="s">
        <v>257</v>
      </c>
      <c r="D166" t="s">
        <v>257</v>
      </c>
      <c r="E166">
        <v>168</v>
      </c>
      <c r="F166" t="s">
        <v>48</v>
      </c>
      <c r="G166" t="s">
        <v>358</v>
      </c>
      <c r="H166" s="27">
        <v>45910</v>
      </c>
      <c r="I166" t="s">
        <v>3202</v>
      </c>
      <c r="J166" t="s">
        <v>3147</v>
      </c>
    </row>
    <row r="167" spans="1:10" x14ac:dyDescent="0.25">
      <c r="A167" t="s">
        <v>3203</v>
      </c>
      <c r="B167" t="s">
        <v>2801</v>
      </c>
      <c r="C167" t="s">
        <v>257</v>
      </c>
      <c r="D167" t="s">
        <v>245</v>
      </c>
      <c r="E167">
        <v>168</v>
      </c>
      <c r="F167" t="s">
        <v>48</v>
      </c>
      <c r="G167" t="s">
        <v>358</v>
      </c>
      <c r="H167" s="27">
        <v>45910</v>
      </c>
      <c r="I167" t="s">
        <v>3204</v>
      </c>
      <c r="J167" t="s">
        <v>3147</v>
      </c>
    </row>
    <row r="168" spans="1:10" x14ac:dyDescent="0.25">
      <c r="A168" t="s">
        <v>3205</v>
      </c>
      <c r="B168" t="s">
        <v>2801</v>
      </c>
      <c r="C168" t="s">
        <v>257</v>
      </c>
      <c r="D168" t="s">
        <v>257</v>
      </c>
      <c r="E168">
        <v>504</v>
      </c>
      <c r="F168" t="s">
        <v>3206</v>
      </c>
      <c r="G168" t="s">
        <v>358</v>
      </c>
      <c r="H168" s="27">
        <v>45916</v>
      </c>
      <c r="I168" t="s">
        <v>3207</v>
      </c>
      <c r="J168" t="s">
        <v>3147</v>
      </c>
    </row>
    <row r="169" spans="1:10" x14ac:dyDescent="0.25">
      <c r="A169" t="s">
        <v>3208</v>
      </c>
      <c r="B169" t="s">
        <v>428</v>
      </c>
      <c r="C169" t="s">
        <v>363</v>
      </c>
      <c r="D169" t="s">
        <v>363</v>
      </c>
      <c r="E169">
        <v>168</v>
      </c>
      <c r="F169" t="s">
        <v>48</v>
      </c>
      <c r="G169" t="s">
        <v>358</v>
      </c>
      <c r="H169" s="27">
        <v>45960</v>
      </c>
      <c r="I169" t="s">
        <v>3209</v>
      </c>
      <c r="J169" t="s">
        <v>2960</v>
      </c>
    </row>
    <row r="170" spans="1:10" x14ac:dyDescent="0.25">
      <c r="A170" s="13" t="s">
        <v>3210</v>
      </c>
      <c r="B170" t="s">
        <v>428</v>
      </c>
      <c r="C170" t="s">
        <v>363</v>
      </c>
      <c r="D170" t="s">
        <v>363</v>
      </c>
      <c r="E170">
        <v>168</v>
      </c>
      <c r="F170" t="s">
        <v>48</v>
      </c>
      <c r="G170" t="s">
        <v>358</v>
      </c>
      <c r="H170" s="27">
        <v>45960</v>
      </c>
      <c r="I170" t="s">
        <v>3209</v>
      </c>
      <c r="J170" t="s">
        <v>2960</v>
      </c>
    </row>
    <row r="171" spans="1:10" x14ac:dyDescent="0.25">
      <c r="A171" s="13" t="s">
        <v>3211</v>
      </c>
      <c r="B171" t="s">
        <v>2801</v>
      </c>
      <c r="C171" t="s">
        <v>363</v>
      </c>
      <c r="D171" t="s">
        <v>245</v>
      </c>
      <c r="E171">
        <v>48</v>
      </c>
      <c r="F171" t="s">
        <v>48</v>
      </c>
      <c r="G171" t="s">
        <v>358</v>
      </c>
      <c r="H171" s="27">
        <v>45988</v>
      </c>
      <c r="I171" t="s">
        <v>3212</v>
      </c>
      <c r="J171" t="s">
        <v>586</v>
      </c>
    </row>
    <row r="172" spans="1:10" x14ac:dyDescent="0.25">
      <c r="A172" t="s">
        <v>3213</v>
      </c>
      <c r="B172" t="s">
        <v>2801</v>
      </c>
      <c r="C172" t="s">
        <v>363</v>
      </c>
      <c r="D172" t="s">
        <v>363</v>
      </c>
      <c r="E172">
        <v>48</v>
      </c>
      <c r="F172" t="s">
        <v>730</v>
      </c>
      <c r="G172" t="s">
        <v>358</v>
      </c>
      <c r="H172" s="27">
        <v>45988</v>
      </c>
      <c r="I172" t="s">
        <v>3212</v>
      </c>
      <c r="J172" t="s">
        <v>586</v>
      </c>
    </row>
    <row r="173" spans="1:10" ht="15" customHeight="1" x14ac:dyDescent="0.25">
      <c r="A173" t="s">
        <v>3214</v>
      </c>
      <c r="B173" t="s">
        <v>2801</v>
      </c>
      <c r="C173" t="s">
        <v>245</v>
      </c>
      <c r="D173" t="s">
        <v>377</v>
      </c>
      <c r="E173">
        <v>48</v>
      </c>
      <c r="F173" t="s">
        <v>730</v>
      </c>
      <c r="G173" t="s">
        <v>246</v>
      </c>
      <c r="H173" s="10">
        <v>46068</v>
      </c>
      <c r="I173" t="s">
        <v>3215</v>
      </c>
      <c r="J173" t="s">
        <v>3216</v>
      </c>
    </row>
    <row r="174" spans="1:10" ht="15" customHeight="1" x14ac:dyDescent="0.25">
      <c r="A174" t="s">
        <v>3217</v>
      </c>
      <c r="B174" t="s">
        <v>2801</v>
      </c>
      <c r="C174" t="s">
        <v>245</v>
      </c>
      <c r="D174" t="s">
        <v>377</v>
      </c>
      <c r="E174">
        <v>48</v>
      </c>
      <c r="F174" t="s">
        <v>730</v>
      </c>
      <c r="G174" t="s">
        <v>246</v>
      </c>
      <c r="H174" s="10">
        <v>46068</v>
      </c>
      <c r="I174" t="s">
        <v>3215</v>
      </c>
      <c r="J174" t="s">
        <v>3216</v>
      </c>
    </row>
    <row r="175" spans="1:10" ht="15" customHeight="1" x14ac:dyDescent="0.25">
      <c r="A175" t="s">
        <v>3218</v>
      </c>
      <c r="B175" t="s">
        <v>2801</v>
      </c>
      <c r="C175" t="s">
        <v>414</v>
      </c>
      <c r="D175" t="s">
        <v>377</v>
      </c>
      <c r="E175">
        <v>48</v>
      </c>
      <c r="F175" t="s">
        <v>730</v>
      </c>
      <c r="G175" t="s">
        <v>246</v>
      </c>
      <c r="H175" s="10">
        <v>46068</v>
      </c>
      <c r="I175" t="s">
        <v>3219</v>
      </c>
      <c r="J175" t="s">
        <v>3216</v>
      </c>
    </row>
    <row r="176" spans="1:10" ht="15" customHeight="1" x14ac:dyDescent="0.25">
      <c r="A176" t="s">
        <v>3220</v>
      </c>
      <c r="B176" t="s">
        <v>2801</v>
      </c>
      <c r="C176" t="s">
        <v>414</v>
      </c>
      <c r="D176" t="s">
        <v>377</v>
      </c>
      <c r="E176">
        <v>48</v>
      </c>
      <c r="F176" t="s">
        <v>730</v>
      </c>
      <c r="G176" t="s">
        <v>246</v>
      </c>
      <c r="H176" s="10">
        <v>46068</v>
      </c>
      <c r="I176" t="s">
        <v>3219</v>
      </c>
      <c r="J176" t="s">
        <v>3216</v>
      </c>
    </row>
    <row r="177" spans="1:10" ht="15" customHeight="1" x14ac:dyDescent="0.25">
      <c r="A177" t="s">
        <v>3221</v>
      </c>
      <c r="B177" t="s">
        <v>40</v>
      </c>
      <c r="C177" t="s">
        <v>377</v>
      </c>
      <c r="D177" t="s">
        <v>363</v>
      </c>
      <c r="E177">
        <v>48</v>
      </c>
      <c r="F177" t="s">
        <v>730</v>
      </c>
      <c r="G177" t="s">
        <v>246</v>
      </c>
      <c r="H177" s="10">
        <v>46072</v>
      </c>
      <c r="I177" t="s">
        <v>3222</v>
      </c>
      <c r="J177" t="s">
        <v>3216</v>
      </c>
    </row>
    <row r="178" spans="1:10" ht="15" customHeight="1" x14ac:dyDescent="0.25">
      <c r="A178" t="s">
        <v>3223</v>
      </c>
      <c r="B178" t="s">
        <v>40</v>
      </c>
      <c r="C178" t="s">
        <v>377</v>
      </c>
      <c r="D178" t="s">
        <v>363</v>
      </c>
      <c r="E178">
        <v>48</v>
      </c>
      <c r="F178" t="s">
        <v>730</v>
      </c>
      <c r="G178" t="s">
        <v>246</v>
      </c>
      <c r="H178" s="10">
        <v>46072</v>
      </c>
      <c r="I178" t="s">
        <v>3222</v>
      </c>
    </row>
    <row r="179" spans="1:10" ht="15" customHeight="1" x14ac:dyDescent="0.25">
      <c r="A179" t="s">
        <v>3224</v>
      </c>
      <c r="B179" t="s">
        <v>2801</v>
      </c>
      <c r="C179" t="s">
        <v>377</v>
      </c>
      <c r="D179" t="s">
        <v>377</v>
      </c>
      <c r="E179">
        <v>48</v>
      </c>
      <c r="F179" t="s">
        <v>730</v>
      </c>
      <c r="G179" t="s">
        <v>246</v>
      </c>
      <c r="H179" s="27">
        <v>46075</v>
      </c>
      <c r="I179" t="s">
        <v>3225</v>
      </c>
      <c r="J179" t="s">
        <v>3216</v>
      </c>
    </row>
    <row r="180" spans="1:10" ht="15" customHeight="1" x14ac:dyDescent="0.25">
      <c r="A180" t="s">
        <v>3226</v>
      </c>
      <c r="B180" t="s">
        <v>2801</v>
      </c>
      <c r="C180" t="s">
        <v>377</v>
      </c>
      <c r="D180" t="s">
        <v>377</v>
      </c>
      <c r="E180">
        <v>48</v>
      </c>
      <c r="F180" t="s">
        <v>730</v>
      </c>
      <c r="G180" t="s">
        <v>246</v>
      </c>
      <c r="H180" s="27">
        <v>46075</v>
      </c>
      <c r="I180" t="s">
        <v>3227</v>
      </c>
      <c r="J180" t="s">
        <v>3216</v>
      </c>
    </row>
    <row r="181" spans="1:10" ht="15" customHeight="1" x14ac:dyDescent="0.25">
      <c r="A181" t="s">
        <v>3228</v>
      </c>
      <c r="B181" t="s">
        <v>2801</v>
      </c>
      <c r="C181" t="s">
        <v>377</v>
      </c>
      <c r="D181" t="s">
        <v>414</v>
      </c>
      <c r="E181">
        <v>168</v>
      </c>
      <c r="F181" t="s">
        <v>382</v>
      </c>
      <c r="G181" t="s">
        <v>246</v>
      </c>
      <c r="H181" s="27">
        <v>46078</v>
      </c>
      <c r="I181" t="s">
        <v>3229</v>
      </c>
      <c r="J181" t="s">
        <v>3230</v>
      </c>
    </row>
    <row r="182" spans="1:10" ht="15" customHeight="1" x14ac:dyDescent="0.25">
      <c r="A182" t="s">
        <v>3231</v>
      </c>
      <c r="B182" t="s">
        <v>2801</v>
      </c>
      <c r="C182" t="s">
        <v>377</v>
      </c>
      <c r="D182" t="s">
        <v>414</v>
      </c>
      <c r="E182">
        <v>168</v>
      </c>
      <c r="F182" t="s">
        <v>382</v>
      </c>
      <c r="G182" t="s">
        <v>246</v>
      </c>
      <c r="H182" s="27">
        <v>46078</v>
      </c>
      <c r="I182" t="s">
        <v>3229</v>
      </c>
      <c r="J182" t="s">
        <v>3230</v>
      </c>
    </row>
    <row r="183" spans="1:10" ht="15" customHeight="1" x14ac:dyDescent="0.25">
      <c r="A183" t="s">
        <v>3232</v>
      </c>
      <c r="B183" t="s">
        <v>486</v>
      </c>
      <c r="C183" t="s">
        <v>363</v>
      </c>
      <c r="D183" t="s">
        <v>378</v>
      </c>
      <c r="E183">
        <v>48</v>
      </c>
      <c r="F183" t="s">
        <v>730</v>
      </c>
      <c r="G183" t="s">
        <v>246</v>
      </c>
      <c r="H183" s="27">
        <v>46093</v>
      </c>
      <c r="I183" t="s">
        <v>3233</v>
      </c>
      <c r="J183" t="s">
        <v>3216</v>
      </c>
    </row>
    <row r="184" spans="1:10" ht="15" customHeight="1" x14ac:dyDescent="0.25">
      <c r="A184" t="s">
        <v>3234</v>
      </c>
      <c r="B184" t="s">
        <v>486</v>
      </c>
      <c r="C184" t="s">
        <v>414</v>
      </c>
      <c r="D184" t="s">
        <v>414</v>
      </c>
      <c r="E184">
        <v>168</v>
      </c>
      <c r="F184" t="s">
        <v>382</v>
      </c>
      <c r="G184" t="s">
        <v>358</v>
      </c>
      <c r="H184" s="27">
        <v>46098</v>
      </c>
      <c r="I184" t="s">
        <v>3235</v>
      </c>
      <c r="J184" t="s">
        <v>3216</v>
      </c>
    </row>
    <row r="185" spans="1:10" ht="15" customHeight="1" x14ac:dyDescent="0.25">
      <c r="A185" t="s">
        <v>3236</v>
      </c>
      <c r="B185" t="s">
        <v>486</v>
      </c>
      <c r="C185" t="s">
        <v>363</v>
      </c>
      <c r="D185" t="s">
        <v>414</v>
      </c>
      <c r="E185">
        <v>168</v>
      </c>
      <c r="F185" t="s">
        <v>382</v>
      </c>
      <c r="G185" t="s">
        <v>358</v>
      </c>
      <c r="H185" s="27">
        <v>46098</v>
      </c>
      <c r="I185" t="s">
        <v>3237</v>
      </c>
      <c r="J185" t="s">
        <v>3216</v>
      </c>
    </row>
    <row r="186" spans="1:10" ht="15" customHeight="1" x14ac:dyDescent="0.25">
      <c r="A186" t="s">
        <v>3238</v>
      </c>
      <c r="B186" t="s">
        <v>2801</v>
      </c>
      <c r="C186" t="s">
        <v>245</v>
      </c>
      <c r="D186" t="s">
        <v>245</v>
      </c>
      <c r="E186">
        <v>168</v>
      </c>
      <c r="F186" t="s">
        <v>382</v>
      </c>
      <c r="G186" t="s">
        <v>358</v>
      </c>
      <c r="H186" s="27">
        <v>46106</v>
      </c>
      <c r="I186" t="s">
        <v>3239</v>
      </c>
      <c r="J186" t="s">
        <v>388</v>
      </c>
    </row>
    <row r="187" spans="1:10" ht="15" customHeight="1" x14ac:dyDescent="0.25">
      <c r="A187" t="s">
        <v>3240</v>
      </c>
      <c r="B187" t="s">
        <v>2801</v>
      </c>
      <c r="C187" t="s">
        <v>245</v>
      </c>
      <c r="D187" t="s">
        <v>245</v>
      </c>
      <c r="E187">
        <v>168</v>
      </c>
      <c r="F187" t="s">
        <v>382</v>
      </c>
      <c r="G187" t="s">
        <v>358</v>
      </c>
      <c r="H187" s="27">
        <v>46106</v>
      </c>
      <c r="I187" t="s">
        <v>3241</v>
      </c>
      <c r="J187" t="s">
        <v>388</v>
      </c>
    </row>
    <row r="188" spans="1:10" ht="15" customHeight="1" x14ac:dyDescent="0.25">
      <c r="A188" t="s">
        <v>3242</v>
      </c>
      <c r="B188" t="s">
        <v>428</v>
      </c>
      <c r="C188" t="s">
        <v>363</v>
      </c>
      <c r="D188" t="s">
        <v>245</v>
      </c>
      <c r="E188">
        <v>42</v>
      </c>
      <c r="F188" t="s">
        <v>382</v>
      </c>
      <c r="G188" t="s">
        <v>358</v>
      </c>
      <c r="H188" s="27">
        <v>46107</v>
      </c>
      <c r="I188" t="s">
        <v>3243</v>
      </c>
      <c r="J188" t="s">
        <v>3244</v>
      </c>
    </row>
    <row r="189" spans="1:10" ht="15" customHeight="1" x14ac:dyDescent="0.25">
      <c r="A189" t="s">
        <v>3245</v>
      </c>
      <c r="B189" t="s">
        <v>40</v>
      </c>
      <c r="C189" t="s">
        <v>363</v>
      </c>
      <c r="D189" t="s">
        <v>392</v>
      </c>
      <c r="E189">
        <v>168</v>
      </c>
      <c r="F189" t="s">
        <v>382</v>
      </c>
      <c r="G189" t="s">
        <v>358</v>
      </c>
      <c r="H189" s="27">
        <v>46112</v>
      </c>
      <c r="I189" t="s">
        <v>3246</v>
      </c>
    </row>
    <row r="190" spans="1:10" ht="15" customHeight="1" x14ac:dyDescent="0.25">
      <c r="A190" t="s">
        <v>3247</v>
      </c>
      <c r="B190" t="s">
        <v>40</v>
      </c>
      <c r="C190" t="s">
        <v>363</v>
      </c>
      <c r="D190" t="s">
        <v>392</v>
      </c>
      <c r="E190">
        <v>168</v>
      </c>
      <c r="F190" t="s">
        <v>382</v>
      </c>
      <c r="G190" t="s">
        <v>358</v>
      </c>
      <c r="H190" s="27">
        <v>46112</v>
      </c>
      <c r="I190" t="s">
        <v>3246</v>
      </c>
      <c r="J190" t="s">
        <v>411</v>
      </c>
    </row>
    <row r="191" spans="1:10" ht="15" customHeight="1" x14ac:dyDescent="0.25">
      <c r="A191" t="s">
        <v>3248</v>
      </c>
      <c r="B191" t="s">
        <v>40</v>
      </c>
      <c r="C191" t="s">
        <v>363</v>
      </c>
      <c r="D191" t="s">
        <v>392</v>
      </c>
      <c r="E191">
        <v>168</v>
      </c>
      <c r="F191" t="s">
        <v>382</v>
      </c>
      <c r="G191" t="s">
        <v>358</v>
      </c>
      <c r="H191" s="27">
        <v>46112</v>
      </c>
      <c r="I191" t="s">
        <v>3246</v>
      </c>
      <c r="J191" t="s">
        <v>411</v>
      </c>
    </row>
    <row r="192" spans="1:10" ht="15" customHeight="1" x14ac:dyDescent="0.25">
      <c r="A192" t="s">
        <v>3249</v>
      </c>
      <c r="B192" t="s">
        <v>428</v>
      </c>
      <c r="C192" t="s">
        <v>377</v>
      </c>
      <c r="D192" t="s">
        <v>392</v>
      </c>
      <c r="E192">
        <v>168</v>
      </c>
      <c r="F192" t="s">
        <v>382</v>
      </c>
      <c r="G192" t="s">
        <v>358</v>
      </c>
      <c r="H192" s="27">
        <v>46112</v>
      </c>
      <c r="I192" t="s">
        <v>3250</v>
      </c>
      <c r="J192" t="s">
        <v>3244</v>
      </c>
    </row>
    <row r="193" spans="1:10" ht="15" customHeight="1" x14ac:dyDescent="0.25">
      <c r="A193" t="s">
        <v>3251</v>
      </c>
      <c r="B193" t="s">
        <v>40</v>
      </c>
      <c r="C193" t="s">
        <v>363</v>
      </c>
      <c r="D193" t="s">
        <v>392</v>
      </c>
      <c r="E193">
        <v>168</v>
      </c>
      <c r="F193" t="s">
        <v>382</v>
      </c>
      <c r="G193" t="s">
        <v>358</v>
      </c>
      <c r="H193" s="27">
        <v>46120</v>
      </c>
      <c r="J193" t="s">
        <v>388</v>
      </c>
    </row>
    <row r="194" spans="1:10" ht="15" customHeight="1" x14ac:dyDescent="0.25">
      <c r="A194" t="s">
        <v>3252</v>
      </c>
      <c r="B194" t="s">
        <v>40</v>
      </c>
      <c r="C194" t="s">
        <v>363</v>
      </c>
      <c r="D194" t="s">
        <v>392</v>
      </c>
      <c r="E194">
        <v>168</v>
      </c>
      <c r="F194" t="s">
        <v>382</v>
      </c>
      <c r="G194" t="s">
        <v>358</v>
      </c>
      <c r="H194" s="27">
        <v>46120</v>
      </c>
      <c r="J194" t="s">
        <v>388</v>
      </c>
    </row>
    <row r="195" spans="1:10" ht="15" customHeight="1" x14ac:dyDescent="0.25">
      <c r="A195" t="s">
        <v>3253</v>
      </c>
      <c r="B195" t="s">
        <v>566</v>
      </c>
      <c r="C195" t="s">
        <v>392</v>
      </c>
      <c r="D195" t="s">
        <v>378</v>
      </c>
      <c r="E195">
        <v>82</v>
      </c>
      <c r="F195" t="s">
        <v>382</v>
      </c>
      <c r="G195" t="s">
        <v>358</v>
      </c>
      <c r="H195" s="27">
        <v>46133</v>
      </c>
      <c r="I195" t="s">
        <v>3254</v>
      </c>
      <c r="J195" t="s">
        <v>411</v>
      </c>
    </row>
    <row r="196" spans="1:10" ht="15" customHeight="1" x14ac:dyDescent="0.25">
      <c r="A196" t="s">
        <v>3255</v>
      </c>
      <c r="B196" t="s">
        <v>566</v>
      </c>
      <c r="C196" t="s">
        <v>392</v>
      </c>
      <c r="E196">
        <v>82</v>
      </c>
      <c r="F196" t="s">
        <v>382</v>
      </c>
      <c r="G196" t="s">
        <v>358</v>
      </c>
      <c r="H196" s="27">
        <v>46133</v>
      </c>
      <c r="I196" t="s">
        <v>3254</v>
      </c>
      <c r="J196" t="s">
        <v>411</v>
      </c>
    </row>
    <row r="197" spans="1:10" ht="15" customHeight="1" x14ac:dyDescent="0.25">
      <c r="A197" t="s">
        <v>3256</v>
      </c>
      <c r="B197" t="s">
        <v>566</v>
      </c>
      <c r="C197" t="s">
        <v>245</v>
      </c>
      <c r="E197">
        <v>82</v>
      </c>
      <c r="F197" t="s">
        <v>382</v>
      </c>
      <c r="G197" t="s">
        <v>358</v>
      </c>
      <c r="H197" s="27">
        <v>46133</v>
      </c>
      <c r="I197" t="s">
        <v>3254</v>
      </c>
      <c r="J197" t="s">
        <v>411</v>
      </c>
    </row>
    <row r="198" spans="1:10" ht="15" customHeight="1" x14ac:dyDescent="0.25">
      <c r="A198" t="s">
        <v>3257</v>
      </c>
      <c r="B198" t="s">
        <v>566</v>
      </c>
      <c r="C198" t="s">
        <v>392</v>
      </c>
      <c r="E198">
        <v>82</v>
      </c>
      <c r="F198" t="s">
        <v>382</v>
      </c>
      <c r="G198" t="s">
        <v>358</v>
      </c>
      <c r="H198" s="27">
        <v>46133</v>
      </c>
      <c r="I198" t="s">
        <v>3254</v>
      </c>
      <c r="J198" t="s">
        <v>411</v>
      </c>
    </row>
    <row r="199" spans="1:10" ht="15" customHeight="1" x14ac:dyDescent="0.25">
      <c r="A199" t="s">
        <v>3258</v>
      </c>
      <c r="B199" t="s">
        <v>1916</v>
      </c>
      <c r="C199" t="s">
        <v>414</v>
      </c>
      <c r="D199" t="s">
        <v>245</v>
      </c>
      <c r="E199">
        <v>142</v>
      </c>
      <c r="F199" t="s">
        <v>3259</v>
      </c>
      <c r="G199" t="s">
        <v>358</v>
      </c>
      <c r="H199" s="27">
        <v>46134</v>
      </c>
      <c r="I199" t="s">
        <v>3260</v>
      </c>
      <c r="J199" t="s">
        <v>3216</v>
      </c>
    </row>
    <row r="200" spans="1:10" ht="15" customHeight="1" x14ac:dyDescent="0.25">
      <c r="A200" t="s">
        <v>3261</v>
      </c>
      <c r="B200" t="s">
        <v>1916</v>
      </c>
      <c r="C200" t="s">
        <v>414</v>
      </c>
      <c r="D200" t="s">
        <v>392</v>
      </c>
      <c r="E200">
        <v>142</v>
      </c>
      <c r="F200" t="s">
        <v>3259</v>
      </c>
      <c r="G200" t="s">
        <v>358</v>
      </c>
      <c r="H200" s="27">
        <v>46134</v>
      </c>
      <c r="I200" t="s">
        <v>3262</v>
      </c>
      <c r="J200" t="s">
        <v>3216</v>
      </c>
    </row>
    <row r="201" spans="1:10" ht="15" customHeight="1" x14ac:dyDescent="0.25">
      <c r="A201" t="s">
        <v>3263</v>
      </c>
      <c r="B201" t="s">
        <v>1916</v>
      </c>
      <c r="C201" t="s">
        <v>414</v>
      </c>
      <c r="D201" t="s">
        <v>245</v>
      </c>
      <c r="E201">
        <v>142</v>
      </c>
      <c r="F201" t="s">
        <v>3259</v>
      </c>
      <c r="G201" t="s">
        <v>358</v>
      </c>
      <c r="H201" s="27">
        <v>46134</v>
      </c>
      <c r="I201" t="s">
        <v>3262</v>
      </c>
      <c r="J201" t="s">
        <v>3216</v>
      </c>
    </row>
    <row r="202" spans="1:10" ht="15" customHeight="1" x14ac:dyDescent="0.25">
      <c r="A202" t="s">
        <v>3264</v>
      </c>
      <c r="B202" t="s">
        <v>2801</v>
      </c>
      <c r="C202" t="s">
        <v>257</v>
      </c>
      <c r="D202" t="s">
        <v>414</v>
      </c>
      <c r="E202">
        <v>2360</v>
      </c>
      <c r="F202" t="s">
        <v>603</v>
      </c>
      <c r="G202" t="s">
        <v>358</v>
      </c>
      <c r="H202" s="27">
        <v>46140</v>
      </c>
      <c r="I202" t="s">
        <v>3265</v>
      </c>
      <c r="J202" t="s">
        <v>2797</v>
      </c>
    </row>
    <row r="203" spans="1:10" ht="15" customHeight="1" x14ac:dyDescent="0.25">
      <c r="A203" t="s">
        <v>3266</v>
      </c>
      <c r="B203" t="s">
        <v>2801</v>
      </c>
      <c r="C203" t="s">
        <v>257</v>
      </c>
      <c r="D203" t="s">
        <v>414</v>
      </c>
      <c r="E203">
        <v>2360</v>
      </c>
      <c r="F203" t="s">
        <v>603</v>
      </c>
      <c r="G203" t="s">
        <v>358</v>
      </c>
      <c r="H203" s="27">
        <v>46140</v>
      </c>
      <c r="I203" t="s">
        <v>3267</v>
      </c>
      <c r="J203" t="s">
        <v>2797</v>
      </c>
    </row>
    <row r="204" spans="1:10" ht="15" customHeight="1" x14ac:dyDescent="0.25">
      <c r="A204" t="s">
        <v>3268</v>
      </c>
      <c r="B204" t="s">
        <v>2801</v>
      </c>
      <c r="C204" t="s">
        <v>414</v>
      </c>
      <c r="D204" t="s">
        <v>377</v>
      </c>
      <c r="E204">
        <v>184</v>
      </c>
      <c r="F204" t="s">
        <v>603</v>
      </c>
      <c r="G204" t="s">
        <v>358</v>
      </c>
      <c r="H204" s="27">
        <v>46149</v>
      </c>
      <c r="I204" s="13" t="s">
        <v>3269</v>
      </c>
      <c r="J204" t="s">
        <v>3270</v>
      </c>
    </row>
    <row r="205" spans="1:10" ht="15" customHeight="1" x14ac:dyDescent="0.25">
      <c r="A205" t="s">
        <v>3271</v>
      </c>
      <c r="B205" t="s">
        <v>2801</v>
      </c>
      <c r="C205" t="s">
        <v>414</v>
      </c>
      <c r="D205" t="s">
        <v>1234</v>
      </c>
      <c r="E205">
        <v>212</v>
      </c>
      <c r="F205" t="s">
        <v>603</v>
      </c>
      <c r="G205" t="s">
        <v>358</v>
      </c>
      <c r="H205" s="27">
        <v>46149</v>
      </c>
      <c r="I205" t="s">
        <v>3272</v>
      </c>
      <c r="J205" t="s">
        <v>3270</v>
      </c>
    </row>
    <row r="206" spans="1:10" ht="15" customHeight="1" x14ac:dyDescent="0.25">
      <c r="A206" t="s">
        <v>3273</v>
      </c>
      <c r="B206" t="s">
        <v>40</v>
      </c>
      <c r="C206" t="s">
        <v>378</v>
      </c>
      <c r="D206" t="s">
        <v>378</v>
      </c>
      <c r="E206">
        <v>140</v>
      </c>
      <c r="F206" t="s">
        <v>603</v>
      </c>
      <c r="G206" t="s">
        <v>358</v>
      </c>
      <c r="H206" s="27">
        <v>46150</v>
      </c>
      <c r="I206" t="s">
        <v>3272</v>
      </c>
      <c r="J206" t="s">
        <v>3270</v>
      </c>
    </row>
    <row r="207" spans="1:10" ht="15" customHeight="1" x14ac:dyDescent="0.25">
      <c r="A207" t="s">
        <v>3274</v>
      </c>
      <c r="B207" t="s">
        <v>40</v>
      </c>
      <c r="C207" t="s">
        <v>392</v>
      </c>
      <c r="D207" t="s">
        <v>378</v>
      </c>
      <c r="E207">
        <v>113</v>
      </c>
      <c r="F207" t="s">
        <v>603</v>
      </c>
      <c r="G207" t="s">
        <v>358</v>
      </c>
      <c r="H207" s="27">
        <v>46150</v>
      </c>
      <c r="I207" t="s">
        <v>3272</v>
      </c>
      <c r="J207" t="s">
        <v>3270</v>
      </c>
    </row>
    <row r="208" spans="1:10" ht="15" customHeight="1" x14ac:dyDescent="0.25">
      <c r="A208" t="s">
        <v>3275</v>
      </c>
      <c r="B208" t="s">
        <v>40</v>
      </c>
      <c r="C208" t="s">
        <v>392</v>
      </c>
      <c r="D208" t="s">
        <v>378</v>
      </c>
      <c r="E208">
        <v>113</v>
      </c>
      <c r="F208" t="s">
        <v>603</v>
      </c>
      <c r="G208" t="s">
        <v>358</v>
      </c>
      <c r="H208" s="27">
        <v>46150</v>
      </c>
      <c r="I208" t="s">
        <v>3272</v>
      </c>
      <c r="J208" t="s">
        <v>3270</v>
      </c>
    </row>
    <row r="209" spans="1:10" ht="15" customHeight="1" x14ac:dyDescent="0.25">
      <c r="A209" t="s">
        <v>3276</v>
      </c>
      <c r="B209" t="s">
        <v>40</v>
      </c>
      <c r="C209" t="s">
        <v>245</v>
      </c>
      <c r="D209" t="s">
        <v>1234</v>
      </c>
      <c r="E209">
        <v>202</v>
      </c>
      <c r="F209" t="s">
        <v>603</v>
      </c>
      <c r="G209" t="s">
        <v>358</v>
      </c>
      <c r="H209" s="27">
        <v>46155</v>
      </c>
      <c r="I209" t="s">
        <v>3277</v>
      </c>
      <c r="J209" t="s">
        <v>3270</v>
      </c>
    </row>
    <row r="210" spans="1:10" ht="15" customHeight="1" x14ac:dyDescent="0.25">
      <c r="A210" t="s">
        <v>3278</v>
      </c>
      <c r="B210" t="s">
        <v>40</v>
      </c>
      <c r="C210" t="s">
        <v>378</v>
      </c>
      <c r="E210">
        <v>323</v>
      </c>
      <c r="F210" t="s">
        <v>603</v>
      </c>
      <c r="G210" t="s">
        <v>358</v>
      </c>
      <c r="H210" s="27">
        <v>46157</v>
      </c>
      <c r="I210" t="s">
        <v>3279</v>
      </c>
      <c r="J210" t="s">
        <v>3270</v>
      </c>
    </row>
    <row r="211" spans="1:10" ht="15" customHeight="1" x14ac:dyDescent="0.25">
      <c r="A211" t="s">
        <v>3280</v>
      </c>
      <c r="B211" t="s">
        <v>40</v>
      </c>
      <c r="C211" t="s">
        <v>378</v>
      </c>
      <c r="E211">
        <v>323</v>
      </c>
      <c r="F211" t="s">
        <v>603</v>
      </c>
      <c r="G211" t="s">
        <v>358</v>
      </c>
      <c r="H211" s="27">
        <v>46157</v>
      </c>
      <c r="I211" t="s">
        <v>3279</v>
      </c>
      <c r="J211" t="s">
        <v>3270</v>
      </c>
    </row>
    <row r="212" spans="1:10" ht="15" customHeight="1" x14ac:dyDescent="0.25">
      <c r="A212" t="s">
        <v>3281</v>
      </c>
      <c r="B212" t="s">
        <v>40</v>
      </c>
      <c r="C212" t="s">
        <v>378</v>
      </c>
      <c r="E212">
        <v>323</v>
      </c>
      <c r="F212" t="s">
        <v>603</v>
      </c>
      <c r="G212" t="s">
        <v>358</v>
      </c>
      <c r="H212" s="27">
        <v>46157</v>
      </c>
      <c r="I212" t="s">
        <v>3282</v>
      </c>
      <c r="J212" t="s">
        <v>3270</v>
      </c>
    </row>
    <row r="213" spans="1:10" ht="15" customHeight="1" x14ac:dyDescent="0.25">
      <c r="A213" t="s">
        <v>3283</v>
      </c>
      <c r="B213" t="s">
        <v>40</v>
      </c>
      <c r="C213" t="s">
        <v>378</v>
      </c>
      <c r="E213">
        <v>323</v>
      </c>
      <c r="F213" t="s">
        <v>603</v>
      </c>
      <c r="G213" t="s">
        <v>358</v>
      </c>
      <c r="H213" s="27">
        <v>46157</v>
      </c>
      <c r="I213" t="s">
        <v>3282</v>
      </c>
      <c r="J213" t="s">
        <v>3270</v>
      </c>
    </row>
    <row r="214" spans="1:10" ht="15" customHeight="1" x14ac:dyDescent="0.25">
      <c r="A214" t="s">
        <v>3284</v>
      </c>
      <c r="B214" t="s">
        <v>40</v>
      </c>
      <c r="C214" t="s">
        <v>363</v>
      </c>
      <c r="E214">
        <v>323</v>
      </c>
      <c r="F214" t="s">
        <v>603</v>
      </c>
      <c r="G214" t="s">
        <v>358</v>
      </c>
      <c r="H214" s="27">
        <v>46157</v>
      </c>
      <c r="I214" t="s">
        <v>3285</v>
      </c>
      <c r="J214" t="s">
        <v>3270</v>
      </c>
    </row>
    <row r="215" spans="1:10" ht="15" customHeight="1" x14ac:dyDescent="0.25">
      <c r="A215" t="s">
        <v>3286</v>
      </c>
      <c r="B215" t="s">
        <v>40</v>
      </c>
      <c r="C215" t="s">
        <v>363</v>
      </c>
      <c r="E215">
        <v>225</v>
      </c>
      <c r="F215" t="s">
        <v>603</v>
      </c>
      <c r="G215" t="s">
        <v>358</v>
      </c>
      <c r="H215" s="27">
        <v>46157</v>
      </c>
      <c r="I215" t="s">
        <v>3287</v>
      </c>
      <c r="J215" t="s">
        <v>3270</v>
      </c>
    </row>
    <row r="216" spans="1:10" ht="15" customHeight="1" x14ac:dyDescent="0.25">
      <c r="A216" t="s">
        <v>3288</v>
      </c>
      <c r="B216" t="s">
        <v>40</v>
      </c>
      <c r="C216" t="s">
        <v>363</v>
      </c>
      <c r="E216">
        <v>225</v>
      </c>
      <c r="F216" t="s">
        <v>603</v>
      </c>
      <c r="G216" t="s">
        <v>358</v>
      </c>
      <c r="H216" s="27">
        <v>46157</v>
      </c>
      <c r="I216" t="s">
        <v>3272</v>
      </c>
      <c r="J216" t="s">
        <v>3270</v>
      </c>
    </row>
    <row r="217" spans="1:10" ht="15" customHeight="1" x14ac:dyDescent="0.25">
      <c r="A217" t="s">
        <v>3289</v>
      </c>
      <c r="B217" t="s">
        <v>2801</v>
      </c>
      <c r="C217" t="s">
        <v>414</v>
      </c>
      <c r="E217">
        <v>370</v>
      </c>
      <c r="F217" t="s">
        <v>603</v>
      </c>
      <c r="G217" t="s">
        <v>358</v>
      </c>
      <c r="H217" s="27">
        <v>46157</v>
      </c>
      <c r="I217" t="s">
        <v>3290</v>
      </c>
      <c r="J217" t="s">
        <v>3270</v>
      </c>
    </row>
    <row r="218" spans="1:10" ht="15" customHeight="1" x14ac:dyDescent="0.25">
      <c r="A218" t="s">
        <v>3291</v>
      </c>
      <c r="B218" t="s">
        <v>40</v>
      </c>
      <c r="C218" t="s">
        <v>377</v>
      </c>
      <c r="E218">
        <v>154</v>
      </c>
      <c r="F218" t="s">
        <v>603</v>
      </c>
      <c r="G218" t="s">
        <v>358</v>
      </c>
      <c r="H218" s="27">
        <v>46157</v>
      </c>
      <c r="I218" t="s">
        <v>3272</v>
      </c>
      <c r="J218" t="s">
        <v>3270</v>
      </c>
    </row>
    <row r="219" spans="1:10" ht="15" customHeight="1" x14ac:dyDescent="0.25">
      <c r="A219" t="s">
        <v>3292</v>
      </c>
      <c r="B219" t="s">
        <v>2801</v>
      </c>
      <c r="C219" t="s">
        <v>377</v>
      </c>
      <c r="E219">
        <v>395</v>
      </c>
      <c r="F219" t="s">
        <v>603</v>
      </c>
      <c r="G219" t="s">
        <v>358</v>
      </c>
      <c r="H219" s="27">
        <v>46157</v>
      </c>
      <c r="I219" t="s">
        <v>3293</v>
      </c>
      <c r="J219" t="s">
        <v>3270</v>
      </c>
    </row>
    <row r="220" spans="1:10" ht="15" customHeight="1" x14ac:dyDescent="0.25">
      <c r="A220" t="s">
        <v>3294</v>
      </c>
      <c r="B220" t="s">
        <v>2801</v>
      </c>
      <c r="C220" t="s">
        <v>377</v>
      </c>
      <c r="E220">
        <v>395</v>
      </c>
      <c r="F220" t="s">
        <v>603</v>
      </c>
      <c r="G220" t="s">
        <v>358</v>
      </c>
      <c r="H220" s="27">
        <v>46157</v>
      </c>
      <c r="I220" t="s">
        <v>3295</v>
      </c>
      <c r="J220" t="s">
        <v>3270</v>
      </c>
    </row>
    <row r="221" spans="1:10" ht="15" customHeight="1" x14ac:dyDescent="0.25">
      <c r="A221" t="s">
        <v>3296</v>
      </c>
      <c r="B221" t="s">
        <v>2801</v>
      </c>
      <c r="C221" t="s">
        <v>392</v>
      </c>
      <c r="E221">
        <v>395</v>
      </c>
      <c r="F221" t="s">
        <v>603</v>
      </c>
      <c r="G221" t="s">
        <v>358</v>
      </c>
      <c r="H221" s="27">
        <v>46157</v>
      </c>
      <c r="I221" t="s">
        <v>3297</v>
      </c>
      <c r="J221" t="s">
        <v>3270</v>
      </c>
    </row>
    <row r="222" spans="1:10" ht="15" customHeight="1" x14ac:dyDescent="0.25">
      <c r="A222" t="s">
        <v>3298</v>
      </c>
      <c r="B222" t="s">
        <v>40</v>
      </c>
      <c r="C222" t="s">
        <v>392</v>
      </c>
      <c r="E222">
        <v>395</v>
      </c>
      <c r="F222" t="s">
        <v>603</v>
      </c>
      <c r="G222" t="s">
        <v>358</v>
      </c>
      <c r="H222" s="27">
        <v>46157</v>
      </c>
      <c r="I222" t="s">
        <v>3297</v>
      </c>
      <c r="J222" t="s">
        <v>3270</v>
      </c>
    </row>
    <row r="223" spans="1:10" ht="15" customHeight="1" x14ac:dyDescent="0.25">
      <c r="A223" t="s">
        <v>3299</v>
      </c>
      <c r="B223" t="s">
        <v>40</v>
      </c>
      <c r="C223" t="s">
        <v>414</v>
      </c>
      <c r="E223">
        <v>346</v>
      </c>
      <c r="F223" t="s">
        <v>603</v>
      </c>
      <c r="G223" t="s">
        <v>358</v>
      </c>
      <c r="H223" s="27">
        <v>46157</v>
      </c>
      <c r="I223" t="s">
        <v>3290</v>
      </c>
      <c r="J223" t="s">
        <v>3270</v>
      </c>
    </row>
    <row r="224" spans="1:10" ht="15" customHeight="1" x14ac:dyDescent="0.25">
      <c r="A224" t="s">
        <v>3300</v>
      </c>
      <c r="B224" t="s">
        <v>40</v>
      </c>
      <c r="C224" t="s">
        <v>377</v>
      </c>
      <c r="D224" t="s">
        <v>1234</v>
      </c>
      <c r="E224">
        <v>275</v>
      </c>
      <c r="F224" t="s">
        <v>603</v>
      </c>
      <c r="G224" t="s">
        <v>358</v>
      </c>
      <c r="H224" s="27">
        <v>46161</v>
      </c>
      <c r="I224" t="s">
        <v>3301</v>
      </c>
    </row>
    <row r="225" spans="1:10" ht="15" customHeight="1" x14ac:dyDescent="0.25">
      <c r="A225" t="s">
        <v>3302</v>
      </c>
      <c r="B225" t="s">
        <v>40</v>
      </c>
      <c r="C225" t="s">
        <v>377</v>
      </c>
      <c r="D225" t="s">
        <v>1234</v>
      </c>
      <c r="E225">
        <v>275</v>
      </c>
      <c r="F225" t="s">
        <v>603</v>
      </c>
      <c r="G225" t="s">
        <v>358</v>
      </c>
      <c r="H225" s="27">
        <v>46161</v>
      </c>
      <c r="I225" t="s">
        <v>603</v>
      </c>
    </row>
    <row r="226" spans="1:10" ht="15" customHeight="1" x14ac:dyDescent="0.25">
      <c r="A226" t="s">
        <v>3303</v>
      </c>
      <c r="B226" t="s">
        <v>40</v>
      </c>
      <c r="C226" t="s">
        <v>414</v>
      </c>
      <c r="D226" t="s">
        <v>245</v>
      </c>
      <c r="E226">
        <v>45</v>
      </c>
      <c r="F226" t="s">
        <v>603</v>
      </c>
      <c r="G226" t="s">
        <v>358</v>
      </c>
      <c r="H226" s="27">
        <v>46162</v>
      </c>
      <c r="I226" t="s">
        <v>3304</v>
      </c>
    </row>
    <row r="227" spans="1:10" ht="15" customHeight="1" x14ac:dyDescent="0.25">
      <c r="A227" t="s">
        <v>3305</v>
      </c>
      <c r="B227" t="s">
        <v>40</v>
      </c>
      <c r="C227" t="s">
        <v>378</v>
      </c>
      <c r="D227" t="s">
        <v>245</v>
      </c>
      <c r="E227">
        <v>114</v>
      </c>
      <c r="F227" t="s">
        <v>603</v>
      </c>
      <c r="G227" t="s">
        <v>358</v>
      </c>
      <c r="H227" s="27">
        <v>46162</v>
      </c>
    </row>
    <row r="228" spans="1:10" ht="15" customHeight="1" x14ac:dyDescent="0.25">
      <c r="A228" t="s">
        <v>3306</v>
      </c>
      <c r="B228" t="s">
        <v>40</v>
      </c>
      <c r="C228" t="s">
        <v>378</v>
      </c>
      <c r="D228" t="s">
        <v>245</v>
      </c>
      <c r="E228">
        <v>118</v>
      </c>
      <c r="F228" t="s">
        <v>603</v>
      </c>
      <c r="G228" t="s">
        <v>358</v>
      </c>
      <c r="H228" s="27">
        <v>46162</v>
      </c>
    </row>
    <row r="229" spans="1:10" ht="15" customHeight="1" x14ac:dyDescent="0.25">
      <c r="A229" t="s">
        <v>3307</v>
      </c>
      <c r="B229" t="s">
        <v>40</v>
      </c>
      <c r="C229" t="s">
        <v>414</v>
      </c>
      <c r="D229" t="s">
        <v>245</v>
      </c>
      <c r="E229">
        <v>45</v>
      </c>
      <c r="F229" t="s">
        <v>603</v>
      </c>
      <c r="G229" t="s">
        <v>358</v>
      </c>
      <c r="H229" s="27">
        <v>46162</v>
      </c>
      <c r="I229" t="s">
        <v>3308</v>
      </c>
    </row>
    <row r="230" spans="1:10" ht="15" customHeight="1" x14ac:dyDescent="0.25">
      <c r="A230" t="s">
        <v>3309</v>
      </c>
      <c r="B230" t="s">
        <v>40</v>
      </c>
      <c r="C230" t="s">
        <v>414</v>
      </c>
      <c r="D230" t="s">
        <v>245</v>
      </c>
      <c r="E230">
        <v>45</v>
      </c>
      <c r="F230" t="s">
        <v>603</v>
      </c>
      <c r="G230" t="s">
        <v>358</v>
      </c>
      <c r="H230" s="27">
        <v>46162</v>
      </c>
    </row>
    <row r="231" spans="1:10" ht="15" customHeight="1" x14ac:dyDescent="0.25">
      <c r="A231" t="s">
        <v>3310</v>
      </c>
      <c r="B231" t="s">
        <v>40</v>
      </c>
      <c r="C231" t="s">
        <v>414</v>
      </c>
      <c r="D231" t="s">
        <v>245</v>
      </c>
      <c r="E231">
        <v>45</v>
      </c>
      <c r="F231" t="s">
        <v>603</v>
      </c>
      <c r="G231" t="s">
        <v>358</v>
      </c>
      <c r="H231" s="27">
        <v>46162</v>
      </c>
      <c r="I231" t="s">
        <v>3311</v>
      </c>
    </row>
    <row r="232" spans="1:10" ht="15" customHeight="1" x14ac:dyDescent="0.25">
      <c r="A232" t="s">
        <v>3312</v>
      </c>
      <c r="B232" t="s">
        <v>40</v>
      </c>
      <c r="C232" t="s">
        <v>414</v>
      </c>
      <c r="D232" t="s">
        <v>392</v>
      </c>
      <c r="E232">
        <v>538</v>
      </c>
      <c r="F232" t="s">
        <v>603</v>
      </c>
      <c r="G232" t="s">
        <v>358</v>
      </c>
      <c r="H232" s="27">
        <v>46163</v>
      </c>
      <c r="I232" t="s">
        <v>3313</v>
      </c>
    </row>
    <row r="233" spans="1:10" ht="15" customHeight="1" x14ac:dyDescent="0.25">
      <c r="A233" t="s">
        <v>3314</v>
      </c>
      <c r="B233" t="s">
        <v>40</v>
      </c>
      <c r="C233" t="s">
        <v>414</v>
      </c>
      <c r="D233" t="s">
        <v>392</v>
      </c>
      <c r="E233">
        <v>538</v>
      </c>
      <c r="F233" t="s">
        <v>603</v>
      </c>
      <c r="G233" t="s">
        <v>358</v>
      </c>
      <c r="H233" s="27">
        <v>46163</v>
      </c>
      <c r="I233" t="s">
        <v>3315</v>
      </c>
    </row>
    <row r="234" spans="1:10" ht="15" customHeight="1" x14ac:dyDescent="0.25">
      <c r="A234" t="s">
        <v>3316</v>
      </c>
      <c r="B234" t="s">
        <v>40</v>
      </c>
      <c r="C234" t="s">
        <v>363</v>
      </c>
      <c r="D234" t="s">
        <v>392</v>
      </c>
      <c r="E234">
        <v>394</v>
      </c>
      <c r="F234" t="s">
        <v>603</v>
      </c>
      <c r="G234" t="s">
        <v>358</v>
      </c>
      <c r="H234" s="27">
        <v>46163</v>
      </c>
    </row>
    <row r="235" spans="1:10" ht="15" customHeight="1" x14ac:dyDescent="0.25">
      <c r="A235" t="s">
        <v>3317</v>
      </c>
      <c r="B235" t="s">
        <v>40</v>
      </c>
      <c r="C235" t="s">
        <v>363</v>
      </c>
      <c r="D235" t="s">
        <v>392</v>
      </c>
      <c r="E235">
        <v>394</v>
      </c>
      <c r="F235" t="s">
        <v>603</v>
      </c>
      <c r="G235" t="s">
        <v>358</v>
      </c>
      <c r="H235" s="27">
        <v>46163</v>
      </c>
    </row>
    <row r="236" spans="1:10" ht="15" customHeight="1" x14ac:dyDescent="0.25">
      <c r="A236" t="s">
        <v>3318</v>
      </c>
      <c r="B236" t="s">
        <v>40</v>
      </c>
      <c r="C236" t="s">
        <v>1232</v>
      </c>
      <c r="D236" t="s">
        <v>392</v>
      </c>
      <c r="E236" s="40">
        <v>41.5</v>
      </c>
      <c r="F236" t="s">
        <v>603</v>
      </c>
      <c r="G236" t="s">
        <v>358</v>
      </c>
      <c r="H236" s="27">
        <v>46163</v>
      </c>
      <c r="I236" t="s">
        <v>3319</v>
      </c>
    </row>
    <row r="237" spans="1:10" ht="15" customHeight="1" x14ac:dyDescent="0.25">
      <c r="A237" t="s">
        <v>3320</v>
      </c>
      <c r="B237" t="s">
        <v>40</v>
      </c>
      <c r="C237" t="s">
        <v>414</v>
      </c>
      <c r="D237" t="s">
        <v>392</v>
      </c>
      <c r="E237">
        <v>156</v>
      </c>
      <c r="F237" t="s">
        <v>603</v>
      </c>
      <c r="G237" t="s">
        <v>358</v>
      </c>
      <c r="H237" s="27">
        <v>46164</v>
      </c>
      <c r="I237" t="s">
        <v>3321</v>
      </c>
      <c r="J237" t="s">
        <v>3322</v>
      </c>
    </row>
    <row r="238" spans="1:10" ht="15" customHeight="1" x14ac:dyDescent="0.25">
      <c r="A238" t="s">
        <v>3323</v>
      </c>
      <c r="B238" t="s">
        <v>40</v>
      </c>
      <c r="C238" t="s">
        <v>414</v>
      </c>
      <c r="D238" t="s">
        <v>392</v>
      </c>
      <c r="E238">
        <v>156</v>
      </c>
      <c r="F238" t="s">
        <v>603</v>
      </c>
      <c r="G238" t="s">
        <v>358</v>
      </c>
      <c r="H238" s="27">
        <v>46164</v>
      </c>
      <c r="J238" t="s">
        <v>3322</v>
      </c>
    </row>
    <row r="239" spans="1:10" ht="15" customHeight="1" x14ac:dyDescent="0.25">
      <c r="A239" t="s">
        <v>3324</v>
      </c>
      <c r="B239" t="s">
        <v>40</v>
      </c>
      <c r="C239" t="s">
        <v>1234</v>
      </c>
      <c r="D239" t="s">
        <v>392</v>
      </c>
      <c r="E239">
        <v>156</v>
      </c>
      <c r="F239" t="s">
        <v>603</v>
      </c>
      <c r="G239" t="s">
        <v>358</v>
      </c>
      <c r="H239" s="27">
        <v>46164</v>
      </c>
      <c r="J239" t="s">
        <v>1824</v>
      </c>
    </row>
    <row r="240" spans="1:10" ht="15" customHeight="1" x14ac:dyDescent="0.25">
      <c r="A240" t="s">
        <v>3325</v>
      </c>
      <c r="B240" t="s">
        <v>40</v>
      </c>
      <c r="C240" t="s">
        <v>414</v>
      </c>
      <c r="D240" t="s">
        <v>392</v>
      </c>
      <c r="E240">
        <v>156</v>
      </c>
      <c r="F240" t="s">
        <v>603</v>
      </c>
      <c r="G240" t="s">
        <v>358</v>
      </c>
      <c r="H240" s="27">
        <v>46164</v>
      </c>
      <c r="J240" t="s">
        <v>1824</v>
      </c>
    </row>
    <row r="241" spans="1:10" ht="15" customHeight="1" x14ac:dyDescent="0.25">
      <c r="A241" t="s">
        <v>3326</v>
      </c>
      <c r="B241" t="s">
        <v>40</v>
      </c>
      <c r="C241" t="s">
        <v>1232</v>
      </c>
      <c r="D241" t="s">
        <v>245</v>
      </c>
      <c r="E241">
        <v>161</v>
      </c>
      <c r="F241" t="s">
        <v>603</v>
      </c>
      <c r="G241" t="s">
        <v>358</v>
      </c>
      <c r="H241" s="27">
        <v>46168</v>
      </c>
      <c r="I241" t="s">
        <v>3327</v>
      </c>
    </row>
    <row r="242" spans="1:10" ht="15" customHeight="1" x14ac:dyDescent="0.25">
      <c r="A242" t="s">
        <v>3328</v>
      </c>
      <c r="B242" t="s">
        <v>40</v>
      </c>
      <c r="C242" t="s">
        <v>1234</v>
      </c>
      <c r="D242" t="s">
        <v>245</v>
      </c>
      <c r="E242">
        <v>258</v>
      </c>
      <c r="F242" t="s">
        <v>603</v>
      </c>
      <c r="G242" t="s">
        <v>358</v>
      </c>
      <c r="H242" s="27">
        <v>46168</v>
      </c>
    </row>
    <row r="243" spans="1:10" ht="15" customHeight="1" x14ac:dyDescent="0.25">
      <c r="A243" t="s">
        <v>3329</v>
      </c>
      <c r="B243" t="s">
        <v>40</v>
      </c>
      <c r="C243" t="s">
        <v>1232</v>
      </c>
      <c r="D243" t="s">
        <v>245</v>
      </c>
      <c r="E243">
        <v>161</v>
      </c>
      <c r="F243" t="s">
        <v>563</v>
      </c>
      <c r="G243" t="s">
        <v>358</v>
      </c>
      <c r="H243" s="27">
        <v>46168</v>
      </c>
      <c r="I243" t="s">
        <v>3330</v>
      </c>
    </row>
    <row r="244" spans="1:10" ht="15" customHeight="1" x14ac:dyDescent="0.25">
      <c r="A244" t="s">
        <v>1825</v>
      </c>
      <c r="B244" t="s">
        <v>40</v>
      </c>
      <c r="C244" t="s">
        <v>1232</v>
      </c>
      <c r="D244" t="s">
        <v>392</v>
      </c>
      <c r="E244">
        <v>500</v>
      </c>
      <c r="F244" t="s">
        <v>603</v>
      </c>
      <c r="G244" t="s">
        <v>358</v>
      </c>
      <c r="H244" s="27">
        <v>46169</v>
      </c>
      <c r="I244" t="s">
        <v>1826</v>
      </c>
    </row>
    <row r="245" spans="1:10" ht="15" customHeight="1" x14ac:dyDescent="0.25">
      <c r="A245" t="s">
        <v>3331</v>
      </c>
      <c r="B245" t="s">
        <v>40</v>
      </c>
      <c r="D245" t="s">
        <v>377</v>
      </c>
      <c r="E245">
        <v>158</v>
      </c>
      <c r="F245" t="s">
        <v>603</v>
      </c>
      <c r="G245" t="s">
        <v>358</v>
      </c>
      <c r="H245" s="27">
        <v>46171</v>
      </c>
      <c r="J245" t="s">
        <v>1824</v>
      </c>
    </row>
    <row r="246" spans="1:10" ht="15" customHeight="1" x14ac:dyDescent="0.25">
      <c r="A246" t="s">
        <v>3332</v>
      </c>
      <c r="B246" t="s">
        <v>40</v>
      </c>
      <c r="C246" t="s">
        <v>377</v>
      </c>
      <c r="D246" t="s">
        <v>1234</v>
      </c>
      <c r="E246">
        <v>164</v>
      </c>
      <c r="F246" t="s">
        <v>603</v>
      </c>
      <c r="G246" t="s">
        <v>358</v>
      </c>
      <c r="H246" s="27">
        <v>46177</v>
      </c>
      <c r="I246" t="s">
        <v>3333</v>
      </c>
      <c r="J246" t="s">
        <v>1824</v>
      </c>
    </row>
    <row r="247" spans="1:10" ht="15" customHeight="1" x14ac:dyDescent="0.25">
      <c r="A247" t="s">
        <v>3334</v>
      </c>
      <c r="B247" t="s">
        <v>40</v>
      </c>
      <c r="C247" t="s">
        <v>377</v>
      </c>
      <c r="D247" t="s">
        <v>1234</v>
      </c>
      <c r="E247">
        <v>164</v>
      </c>
      <c r="F247" t="s">
        <v>603</v>
      </c>
      <c r="G247" t="s">
        <v>358</v>
      </c>
      <c r="H247" s="27">
        <v>46177</v>
      </c>
      <c r="I247" t="s">
        <v>3333</v>
      </c>
      <c r="J247" t="s">
        <v>1824</v>
      </c>
    </row>
    <row r="248" spans="1:10" ht="15" customHeight="1" x14ac:dyDescent="0.25">
      <c r="A248" t="s">
        <v>3335</v>
      </c>
      <c r="B248" t="s">
        <v>40</v>
      </c>
      <c r="C248" t="s">
        <v>1232</v>
      </c>
      <c r="D248" t="s">
        <v>392</v>
      </c>
      <c r="E248">
        <v>213</v>
      </c>
      <c r="F248" t="s">
        <v>603</v>
      </c>
      <c r="G248" t="s">
        <v>358</v>
      </c>
      <c r="H248" s="27">
        <v>46177</v>
      </c>
      <c r="I248" t="s">
        <v>3336</v>
      </c>
      <c r="J248" t="s">
        <v>1824</v>
      </c>
    </row>
    <row r="249" spans="1:10" ht="15" customHeight="1" x14ac:dyDescent="0.25">
      <c r="A249" s="13" t="s">
        <v>3337</v>
      </c>
      <c r="B249" t="s">
        <v>40</v>
      </c>
      <c r="C249" t="s">
        <v>378</v>
      </c>
      <c r="D249" t="s">
        <v>1234</v>
      </c>
      <c r="E249">
        <v>164</v>
      </c>
      <c r="F249" t="s">
        <v>603</v>
      </c>
      <c r="G249" t="s">
        <v>358</v>
      </c>
      <c r="H249" s="27">
        <v>46177</v>
      </c>
      <c r="I249" t="s">
        <v>3333</v>
      </c>
      <c r="J249" t="s">
        <v>1824</v>
      </c>
    </row>
    <row r="250" spans="1:10" ht="15" customHeight="1" x14ac:dyDescent="0.25">
      <c r="A250" t="s">
        <v>3338</v>
      </c>
      <c r="B250" t="s">
        <v>40</v>
      </c>
      <c r="C250" t="s">
        <v>1232</v>
      </c>
      <c r="D250" t="s">
        <v>392</v>
      </c>
      <c r="E250">
        <v>213</v>
      </c>
      <c r="F250" t="s">
        <v>603</v>
      </c>
      <c r="G250" t="s">
        <v>358</v>
      </c>
      <c r="H250" s="27">
        <v>46177</v>
      </c>
      <c r="I250" t="s">
        <v>3339</v>
      </c>
      <c r="J250" t="s">
        <v>1824</v>
      </c>
    </row>
    <row r="251" spans="1:10" ht="15" customHeight="1" x14ac:dyDescent="0.25">
      <c r="A251" t="s">
        <v>3340</v>
      </c>
      <c r="B251" t="s">
        <v>40</v>
      </c>
      <c r="C251" t="s">
        <v>378</v>
      </c>
      <c r="D251" t="s">
        <v>1234</v>
      </c>
      <c r="E251">
        <v>165</v>
      </c>
      <c r="F251" t="s">
        <v>603</v>
      </c>
      <c r="G251" t="s">
        <v>358</v>
      </c>
      <c r="H251" s="27">
        <v>46177</v>
      </c>
      <c r="I251" t="s">
        <v>3333</v>
      </c>
      <c r="J251" t="s">
        <v>1824</v>
      </c>
    </row>
    <row r="252" spans="1:10" ht="15" customHeight="1" x14ac:dyDescent="0.25">
      <c r="A252" t="s">
        <v>3341</v>
      </c>
      <c r="B252" t="s">
        <v>602</v>
      </c>
      <c r="C252" t="s">
        <v>378</v>
      </c>
      <c r="D252" t="s">
        <v>414</v>
      </c>
      <c r="E252">
        <v>178</v>
      </c>
      <c r="F252" t="s">
        <v>603</v>
      </c>
      <c r="G252" t="s">
        <v>358</v>
      </c>
      <c r="H252" s="27">
        <v>46178</v>
      </c>
      <c r="I252" t="s">
        <v>3333</v>
      </c>
      <c r="J252" t="s">
        <v>1824</v>
      </c>
    </row>
    <row r="253" spans="1:10" ht="15" customHeight="1" x14ac:dyDescent="0.25">
      <c r="A253" t="s">
        <v>3342</v>
      </c>
      <c r="B253" t="s">
        <v>602</v>
      </c>
      <c r="C253" t="s">
        <v>378</v>
      </c>
      <c r="D253" t="s">
        <v>1234</v>
      </c>
      <c r="E253">
        <v>178</v>
      </c>
      <c r="F253" t="s">
        <v>603</v>
      </c>
      <c r="G253" t="s">
        <v>358</v>
      </c>
      <c r="H253" s="27">
        <v>46178</v>
      </c>
      <c r="I253" t="s">
        <v>3333</v>
      </c>
      <c r="J253" t="s">
        <v>1824</v>
      </c>
    </row>
    <row r="254" spans="1:10" ht="15" customHeight="1" x14ac:dyDescent="0.25">
      <c r="A254" t="s">
        <v>3343</v>
      </c>
      <c r="B254" t="s">
        <v>602</v>
      </c>
      <c r="C254" t="s">
        <v>378</v>
      </c>
      <c r="D254" t="s">
        <v>1234</v>
      </c>
      <c r="E254">
        <v>178</v>
      </c>
      <c r="F254" t="s">
        <v>603</v>
      </c>
      <c r="G254" t="s">
        <v>358</v>
      </c>
      <c r="H254" s="27">
        <v>46178</v>
      </c>
      <c r="I254" t="s">
        <v>3333</v>
      </c>
      <c r="J254" t="s">
        <v>1824</v>
      </c>
    </row>
    <row r="255" spans="1:10" ht="15" customHeight="1" x14ac:dyDescent="0.25">
      <c r="A255" t="s">
        <v>3344</v>
      </c>
      <c r="B255" t="s">
        <v>2801</v>
      </c>
      <c r="C255" t="s">
        <v>245</v>
      </c>
      <c r="D255" t="s">
        <v>245</v>
      </c>
      <c r="E255">
        <v>1882</v>
      </c>
      <c r="F255" t="s">
        <v>603</v>
      </c>
      <c r="G255" t="s">
        <v>358</v>
      </c>
      <c r="H255" s="27">
        <v>46178</v>
      </c>
      <c r="I255" t="s">
        <v>3345</v>
      </c>
      <c r="J255" t="s">
        <v>3216</v>
      </c>
    </row>
    <row r="256" spans="1:10" ht="15" customHeight="1" x14ac:dyDescent="0.25">
      <c r="A256" t="s">
        <v>3346</v>
      </c>
      <c r="B256" t="s">
        <v>2801</v>
      </c>
      <c r="C256" t="s">
        <v>245</v>
      </c>
      <c r="D256" t="s">
        <v>414</v>
      </c>
      <c r="E256">
        <v>1882</v>
      </c>
      <c r="F256" t="s">
        <v>603</v>
      </c>
      <c r="G256" t="s">
        <v>358</v>
      </c>
      <c r="H256" s="27">
        <v>46178</v>
      </c>
      <c r="I256" t="s">
        <v>3345</v>
      </c>
      <c r="J256" t="s">
        <v>3216</v>
      </c>
    </row>
    <row r="257" spans="1:10" ht="15" customHeight="1" x14ac:dyDescent="0.25">
      <c r="A257" t="s">
        <v>3347</v>
      </c>
      <c r="B257" t="s">
        <v>602</v>
      </c>
      <c r="C257" t="s">
        <v>414</v>
      </c>
      <c r="D257" t="s">
        <v>414</v>
      </c>
      <c r="E257">
        <v>562.5</v>
      </c>
      <c r="F257" t="s">
        <v>603</v>
      </c>
      <c r="G257" t="s">
        <v>358</v>
      </c>
      <c r="H257" s="27">
        <v>46178</v>
      </c>
      <c r="I257" t="s">
        <v>3348</v>
      </c>
      <c r="J257" t="s">
        <v>1824</v>
      </c>
    </row>
    <row r="258" spans="1:10" ht="15" customHeight="1" x14ac:dyDescent="0.25">
      <c r="A258" t="s">
        <v>3349</v>
      </c>
      <c r="B258" t="s">
        <v>602</v>
      </c>
      <c r="C258" t="s">
        <v>414</v>
      </c>
      <c r="D258" t="s">
        <v>245</v>
      </c>
      <c r="E258">
        <v>562.5</v>
      </c>
      <c r="F258" t="s">
        <v>603</v>
      </c>
      <c r="G258" t="s">
        <v>358</v>
      </c>
      <c r="H258" s="27">
        <v>46178</v>
      </c>
      <c r="I258" t="s">
        <v>3350</v>
      </c>
      <c r="J258" t="s">
        <v>1824</v>
      </c>
    </row>
    <row r="259" spans="1:10" ht="15" customHeight="1" x14ac:dyDescent="0.25">
      <c r="A259" t="s">
        <v>3351</v>
      </c>
      <c r="B259" t="s">
        <v>602</v>
      </c>
      <c r="C259" t="s">
        <v>378</v>
      </c>
      <c r="D259" t="s">
        <v>1234</v>
      </c>
      <c r="E259">
        <v>178</v>
      </c>
      <c r="F259" t="s">
        <v>603</v>
      </c>
      <c r="G259" t="s">
        <v>358</v>
      </c>
      <c r="H259" s="27">
        <v>46178</v>
      </c>
      <c r="I259" t="s">
        <v>3333</v>
      </c>
      <c r="J259" t="s">
        <v>1824</v>
      </c>
    </row>
    <row r="260" spans="1:10" ht="15" customHeight="1" x14ac:dyDescent="0.25">
      <c r="A260" t="s">
        <v>3352</v>
      </c>
      <c r="B260" t="s">
        <v>602</v>
      </c>
      <c r="E260">
        <v>446</v>
      </c>
      <c r="F260" t="s">
        <v>603</v>
      </c>
      <c r="G260" t="s">
        <v>358</v>
      </c>
      <c r="H260" s="27">
        <v>46170</v>
      </c>
      <c r="I260" t="s">
        <v>3353</v>
      </c>
      <c r="J260" t="s">
        <v>3354</v>
      </c>
    </row>
    <row r="261" spans="1:10" ht="15" customHeight="1" x14ac:dyDescent="0.25">
      <c r="A261" t="s">
        <v>3355</v>
      </c>
      <c r="B261" t="s">
        <v>602</v>
      </c>
      <c r="E261">
        <v>446</v>
      </c>
      <c r="F261" t="s">
        <v>603</v>
      </c>
      <c r="G261" t="s">
        <v>358</v>
      </c>
      <c r="H261" s="27">
        <v>46160</v>
      </c>
      <c r="I261" t="s">
        <v>3353</v>
      </c>
      <c r="J261" t="s">
        <v>3354</v>
      </c>
    </row>
    <row r="262" spans="1:10" ht="15" customHeight="1" x14ac:dyDescent="0.25">
      <c r="A262" t="s">
        <v>3356</v>
      </c>
      <c r="B262" t="s">
        <v>602</v>
      </c>
      <c r="C262" t="s">
        <v>1234</v>
      </c>
      <c r="D262" t="s">
        <v>414</v>
      </c>
      <c r="E262">
        <v>536</v>
      </c>
      <c r="F262" t="s">
        <v>603</v>
      </c>
      <c r="G262" t="s">
        <v>358</v>
      </c>
      <c r="H262" s="27">
        <v>46184</v>
      </c>
      <c r="I262" t="s">
        <v>3357</v>
      </c>
    </row>
    <row r="263" spans="1:10" ht="15" customHeight="1" x14ac:dyDescent="0.25">
      <c r="A263" t="s">
        <v>3358</v>
      </c>
      <c r="B263" t="s">
        <v>602</v>
      </c>
      <c r="C263" t="s">
        <v>1234</v>
      </c>
      <c r="D263" t="s">
        <v>392</v>
      </c>
      <c r="E263">
        <v>536</v>
      </c>
      <c r="F263" t="s">
        <v>603</v>
      </c>
      <c r="G263" t="s">
        <v>358</v>
      </c>
      <c r="H263" s="27">
        <v>46184</v>
      </c>
      <c r="I263" t="s">
        <v>3357</v>
      </c>
    </row>
    <row r="264" spans="1:10" ht="15" customHeight="1" x14ac:dyDescent="0.25">
      <c r="A264" t="s">
        <v>3359</v>
      </c>
      <c r="B264" t="s">
        <v>602</v>
      </c>
      <c r="C264" t="s">
        <v>392</v>
      </c>
      <c r="D264" t="s">
        <v>392</v>
      </c>
      <c r="E264">
        <v>487</v>
      </c>
      <c r="F264" t="s">
        <v>603</v>
      </c>
      <c r="G264" t="s">
        <v>358</v>
      </c>
      <c r="H264" s="27">
        <v>46184</v>
      </c>
    </row>
    <row r="265" spans="1:10" ht="15" customHeight="1" x14ac:dyDescent="0.25">
      <c r="A265" t="s">
        <v>3360</v>
      </c>
      <c r="B265" t="s">
        <v>602</v>
      </c>
      <c r="C265" t="s">
        <v>392</v>
      </c>
      <c r="D265" t="s">
        <v>392</v>
      </c>
      <c r="E265">
        <v>487</v>
      </c>
      <c r="F265" t="s">
        <v>603</v>
      </c>
      <c r="G265" t="s">
        <v>358</v>
      </c>
      <c r="H265" s="27">
        <v>46184</v>
      </c>
    </row>
    <row r="266" spans="1:10" ht="15" customHeight="1" x14ac:dyDescent="0.25">
      <c r="A266" t="s">
        <v>3361</v>
      </c>
      <c r="B266" t="s">
        <v>602</v>
      </c>
      <c r="C266" t="s">
        <v>392</v>
      </c>
      <c r="D266" t="s">
        <v>392</v>
      </c>
      <c r="E266">
        <v>342</v>
      </c>
      <c r="F266" t="s">
        <v>3362</v>
      </c>
      <c r="G266" t="s">
        <v>358</v>
      </c>
      <c r="H266" s="27">
        <v>46184</v>
      </c>
      <c r="I266" t="s">
        <v>3363</v>
      </c>
    </row>
    <row r="267" spans="1:10" ht="15" customHeight="1" x14ac:dyDescent="0.25">
      <c r="A267" t="s">
        <v>3364</v>
      </c>
      <c r="B267" t="s">
        <v>602</v>
      </c>
      <c r="E267">
        <v>298</v>
      </c>
      <c r="F267" t="s">
        <v>3365</v>
      </c>
      <c r="G267" t="s">
        <v>358</v>
      </c>
      <c r="H267" s="27">
        <v>46170</v>
      </c>
    </row>
    <row r="268" spans="1:10" ht="15" customHeight="1" x14ac:dyDescent="0.25">
      <c r="A268" t="s">
        <v>3366</v>
      </c>
      <c r="B268" t="s">
        <v>602</v>
      </c>
      <c r="E268">
        <v>298</v>
      </c>
      <c r="F268" t="s">
        <v>3365</v>
      </c>
      <c r="G268" t="s">
        <v>358</v>
      </c>
      <c r="H268" s="27">
        <v>46170</v>
      </c>
    </row>
    <row r="269" spans="1:10" ht="15" customHeight="1" x14ac:dyDescent="0.25">
      <c r="A269" t="s">
        <v>3367</v>
      </c>
      <c r="B269" t="s">
        <v>602</v>
      </c>
      <c r="E269">
        <v>298</v>
      </c>
      <c r="F269" t="s">
        <v>3365</v>
      </c>
      <c r="G269" t="s">
        <v>358</v>
      </c>
      <c r="H269" s="27">
        <v>46170</v>
      </c>
    </row>
    <row r="270" spans="1:10" ht="15" customHeight="1" x14ac:dyDescent="0.25">
      <c r="A270" t="s">
        <v>3368</v>
      </c>
      <c r="B270" t="s">
        <v>602</v>
      </c>
      <c r="E270">
        <v>154</v>
      </c>
      <c r="F270" t="s">
        <v>603</v>
      </c>
      <c r="G270" t="s">
        <v>358</v>
      </c>
      <c r="H270" s="27">
        <v>46170</v>
      </c>
    </row>
    <row r="271" spans="1:10" ht="15" customHeight="1" x14ac:dyDescent="0.25">
      <c r="A271" t="s">
        <v>3369</v>
      </c>
      <c r="B271" t="s">
        <v>602</v>
      </c>
      <c r="E271">
        <v>154</v>
      </c>
      <c r="F271" t="s">
        <v>603</v>
      </c>
      <c r="G271" t="s">
        <v>358</v>
      </c>
      <c r="H271" s="27">
        <v>46170</v>
      </c>
    </row>
    <row r="272" spans="1:10" ht="15" customHeight="1" x14ac:dyDescent="0.25">
      <c r="A272" t="s">
        <v>3370</v>
      </c>
      <c r="B272" t="s">
        <v>602</v>
      </c>
      <c r="E272">
        <v>130</v>
      </c>
      <c r="F272" t="s">
        <v>603</v>
      </c>
      <c r="G272" t="s">
        <v>358</v>
      </c>
      <c r="H272" s="27">
        <v>46170</v>
      </c>
    </row>
    <row r="273" spans="1:10" ht="15" customHeight="1" x14ac:dyDescent="0.25">
      <c r="A273" t="s">
        <v>3371</v>
      </c>
      <c r="B273" t="s">
        <v>602</v>
      </c>
      <c r="E273">
        <v>130</v>
      </c>
      <c r="F273" t="s">
        <v>603</v>
      </c>
      <c r="G273" t="s">
        <v>358</v>
      </c>
      <c r="H273" s="27">
        <v>46170</v>
      </c>
    </row>
    <row r="274" spans="1:10" ht="15" customHeight="1" x14ac:dyDescent="0.25">
      <c r="A274" t="s">
        <v>3372</v>
      </c>
      <c r="B274" t="s">
        <v>602</v>
      </c>
      <c r="E274">
        <v>130</v>
      </c>
      <c r="F274" t="s">
        <v>603</v>
      </c>
      <c r="G274" t="s">
        <v>358</v>
      </c>
      <c r="H274" s="27">
        <v>46170</v>
      </c>
    </row>
    <row r="275" spans="1:10" ht="15" customHeight="1" x14ac:dyDescent="0.25">
      <c r="A275" t="s">
        <v>3373</v>
      </c>
      <c r="B275" t="s">
        <v>602</v>
      </c>
      <c r="E275">
        <v>130</v>
      </c>
      <c r="F275" t="s">
        <v>603</v>
      </c>
      <c r="G275" t="s">
        <v>358</v>
      </c>
      <c r="H275" s="27">
        <v>46170</v>
      </c>
    </row>
    <row r="276" spans="1:10" ht="15" customHeight="1" x14ac:dyDescent="0.25">
      <c r="A276" t="s">
        <v>3374</v>
      </c>
      <c r="B276" t="s">
        <v>602</v>
      </c>
      <c r="C276" t="s">
        <v>392</v>
      </c>
      <c r="D276" t="s">
        <v>392</v>
      </c>
      <c r="E276">
        <v>168</v>
      </c>
      <c r="F276" t="s">
        <v>382</v>
      </c>
      <c r="G276" t="s">
        <v>358</v>
      </c>
      <c r="H276" s="27">
        <v>46185</v>
      </c>
      <c r="J276" t="s">
        <v>1824</v>
      </c>
    </row>
    <row r="277" spans="1:10" ht="15" customHeight="1" x14ac:dyDescent="0.25">
      <c r="A277" t="s">
        <v>3375</v>
      </c>
      <c r="B277" t="s">
        <v>602</v>
      </c>
      <c r="C277" t="s">
        <v>245</v>
      </c>
      <c r="D277" t="s">
        <v>378</v>
      </c>
      <c r="E277">
        <v>168</v>
      </c>
      <c r="F277" t="s">
        <v>382</v>
      </c>
      <c r="G277" t="s">
        <v>358</v>
      </c>
      <c r="H277" s="27">
        <v>46185</v>
      </c>
      <c r="J277" t="s">
        <v>1824</v>
      </c>
    </row>
    <row r="278" spans="1:10" ht="15" customHeight="1" x14ac:dyDescent="0.25">
      <c r="A278" t="s">
        <v>3376</v>
      </c>
      <c r="B278" t="s">
        <v>602</v>
      </c>
      <c r="C278" t="s">
        <v>1234</v>
      </c>
      <c r="D278" t="s">
        <v>245</v>
      </c>
      <c r="E278">
        <v>168</v>
      </c>
      <c r="F278" t="s">
        <v>382</v>
      </c>
      <c r="G278" t="s">
        <v>358</v>
      </c>
      <c r="H278" s="27">
        <v>46188</v>
      </c>
      <c r="I278" t="s">
        <v>3377</v>
      </c>
      <c r="J278" t="s">
        <v>1824</v>
      </c>
    </row>
    <row r="279" spans="1:10" ht="15" customHeight="1" x14ac:dyDescent="0.25">
      <c r="A279" t="s">
        <v>3378</v>
      </c>
      <c r="B279" t="s">
        <v>602</v>
      </c>
      <c r="C279" t="s">
        <v>1234</v>
      </c>
      <c r="D279" t="s">
        <v>245</v>
      </c>
      <c r="E279">
        <v>168</v>
      </c>
      <c r="F279" t="s">
        <v>382</v>
      </c>
      <c r="G279" t="s">
        <v>358</v>
      </c>
      <c r="H279" s="27">
        <v>46188</v>
      </c>
      <c r="I279" t="s">
        <v>3377</v>
      </c>
      <c r="J279" t="s">
        <v>1824</v>
      </c>
    </row>
    <row r="280" spans="1:10" ht="15" customHeight="1" x14ac:dyDescent="0.25">
      <c r="A280" t="s">
        <v>3379</v>
      </c>
      <c r="B280" t="s">
        <v>602</v>
      </c>
      <c r="C280" t="s">
        <v>245</v>
      </c>
      <c r="D280" t="s">
        <v>245</v>
      </c>
      <c r="E280">
        <v>168</v>
      </c>
      <c r="F280" t="s">
        <v>382</v>
      </c>
      <c r="G280" t="s">
        <v>358</v>
      </c>
      <c r="H280" s="27">
        <v>46188</v>
      </c>
      <c r="I280" t="s">
        <v>3380</v>
      </c>
      <c r="J280" t="s">
        <v>1824</v>
      </c>
    </row>
    <row r="281" spans="1:10" ht="15" customHeight="1" x14ac:dyDescent="0.25">
      <c r="A281" t="s">
        <v>3381</v>
      </c>
      <c r="B281" t="s">
        <v>602</v>
      </c>
      <c r="C281" t="s">
        <v>1234</v>
      </c>
      <c r="D281" t="s">
        <v>245</v>
      </c>
      <c r="E281">
        <v>168</v>
      </c>
      <c r="F281" t="s">
        <v>382</v>
      </c>
      <c r="G281" t="s">
        <v>358</v>
      </c>
      <c r="H281" s="27">
        <v>46188</v>
      </c>
      <c r="I281" t="s">
        <v>3382</v>
      </c>
      <c r="J281" t="s">
        <v>1824</v>
      </c>
    </row>
    <row r="282" spans="1:10" ht="15" customHeight="1" x14ac:dyDescent="0.25">
      <c r="A282" t="s">
        <v>3383</v>
      </c>
      <c r="B282" t="s">
        <v>602</v>
      </c>
      <c r="C282" t="s">
        <v>1234</v>
      </c>
      <c r="D282" t="s">
        <v>245</v>
      </c>
      <c r="E282">
        <v>168</v>
      </c>
      <c r="F282" t="s">
        <v>382</v>
      </c>
      <c r="G282" t="s">
        <v>358</v>
      </c>
      <c r="H282" s="27">
        <v>46188</v>
      </c>
      <c r="I282" t="s">
        <v>3382</v>
      </c>
      <c r="J282" t="s">
        <v>1824</v>
      </c>
    </row>
    <row r="283" spans="1:10" ht="15" customHeight="1" x14ac:dyDescent="0.25">
      <c r="A283" t="s">
        <v>3384</v>
      </c>
      <c r="B283" t="s">
        <v>602</v>
      </c>
      <c r="C283" t="s">
        <v>245</v>
      </c>
      <c r="D283" t="s">
        <v>245</v>
      </c>
      <c r="E283">
        <v>168</v>
      </c>
      <c r="F283" t="s">
        <v>382</v>
      </c>
      <c r="G283" t="s">
        <v>358</v>
      </c>
      <c r="H283" s="27">
        <v>46188</v>
      </c>
      <c r="I283" t="s">
        <v>3385</v>
      </c>
      <c r="J283" t="s">
        <v>1824</v>
      </c>
    </row>
    <row r="284" spans="1:10" ht="15" customHeight="1" x14ac:dyDescent="0.25">
      <c r="A284" t="s">
        <v>3386</v>
      </c>
      <c r="B284" t="s">
        <v>602</v>
      </c>
      <c r="C284" t="s">
        <v>245</v>
      </c>
      <c r="D284" t="s">
        <v>392</v>
      </c>
      <c r="E284">
        <v>168</v>
      </c>
      <c r="F284" t="s">
        <v>382</v>
      </c>
      <c r="G284" t="s">
        <v>358</v>
      </c>
      <c r="H284" s="27">
        <v>46189</v>
      </c>
      <c r="I284" t="s">
        <v>3387</v>
      </c>
      <c r="J284" t="s">
        <v>1824</v>
      </c>
    </row>
    <row r="285" spans="1:10" ht="15" customHeight="1" x14ac:dyDescent="0.25">
      <c r="A285" t="s">
        <v>3388</v>
      </c>
      <c r="B285" t="s">
        <v>602</v>
      </c>
      <c r="C285" t="s">
        <v>414</v>
      </c>
      <c r="D285" t="s">
        <v>363</v>
      </c>
      <c r="E285">
        <v>168</v>
      </c>
      <c r="F285" t="s">
        <v>382</v>
      </c>
      <c r="G285" t="s">
        <v>358</v>
      </c>
      <c r="H285" s="27">
        <v>46189</v>
      </c>
      <c r="I285" t="s">
        <v>3387</v>
      </c>
      <c r="J285" t="s">
        <v>1824</v>
      </c>
    </row>
    <row r="286" spans="1:10" ht="15" customHeight="1" x14ac:dyDescent="0.25">
      <c r="A286" t="s">
        <v>3389</v>
      </c>
      <c r="B286" t="s">
        <v>602</v>
      </c>
      <c r="C286" t="s">
        <v>392</v>
      </c>
      <c r="D286" t="s">
        <v>377</v>
      </c>
      <c r="E286">
        <v>168</v>
      </c>
      <c r="F286" t="s">
        <v>382</v>
      </c>
      <c r="G286" t="s">
        <v>358</v>
      </c>
      <c r="H286" s="27">
        <v>46196</v>
      </c>
      <c r="I286" t="s">
        <v>3390</v>
      </c>
      <c r="J286" t="s">
        <v>1824</v>
      </c>
    </row>
    <row r="287" spans="1:10" ht="15" customHeight="1" x14ac:dyDescent="0.25">
      <c r="A287" t="s">
        <v>3391</v>
      </c>
      <c r="B287" t="s">
        <v>602</v>
      </c>
      <c r="C287" t="s">
        <v>392</v>
      </c>
      <c r="D287" t="s">
        <v>377</v>
      </c>
      <c r="E287">
        <v>168</v>
      </c>
      <c r="F287" t="s">
        <v>382</v>
      </c>
      <c r="G287" t="s">
        <v>358</v>
      </c>
      <c r="H287" s="27">
        <v>46196</v>
      </c>
      <c r="I287" t="s">
        <v>3390</v>
      </c>
      <c r="J287" t="s">
        <v>1824</v>
      </c>
    </row>
    <row r="288" spans="1:10" ht="15" customHeight="1" x14ac:dyDescent="0.25">
      <c r="A288" t="s">
        <v>3392</v>
      </c>
      <c r="B288" t="s">
        <v>602</v>
      </c>
      <c r="C288" t="s">
        <v>1232</v>
      </c>
      <c r="D288" t="s">
        <v>377</v>
      </c>
      <c r="E288">
        <v>168</v>
      </c>
      <c r="F288" t="s">
        <v>382</v>
      </c>
      <c r="G288" t="s">
        <v>358</v>
      </c>
      <c r="H288" s="27">
        <v>46196</v>
      </c>
      <c r="I288" t="s">
        <v>3393</v>
      </c>
      <c r="J288" t="s">
        <v>1824</v>
      </c>
    </row>
    <row r="289" spans="1:10" ht="15" customHeight="1" x14ac:dyDescent="0.25">
      <c r="A289" t="s">
        <v>3394</v>
      </c>
      <c r="B289" t="s">
        <v>602</v>
      </c>
      <c r="C289" t="s">
        <v>1232</v>
      </c>
      <c r="D289" t="s">
        <v>377</v>
      </c>
      <c r="E289">
        <v>168</v>
      </c>
      <c r="F289" t="s">
        <v>382</v>
      </c>
      <c r="G289" t="s">
        <v>358</v>
      </c>
      <c r="H289" s="27">
        <v>46196</v>
      </c>
      <c r="I289" t="s">
        <v>3393</v>
      </c>
      <c r="J289" t="s">
        <v>1824</v>
      </c>
    </row>
    <row r="290" spans="1:10" ht="15" customHeight="1" x14ac:dyDescent="0.25">
      <c r="A290" t="s">
        <v>3395</v>
      </c>
      <c r="B290" t="s">
        <v>602</v>
      </c>
      <c r="C290" t="s">
        <v>392</v>
      </c>
      <c r="D290" t="s">
        <v>392</v>
      </c>
      <c r="E290">
        <v>381</v>
      </c>
      <c r="F290" t="s">
        <v>3396</v>
      </c>
      <c r="G290" t="s">
        <v>358</v>
      </c>
      <c r="H290" s="27">
        <v>46202</v>
      </c>
      <c r="I290" t="s">
        <v>3397</v>
      </c>
      <c r="J290" t="s">
        <v>1824</v>
      </c>
    </row>
    <row r="291" spans="1:10" ht="15" customHeight="1" x14ac:dyDescent="0.25">
      <c r="A291" t="s">
        <v>3398</v>
      </c>
      <c r="B291" t="s">
        <v>602</v>
      </c>
      <c r="C291" t="s">
        <v>392</v>
      </c>
      <c r="D291" t="s">
        <v>392</v>
      </c>
      <c r="E291">
        <v>379</v>
      </c>
      <c r="F291" t="s">
        <v>3396</v>
      </c>
      <c r="G291" t="s">
        <v>358</v>
      </c>
      <c r="H291" s="27">
        <v>46202</v>
      </c>
      <c r="I291" t="s">
        <v>3397</v>
      </c>
      <c r="J291" t="s">
        <v>1824</v>
      </c>
    </row>
    <row r="292" spans="1:10" ht="15" customHeight="1" x14ac:dyDescent="0.25">
      <c r="A292" t="s">
        <v>3399</v>
      </c>
      <c r="B292" t="s">
        <v>602</v>
      </c>
      <c r="C292" t="s">
        <v>414</v>
      </c>
      <c r="D292" t="s">
        <v>392</v>
      </c>
      <c r="E292">
        <v>368</v>
      </c>
      <c r="F292" t="s">
        <v>3396</v>
      </c>
      <c r="G292" t="s">
        <v>358</v>
      </c>
      <c r="H292" s="27">
        <v>46202</v>
      </c>
      <c r="I292" t="s">
        <v>3400</v>
      </c>
      <c r="J292" t="s">
        <v>1824</v>
      </c>
    </row>
    <row r="293" spans="1:10" ht="15" customHeight="1" x14ac:dyDescent="0.25">
      <c r="A293" t="s">
        <v>3401</v>
      </c>
      <c r="B293" t="s">
        <v>602</v>
      </c>
      <c r="C293" t="s">
        <v>378</v>
      </c>
      <c r="D293" t="s">
        <v>392</v>
      </c>
      <c r="E293">
        <v>367</v>
      </c>
      <c r="F293" t="s">
        <v>3396</v>
      </c>
      <c r="G293" t="s">
        <v>358</v>
      </c>
      <c r="H293" s="27">
        <v>46202</v>
      </c>
      <c r="I293" t="s">
        <v>3402</v>
      </c>
      <c r="J293" t="s">
        <v>1824</v>
      </c>
    </row>
    <row r="294" spans="1:10" ht="15" customHeight="1" x14ac:dyDescent="0.25">
      <c r="A294" t="s">
        <v>3403</v>
      </c>
      <c r="B294" t="s">
        <v>602</v>
      </c>
      <c r="C294" t="s">
        <v>377</v>
      </c>
      <c r="D294" t="s">
        <v>414</v>
      </c>
      <c r="E294">
        <v>168</v>
      </c>
      <c r="F294" t="s">
        <v>382</v>
      </c>
      <c r="G294" t="s">
        <v>358</v>
      </c>
      <c r="H294" s="27">
        <v>46203</v>
      </c>
      <c r="I294" t="s">
        <v>3404</v>
      </c>
      <c r="J294" t="s">
        <v>1824</v>
      </c>
    </row>
    <row r="295" spans="1:10" ht="15" customHeight="1" x14ac:dyDescent="0.25">
      <c r="A295" t="s">
        <v>3405</v>
      </c>
      <c r="B295" t="s">
        <v>602</v>
      </c>
      <c r="C295" t="s">
        <v>363</v>
      </c>
      <c r="D295" t="s">
        <v>414</v>
      </c>
      <c r="E295">
        <v>168</v>
      </c>
      <c r="F295" t="s">
        <v>382</v>
      </c>
      <c r="G295" t="s">
        <v>358</v>
      </c>
      <c r="H295" s="27">
        <v>46203</v>
      </c>
      <c r="I295" t="s">
        <v>3406</v>
      </c>
      <c r="J295" t="s">
        <v>1824</v>
      </c>
    </row>
    <row r="296" spans="1:10" ht="15" customHeight="1" x14ac:dyDescent="0.25">
      <c r="A296" t="s">
        <v>3407</v>
      </c>
      <c r="B296" t="s">
        <v>602</v>
      </c>
      <c r="C296" t="s">
        <v>363</v>
      </c>
      <c r="D296" t="s">
        <v>414</v>
      </c>
      <c r="E296">
        <v>168</v>
      </c>
      <c r="F296" t="s">
        <v>382</v>
      </c>
      <c r="G296" t="s">
        <v>358</v>
      </c>
      <c r="H296" s="27">
        <v>46203</v>
      </c>
      <c r="I296" t="s">
        <v>3406</v>
      </c>
      <c r="J296" t="s">
        <v>1824</v>
      </c>
    </row>
    <row r="297" spans="1:10" ht="15" customHeight="1" x14ac:dyDescent="0.25">
      <c r="A297" t="s">
        <v>3408</v>
      </c>
      <c r="B297" t="s">
        <v>602</v>
      </c>
      <c r="C297" t="s">
        <v>377</v>
      </c>
      <c r="D297" t="s">
        <v>414</v>
      </c>
      <c r="E297">
        <v>168</v>
      </c>
      <c r="F297" t="s">
        <v>382</v>
      </c>
      <c r="G297" t="s">
        <v>358</v>
      </c>
      <c r="H297" s="27">
        <v>46203</v>
      </c>
      <c r="I297" t="s">
        <v>3404</v>
      </c>
      <c r="J297" t="s">
        <v>1824</v>
      </c>
    </row>
    <row r="298" spans="1:10" ht="15" customHeight="1" x14ac:dyDescent="0.25">
      <c r="F298" s="23"/>
    </row>
    <row r="299" spans="1:10" ht="15" customHeight="1" x14ac:dyDescent="0.25">
      <c r="F299" s="23"/>
    </row>
  </sheetData>
  <phoneticPr fontId="16" type="noConversion"/>
  <hyperlinks>
    <hyperlink ref="K2" r:id="rId1" xr:uid="{822D8477-7C73-41D9-92C5-D01AD8C1B971}"/>
    <hyperlink ref="K3" r:id="rId2" xr:uid="{23844EEA-47DC-4066-80D9-7995AEF7F98F}"/>
    <hyperlink ref="K4" r:id="rId3" xr:uid="{DBC81518-19EB-4EEF-AF16-C1B815A51816}"/>
    <hyperlink ref="K5" r:id="rId4" xr:uid="{00CD2990-957C-480C-8BE4-2C631341B80C}"/>
    <hyperlink ref="K6" r:id="rId5" xr:uid="{38665306-97AD-47AC-B9C9-4B2B9D371A62}"/>
    <hyperlink ref="K7" r:id="rId6" xr:uid="{C2696BAD-1F19-4284-8203-2BA0B9C31CBC}"/>
    <hyperlink ref="K8" r:id="rId7" xr:uid="{ED2CA19C-31FF-4095-B812-4E1FB89C9439}"/>
    <hyperlink ref="K9" r:id="rId8" xr:uid="{FAC9FD34-E6B2-4A72-9375-DBA75FA736A0}"/>
    <hyperlink ref="K10" r:id="rId9" xr:uid="{511EDB5E-32DD-42C8-B421-99648F061858}"/>
    <hyperlink ref="K11" r:id="rId10" xr:uid="{E0E5153E-7FA1-49E7-980C-F47E951289AC}"/>
    <hyperlink ref="K12" r:id="rId11" xr:uid="{59AF18BD-CB6B-432E-ACBF-B491E3F2A93F}"/>
    <hyperlink ref="K13" r:id="rId12" xr:uid="{5B844102-DEAC-4E78-A0ED-1D69108709A4}"/>
    <hyperlink ref="K14" r:id="rId13" xr:uid="{210274D0-A110-42A7-A0A9-80328E4325E5}"/>
    <hyperlink ref="K15" r:id="rId14" xr:uid="{1D4DB27F-A208-448D-A0B5-BA8599D7E0B5}"/>
    <hyperlink ref="K16" r:id="rId15" xr:uid="{301DAFAF-C09D-4AA2-96BC-95AA9E29BF48}"/>
    <hyperlink ref="K17" r:id="rId16" xr:uid="{C709F819-0CA3-44A9-AA2D-62CC9EC47BAA}"/>
    <hyperlink ref="K18" r:id="rId17" xr:uid="{EB47F0A9-5875-4B87-ACC1-69136BEAD975}"/>
    <hyperlink ref="K19" r:id="rId18" xr:uid="{73446C26-52FC-4FBC-87CB-82CB5285E4EC}"/>
    <hyperlink ref="K20" r:id="rId19" xr:uid="{088849A3-1C49-4457-932F-B088F97EE02E}"/>
    <hyperlink ref="K21" r:id="rId20" xr:uid="{2217B97B-D40A-4E3E-A04B-0262D18AB3F7}"/>
    <hyperlink ref="K22" r:id="rId21" xr:uid="{CB63E76E-4D7A-4331-BDEF-5DCF35960D33}"/>
    <hyperlink ref="K23" r:id="rId22" xr:uid="{5176B4A2-B8A0-400E-85B7-3C27EEBB1521}"/>
    <hyperlink ref="K24" r:id="rId23" xr:uid="{D661F5B6-F134-403C-B5A3-445115F7E03C}"/>
    <hyperlink ref="K25" r:id="rId24" xr:uid="{F30337AA-7088-4171-9DEB-410DA910A0D8}"/>
    <hyperlink ref="K27" r:id="rId25" xr:uid="{D21C2843-C85C-4140-9717-3FD500DF877C}"/>
    <hyperlink ref="K28" r:id="rId26" xr:uid="{36D6D42E-37FE-4715-84DF-A29C1F12075E}"/>
    <hyperlink ref="K29" r:id="rId27" xr:uid="{A20BF87D-9F42-438C-AF99-53CF925A9C8E}"/>
    <hyperlink ref="K30" r:id="rId28" xr:uid="{995FC9FB-48B1-49DE-ACD2-6C6D885371B8}"/>
    <hyperlink ref="K31" r:id="rId29" xr:uid="{658C864A-3262-40E5-AF90-3C2B3B97E268}"/>
    <hyperlink ref="K32" r:id="rId30" xr:uid="{FE27BDCC-3B39-4B18-91F5-2F768945C900}"/>
    <hyperlink ref="K33" r:id="rId31" xr:uid="{842FB4AE-586E-415D-82E1-786B655ABAD3}"/>
    <hyperlink ref="K34" r:id="rId32" xr:uid="{09A60F3D-28DD-445A-BCD8-508CD51C4FD5}"/>
    <hyperlink ref="K35" r:id="rId33" xr:uid="{EB6B97E0-9875-4E43-A526-7333B64E3606}"/>
    <hyperlink ref="K36" r:id="rId34" xr:uid="{88D4D35B-116D-4B33-B5B9-8DA1B7B32073}"/>
    <hyperlink ref="K37" r:id="rId35" xr:uid="{9A23B702-5F3A-45E1-BA51-A538DE6E2CE7}"/>
    <hyperlink ref="K38" r:id="rId36" xr:uid="{F8915B3A-B8E9-4EC0-9C77-72CA471869FE}"/>
    <hyperlink ref="K39" r:id="rId37" xr:uid="{4DF23C85-4C35-4806-A957-C2FB577CBF69}"/>
    <hyperlink ref="K40" r:id="rId38" xr:uid="{17504C50-F39D-4560-AD06-BA8A1266B3F7}"/>
    <hyperlink ref="K41" r:id="rId39" xr:uid="{9CF5B654-1ED7-47E4-9750-58782F1A66CC}"/>
    <hyperlink ref="K42" r:id="rId40" xr:uid="{721B0174-9F03-4C66-9CAE-C21374F099EB}"/>
    <hyperlink ref="K43" r:id="rId41" xr:uid="{CB825E03-AAEC-48D1-A4F5-3E77100F810F}"/>
    <hyperlink ref="K44" r:id="rId42" xr:uid="{1DB13E24-C5A1-4697-80E2-AA5CE71E9E17}"/>
    <hyperlink ref="K45" r:id="rId43" xr:uid="{21150B34-41AA-4898-B83F-6E0008478A13}"/>
    <hyperlink ref="K46" r:id="rId44" xr:uid="{91B09361-8B27-4A2F-9EDF-5F8B8A186AEC}"/>
    <hyperlink ref="K47" r:id="rId45" xr:uid="{27A5B17F-4C4A-439D-8C22-A16F6C7C5ED0}"/>
    <hyperlink ref="K48" r:id="rId46" xr:uid="{2E07B5B8-CCD2-41B5-A8A7-FDB8A6A981FC}"/>
    <hyperlink ref="K49" r:id="rId47" xr:uid="{87CC64C6-77AC-424D-8A2A-7052D05F7213}"/>
    <hyperlink ref="K50" r:id="rId48" xr:uid="{2B7969D4-8015-462D-AAD1-008CDCD0752B}"/>
    <hyperlink ref="K51" r:id="rId49" xr:uid="{42A6C11C-59EF-4AF7-8E0C-8EA43C8CAF06}"/>
    <hyperlink ref="K52" r:id="rId50" xr:uid="{5263A8E4-E95E-4EF2-81C5-6623E20F9E4E}"/>
    <hyperlink ref="K53" r:id="rId51" xr:uid="{962BF03C-92A7-4A80-B312-CF03D4247ADF}"/>
    <hyperlink ref="K54" r:id="rId52" xr:uid="{3CC440F7-6216-4628-8861-8DAB6119C150}"/>
    <hyperlink ref="K55" r:id="rId53" xr:uid="{0EFB7D79-0A89-4B41-8460-95E7371F5400}"/>
    <hyperlink ref="K56" r:id="rId54" xr:uid="{644DD1D8-CBC2-4CBE-8F94-DA2CC177E34F}"/>
    <hyperlink ref="K57" r:id="rId55" xr:uid="{DA62B67A-F60D-4C6B-8926-8D0CF0380471}"/>
    <hyperlink ref="K67" r:id="rId56" xr:uid="{79232736-F3C5-4C61-B45F-EE28AA7D85DD}"/>
    <hyperlink ref="K58" r:id="rId57" xr:uid="{6B99E89A-7C4E-4F0D-86D0-973DC1833556}"/>
    <hyperlink ref="K66" r:id="rId58" xr:uid="{D02B174E-74A6-4991-846F-EE4075A4B3F3}"/>
    <hyperlink ref="K65" r:id="rId59" xr:uid="{0C6D07A7-3433-4F36-8C52-F7DE1BFBF4F5}"/>
    <hyperlink ref="K64" r:id="rId60" xr:uid="{85C941B8-548A-4400-9D41-F4D2C7D7DDB3}"/>
    <hyperlink ref="K59" r:id="rId61" xr:uid="{45340BD2-21FD-423B-9856-EB2B38682FEF}"/>
    <hyperlink ref="K63" r:id="rId62" xr:uid="{F8ECBA4D-A2D7-4CE2-9B6C-06B41B03BEB4}"/>
    <hyperlink ref="K60" r:id="rId63" xr:uid="{23792CC1-15BE-4052-9B82-372C7D9BD1F9}"/>
    <hyperlink ref="K62" r:id="rId64" xr:uid="{4F091693-545E-4AB4-80AC-328EADA18A2B}"/>
    <hyperlink ref="K61" r:id="rId65" xr:uid="{EADAC7BE-5812-47DC-B25D-D172CE6C8B1D}"/>
    <hyperlink ref="K68" r:id="rId66" xr:uid="{4EE38738-C3E9-4DB4-8E96-2ABB185CA97A}"/>
    <hyperlink ref="K69" r:id="rId67" xr:uid="{DBA4F036-EA7D-4F64-B54A-8671B24AF4B8}"/>
    <hyperlink ref="K70" r:id="rId68" xr:uid="{CAA0D9D5-9426-450B-A4DC-1A1CBB3E32F5}"/>
    <hyperlink ref="K71" r:id="rId69" xr:uid="{884EE52E-0C9D-46DC-8CD4-BEAFA69AE3C9}"/>
    <hyperlink ref="K72" r:id="rId70" xr:uid="{768296FA-B23F-44DE-9B60-7ED63C530125}"/>
    <hyperlink ref="K73" r:id="rId71" xr:uid="{2551E947-B64A-4CA6-9B91-DF04046AEB06}"/>
    <hyperlink ref="K74" r:id="rId72" xr:uid="{0F4D0A51-6D2C-4AE1-AE40-7EC108C5E191}"/>
    <hyperlink ref="K75" r:id="rId73" xr:uid="{920773DF-93DF-4361-9DF7-C4CA994F416A}"/>
    <hyperlink ref="K76" r:id="rId74" xr:uid="{7CE0ED7A-692C-4F58-B48D-2A1BC218F441}"/>
    <hyperlink ref="K77" r:id="rId75" xr:uid="{340C558A-6230-45DB-A31C-561ECF273F2B}"/>
    <hyperlink ref="K78" r:id="rId76" xr:uid="{459156E9-F1FF-48B2-A875-C4A76612D3F9}"/>
    <hyperlink ref="K79" r:id="rId77" xr:uid="{2AC19BF2-C680-4588-AB6F-D502A5970E79}"/>
    <hyperlink ref="K80" r:id="rId78" xr:uid="{607DBDE2-5981-47F5-9377-5FB119F6C3C9}"/>
    <hyperlink ref="K81" r:id="rId79" xr:uid="{EEABE4F2-C71E-4615-B68A-8F0A9C752E80}"/>
    <hyperlink ref="K82" r:id="rId80" xr:uid="{158D78BD-0953-4A51-98DF-C91D3762425A}"/>
    <hyperlink ref="K83" r:id="rId81" xr:uid="{271E76B8-EB12-4F46-98DB-3CFF5A11CAA5}"/>
    <hyperlink ref="K84" r:id="rId82" xr:uid="{1EC6BE39-5A53-46ED-8A8D-D4C3A56BA8C0}"/>
    <hyperlink ref="K85" r:id="rId83" xr:uid="{BC952C43-CA4E-4E72-9D41-9F7698A245EB}"/>
    <hyperlink ref="K87" r:id="rId84" xr:uid="{96E1FB5E-B8A3-4251-9475-DFD18A5FAD18}"/>
    <hyperlink ref="K88" r:id="rId85" xr:uid="{4FA7A4E4-DEE1-434F-962A-3074B6B025CA}"/>
    <hyperlink ref="K89" r:id="rId86" xr:uid="{29BCDEFD-8686-4299-9FCE-ACB172CD01A2}"/>
    <hyperlink ref="K90" r:id="rId87" xr:uid="{4DDD60C9-F761-461E-B7A2-58014FEFD4E5}"/>
    <hyperlink ref="K91" r:id="rId88" xr:uid="{1EDF2EC4-FE07-41B8-BBB1-D7546E28CAA9}"/>
    <hyperlink ref="K92" r:id="rId89" xr:uid="{686F11DF-673A-4C36-81B8-D13AA2164FFC}"/>
    <hyperlink ref="K93" r:id="rId90" xr:uid="{000BC9DA-B7D5-4A93-9F60-FB0ACE2031FF}"/>
    <hyperlink ref="K118" r:id="rId91" xr:uid="{F7D79E78-FE90-4CF9-9B19-55B4A2E571D2}"/>
    <hyperlink ref="K117" r:id="rId92" xr:uid="{86F455B3-0697-4297-B5CC-D1877E14EF15}"/>
    <hyperlink ref="K116" r:id="rId93" xr:uid="{FC68318D-1F21-4367-8DFB-85D7BC275F92}"/>
    <hyperlink ref="K115" r:id="rId94" xr:uid="{D66E87DF-824E-41C9-BA64-83F167189F60}"/>
    <hyperlink ref="K114" r:id="rId95" xr:uid="{065713A3-9040-4A05-A158-E448FC5B1CB3}"/>
    <hyperlink ref="K113" r:id="rId96" xr:uid="{2813872D-FE72-47C3-A35C-965001198E5F}"/>
    <hyperlink ref="K112" r:id="rId97" xr:uid="{ACADDAB8-1400-4CD2-A758-5E2737A865DA}"/>
    <hyperlink ref="K111" r:id="rId98" xr:uid="{DCF0A621-2076-4333-8931-C2AFB28A5B91}"/>
    <hyperlink ref="K110" r:id="rId99" xr:uid="{417F5605-D9CA-40A7-8DCE-BE9D8B271B31}"/>
    <hyperlink ref="K109" r:id="rId100" xr:uid="{B9D66DDB-18B1-45D0-94B3-B35C72A73D70}"/>
    <hyperlink ref="K108" r:id="rId101" xr:uid="{FE3851BF-D61B-4449-A799-BB50BE12274F}"/>
    <hyperlink ref="K107" r:id="rId102" xr:uid="{AC41F255-9B7D-4E1E-86F2-D549692887A3}"/>
    <hyperlink ref="K106" r:id="rId103" xr:uid="{A01ED397-2A37-4BF6-A015-E43F061B0B47}"/>
    <hyperlink ref="K105" r:id="rId104" xr:uid="{0C19C3C6-0477-43A6-9570-389D15222D3D}"/>
    <hyperlink ref="K104" r:id="rId105" xr:uid="{EFE76968-4565-4F72-A1E0-561CDB548DBF}"/>
    <hyperlink ref="K103" r:id="rId106" xr:uid="{E2805864-B76A-4F9D-8DAB-2AFB43E633DF}"/>
    <hyperlink ref="K102" r:id="rId107" xr:uid="{85F08AB8-0ACE-4639-ACFB-0AD13AC74C92}"/>
    <hyperlink ref="K101" r:id="rId108" xr:uid="{215CF0EF-E63B-4BF0-A938-D3C7381F97CF}"/>
    <hyperlink ref="K100" r:id="rId109" xr:uid="{BAD46155-22D1-46AA-9F24-7C71549A0141}"/>
    <hyperlink ref="K99" r:id="rId110" xr:uid="{A293925B-B4EF-4D4D-A640-349B1F0F034B}"/>
    <hyperlink ref="K98" r:id="rId111" xr:uid="{8CDA0643-7864-4C75-9923-0D9CB70D48A0}"/>
    <hyperlink ref="K97" r:id="rId112" xr:uid="{974C291B-AAEE-4853-A963-9160437FC478}"/>
    <hyperlink ref="K96" r:id="rId113" xr:uid="{A86793B7-3F7F-40F7-B0A3-CCB96A3F4855}"/>
    <hyperlink ref="K95" r:id="rId114" xr:uid="{86CCCD0F-ABEA-48D6-9AE7-3D89D9F3A71F}"/>
    <hyperlink ref="K94" r:id="rId115" xr:uid="{0BC31A88-8B61-4B99-858D-E3DB4F932E1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B61DA-8979-4D62-AB47-89B64DA7A266}">
  <dimension ref="A1:K49"/>
  <sheetViews>
    <sheetView topLeftCell="A35" workbookViewId="0">
      <selection activeCell="H63" sqref="H63"/>
    </sheetView>
  </sheetViews>
  <sheetFormatPr defaultRowHeight="15" customHeight="1" x14ac:dyDescent="0.25"/>
  <cols>
    <col min="1" max="1" width="75.28515625" bestFit="1" customWidth="1"/>
    <col min="3" max="3" width="10.5703125" bestFit="1" customWidth="1"/>
    <col min="4" max="4" width="17.28515625" bestFit="1" customWidth="1"/>
    <col min="5" max="5" width="13" bestFit="1" customWidth="1"/>
    <col min="6" max="6" width="20.5703125" bestFit="1" customWidth="1"/>
    <col min="8" max="8" width="14.7109375" style="27" customWidth="1"/>
    <col min="9" max="9" width="74.42578125" customWidth="1"/>
    <col min="10" max="10" width="29.28515625" customWidth="1"/>
  </cols>
  <sheetData>
    <row r="1" spans="1:11" x14ac:dyDescent="0.25">
      <c r="A1" s="6" t="s">
        <v>28</v>
      </c>
      <c r="B1" s="7" t="s">
        <v>29</v>
      </c>
      <c r="C1" s="4" t="s">
        <v>30</v>
      </c>
      <c r="D1" s="4" t="s">
        <v>31</v>
      </c>
      <c r="E1" s="7" t="s">
        <v>32</v>
      </c>
      <c r="F1" s="7" t="s">
        <v>33</v>
      </c>
      <c r="G1" s="7" t="s">
        <v>34</v>
      </c>
      <c r="H1" s="5" t="s">
        <v>35</v>
      </c>
      <c r="I1" s="8" t="s">
        <v>36</v>
      </c>
      <c r="J1" s="100" t="s">
        <v>37</v>
      </c>
      <c r="K1" s="5" t="s">
        <v>38</v>
      </c>
    </row>
    <row r="2" spans="1:11" x14ac:dyDescent="0.25">
      <c r="A2" t="s">
        <v>3409</v>
      </c>
      <c r="B2" t="s">
        <v>2801</v>
      </c>
      <c r="C2" t="s">
        <v>378</v>
      </c>
      <c r="D2" t="s">
        <v>3410</v>
      </c>
      <c r="E2">
        <v>330</v>
      </c>
      <c r="F2" t="s">
        <v>357</v>
      </c>
      <c r="G2" t="s">
        <v>358</v>
      </c>
      <c r="H2" s="27">
        <v>45854</v>
      </c>
      <c r="I2" t="s">
        <v>3411</v>
      </c>
      <c r="J2" t="s">
        <v>3147</v>
      </c>
    </row>
    <row r="3" spans="1:11" x14ac:dyDescent="0.25">
      <c r="A3" s="13" t="s">
        <v>3412</v>
      </c>
      <c r="B3" t="s">
        <v>2801</v>
      </c>
      <c r="C3" t="s">
        <v>378</v>
      </c>
      <c r="D3" t="s">
        <v>3410</v>
      </c>
      <c r="E3">
        <v>330</v>
      </c>
      <c r="F3" t="s">
        <v>357</v>
      </c>
      <c r="G3" t="s">
        <v>358</v>
      </c>
      <c r="H3" s="27">
        <v>45854</v>
      </c>
      <c r="I3" t="s">
        <v>3411</v>
      </c>
      <c r="J3" t="s">
        <v>3147</v>
      </c>
    </row>
    <row r="4" spans="1:11" ht="30" x14ac:dyDescent="0.25">
      <c r="A4" s="61" t="s">
        <v>3413</v>
      </c>
      <c r="B4" s="61" t="s">
        <v>2801</v>
      </c>
      <c r="C4" s="61" t="s">
        <v>194</v>
      </c>
      <c r="D4" s="61" t="s">
        <v>363</v>
      </c>
      <c r="E4" s="61">
        <v>1524</v>
      </c>
      <c r="F4" s="61" t="s">
        <v>357</v>
      </c>
      <c r="G4" s="61" t="s">
        <v>358</v>
      </c>
      <c r="H4" s="64">
        <v>45904</v>
      </c>
      <c r="I4" s="65" t="s">
        <v>3414</v>
      </c>
      <c r="J4" t="s">
        <v>3147</v>
      </c>
    </row>
    <row r="5" spans="1:11" ht="45" x14ac:dyDescent="0.25">
      <c r="A5" s="60" t="s">
        <v>3415</v>
      </c>
      <c r="B5" t="s">
        <v>40</v>
      </c>
      <c r="C5" s="60" t="s">
        <v>378</v>
      </c>
      <c r="D5" s="60" t="s">
        <v>363</v>
      </c>
      <c r="E5" s="60">
        <v>902</v>
      </c>
      <c r="F5" s="60" t="s">
        <v>357</v>
      </c>
      <c r="G5" s="60" t="s">
        <v>358</v>
      </c>
      <c r="H5" s="62">
        <v>45904</v>
      </c>
      <c r="I5" s="63" t="s">
        <v>3416</v>
      </c>
      <c r="J5" t="s">
        <v>3147</v>
      </c>
      <c r="K5" s="59"/>
    </row>
    <row r="6" spans="1:11" x14ac:dyDescent="0.25">
      <c r="A6" s="13" t="s">
        <v>3417</v>
      </c>
      <c r="B6" t="s">
        <v>40</v>
      </c>
      <c r="C6" t="s">
        <v>657</v>
      </c>
      <c r="D6" t="s">
        <v>363</v>
      </c>
      <c r="E6">
        <v>710</v>
      </c>
      <c r="F6" t="s">
        <v>357</v>
      </c>
      <c r="G6" t="s">
        <v>358</v>
      </c>
      <c r="H6" s="27">
        <v>45904</v>
      </c>
      <c r="I6" t="s">
        <v>3418</v>
      </c>
      <c r="J6" t="s">
        <v>2960</v>
      </c>
    </row>
    <row r="7" spans="1:11" x14ac:dyDescent="0.25">
      <c r="A7" s="13" t="s">
        <v>3419</v>
      </c>
      <c r="B7" t="s">
        <v>40</v>
      </c>
      <c r="C7" t="s">
        <v>657</v>
      </c>
      <c r="D7" t="s">
        <v>363</v>
      </c>
      <c r="E7">
        <v>710</v>
      </c>
      <c r="F7" t="s">
        <v>357</v>
      </c>
      <c r="G7" t="s">
        <v>358</v>
      </c>
      <c r="H7" s="27">
        <v>45904</v>
      </c>
      <c r="I7" t="s">
        <v>3418</v>
      </c>
      <c r="J7" t="s">
        <v>2960</v>
      </c>
    </row>
    <row r="8" spans="1:11" x14ac:dyDescent="0.25">
      <c r="A8" s="13" t="s">
        <v>3420</v>
      </c>
      <c r="B8" t="s">
        <v>40</v>
      </c>
      <c r="C8" t="s">
        <v>657</v>
      </c>
      <c r="D8" t="s">
        <v>363</v>
      </c>
      <c r="E8">
        <v>710</v>
      </c>
      <c r="F8" t="s">
        <v>357</v>
      </c>
      <c r="G8" t="s">
        <v>358</v>
      </c>
      <c r="H8" s="27">
        <v>45904</v>
      </c>
      <c r="I8" t="s">
        <v>3418</v>
      </c>
      <c r="J8" t="s">
        <v>2960</v>
      </c>
    </row>
    <row r="9" spans="1:11" x14ac:dyDescent="0.25">
      <c r="A9" s="13" t="s">
        <v>3421</v>
      </c>
      <c r="B9" t="s">
        <v>40</v>
      </c>
      <c r="C9" t="s">
        <v>566</v>
      </c>
      <c r="D9" t="s">
        <v>562</v>
      </c>
      <c r="E9">
        <v>3000</v>
      </c>
      <c r="F9" t="s">
        <v>357</v>
      </c>
      <c r="G9" t="s">
        <v>358</v>
      </c>
      <c r="H9" s="27">
        <v>45931</v>
      </c>
      <c r="I9" t="s">
        <v>3422</v>
      </c>
      <c r="J9" t="s">
        <v>1230</v>
      </c>
    </row>
    <row r="10" spans="1:11" x14ac:dyDescent="0.25">
      <c r="A10" t="s">
        <v>3423</v>
      </c>
      <c r="B10" t="s">
        <v>40</v>
      </c>
      <c r="C10" t="s">
        <v>566</v>
      </c>
      <c r="D10" t="s">
        <v>562</v>
      </c>
      <c r="E10">
        <v>3000</v>
      </c>
      <c r="F10" t="s">
        <v>357</v>
      </c>
      <c r="G10" t="s">
        <v>358</v>
      </c>
      <c r="H10" s="27">
        <v>45931</v>
      </c>
      <c r="I10" t="s">
        <v>3424</v>
      </c>
      <c r="J10" t="s">
        <v>1230</v>
      </c>
    </row>
    <row r="11" spans="1:11" ht="30" x14ac:dyDescent="0.25">
      <c r="A11" s="13" t="s">
        <v>3425</v>
      </c>
      <c r="B11" t="s">
        <v>40</v>
      </c>
      <c r="C11" t="s">
        <v>566</v>
      </c>
      <c r="D11" t="s">
        <v>562</v>
      </c>
      <c r="E11">
        <v>3000</v>
      </c>
      <c r="F11" t="s">
        <v>357</v>
      </c>
      <c r="G11" t="s">
        <v>358</v>
      </c>
      <c r="H11" s="27">
        <v>45931</v>
      </c>
      <c r="I11" t="s">
        <v>3426</v>
      </c>
      <c r="J11" t="s">
        <v>1230</v>
      </c>
    </row>
    <row r="12" spans="1:11" ht="45" x14ac:dyDescent="0.25">
      <c r="A12" t="s">
        <v>3427</v>
      </c>
      <c r="B12" t="s">
        <v>40</v>
      </c>
      <c r="C12" t="s">
        <v>566</v>
      </c>
      <c r="D12" t="s">
        <v>257</v>
      </c>
      <c r="E12">
        <v>980</v>
      </c>
      <c r="F12" t="s">
        <v>357</v>
      </c>
      <c r="G12" t="s">
        <v>358</v>
      </c>
      <c r="H12" s="27">
        <v>45958</v>
      </c>
      <c r="I12" s="13" t="s">
        <v>3428</v>
      </c>
      <c r="J12" t="s">
        <v>1230</v>
      </c>
    </row>
    <row r="13" spans="1:11" ht="45" x14ac:dyDescent="0.25">
      <c r="A13" t="s">
        <v>3429</v>
      </c>
      <c r="B13" t="s">
        <v>40</v>
      </c>
      <c r="C13" t="s">
        <v>257</v>
      </c>
      <c r="D13" t="s">
        <v>257</v>
      </c>
      <c r="E13">
        <v>980</v>
      </c>
      <c r="F13" t="s">
        <v>357</v>
      </c>
      <c r="G13" t="s">
        <v>358</v>
      </c>
      <c r="H13" s="27">
        <v>45958</v>
      </c>
      <c r="I13" s="13" t="s">
        <v>3430</v>
      </c>
      <c r="J13" t="s">
        <v>1230</v>
      </c>
    </row>
    <row r="14" spans="1:11" ht="45" x14ac:dyDescent="0.25">
      <c r="A14" t="s">
        <v>3431</v>
      </c>
      <c r="B14" t="s">
        <v>40</v>
      </c>
      <c r="C14" t="s">
        <v>245</v>
      </c>
      <c r="D14" t="s">
        <v>257</v>
      </c>
      <c r="E14">
        <v>980</v>
      </c>
      <c r="F14" t="s">
        <v>357</v>
      </c>
      <c r="G14" t="s">
        <v>358</v>
      </c>
      <c r="H14" s="27">
        <v>45958</v>
      </c>
      <c r="I14" s="13" t="s">
        <v>3430</v>
      </c>
      <c r="J14" t="s">
        <v>1230</v>
      </c>
    </row>
    <row r="15" spans="1:11" x14ac:dyDescent="0.25">
      <c r="A15" t="s">
        <v>3432</v>
      </c>
      <c r="B15" t="s">
        <v>40</v>
      </c>
      <c r="C15" t="s">
        <v>378</v>
      </c>
      <c r="D15" t="s">
        <v>356</v>
      </c>
      <c r="E15">
        <v>3000</v>
      </c>
      <c r="F15" t="s">
        <v>357</v>
      </c>
      <c r="G15" t="s">
        <v>358</v>
      </c>
      <c r="H15" s="27">
        <v>45966</v>
      </c>
      <c r="I15" t="s">
        <v>3156</v>
      </c>
      <c r="J15" t="s">
        <v>1230</v>
      </c>
    </row>
    <row r="16" spans="1:11" x14ac:dyDescent="0.25">
      <c r="A16" t="s">
        <v>3433</v>
      </c>
      <c r="B16" t="s">
        <v>40</v>
      </c>
      <c r="C16" t="s">
        <v>356</v>
      </c>
      <c r="D16" t="s">
        <v>245</v>
      </c>
      <c r="E16">
        <v>3000</v>
      </c>
      <c r="F16" t="s">
        <v>357</v>
      </c>
      <c r="G16" t="s">
        <v>358</v>
      </c>
      <c r="H16" s="27">
        <v>45973</v>
      </c>
      <c r="I16" t="s">
        <v>3156</v>
      </c>
      <c r="J16" t="s">
        <v>1230</v>
      </c>
    </row>
    <row r="17" spans="1:10" x14ac:dyDescent="0.25">
      <c r="A17" t="s">
        <v>3434</v>
      </c>
      <c r="B17" t="s">
        <v>40</v>
      </c>
      <c r="C17" t="s">
        <v>363</v>
      </c>
      <c r="D17" t="s">
        <v>378</v>
      </c>
      <c r="E17">
        <v>3000</v>
      </c>
      <c r="F17" t="s">
        <v>357</v>
      </c>
      <c r="G17" t="s">
        <v>358</v>
      </c>
      <c r="H17" s="27">
        <v>45974</v>
      </c>
      <c r="I17" t="s">
        <v>3156</v>
      </c>
      <c r="J17" t="s">
        <v>1230</v>
      </c>
    </row>
    <row r="18" spans="1:10" x14ac:dyDescent="0.25">
      <c r="A18" t="s">
        <v>3435</v>
      </c>
      <c r="B18" t="s">
        <v>428</v>
      </c>
      <c r="C18" t="s">
        <v>378</v>
      </c>
      <c r="D18" t="s">
        <v>562</v>
      </c>
      <c r="E18">
        <v>2155</v>
      </c>
      <c r="F18" t="s">
        <v>357</v>
      </c>
      <c r="G18" t="s">
        <v>358</v>
      </c>
      <c r="H18" s="27">
        <v>46006</v>
      </c>
      <c r="I18" t="s">
        <v>3436</v>
      </c>
      <c r="J18" t="s">
        <v>1230</v>
      </c>
    </row>
    <row r="19" spans="1:10" x14ac:dyDescent="0.25">
      <c r="A19" t="s">
        <v>3437</v>
      </c>
      <c r="B19" t="s">
        <v>428</v>
      </c>
      <c r="C19" t="s">
        <v>3438</v>
      </c>
      <c r="D19" t="s">
        <v>562</v>
      </c>
      <c r="E19">
        <v>2155</v>
      </c>
      <c r="F19" t="s">
        <v>357</v>
      </c>
      <c r="G19" t="s">
        <v>358</v>
      </c>
      <c r="H19" s="27">
        <v>46006</v>
      </c>
      <c r="I19" t="s">
        <v>3436</v>
      </c>
      <c r="J19" t="s">
        <v>1230</v>
      </c>
    </row>
    <row r="20" spans="1:10" x14ac:dyDescent="0.25">
      <c r="A20" t="s">
        <v>3439</v>
      </c>
      <c r="B20" t="s">
        <v>428</v>
      </c>
      <c r="C20" t="s">
        <v>3438</v>
      </c>
      <c r="D20" t="s">
        <v>562</v>
      </c>
      <c r="E20">
        <v>2155</v>
      </c>
      <c r="F20" t="s">
        <v>357</v>
      </c>
      <c r="G20" t="s">
        <v>358</v>
      </c>
      <c r="H20" s="27">
        <v>46006</v>
      </c>
      <c r="I20" t="s">
        <v>3440</v>
      </c>
      <c r="J20" t="s">
        <v>1230</v>
      </c>
    </row>
    <row r="21" spans="1:10" x14ac:dyDescent="0.25">
      <c r="A21" t="s">
        <v>3441</v>
      </c>
      <c r="B21" t="s">
        <v>2801</v>
      </c>
      <c r="C21" t="s">
        <v>363</v>
      </c>
      <c r="D21" t="s">
        <v>257</v>
      </c>
      <c r="E21">
        <v>191</v>
      </c>
      <c r="F21" t="s">
        <v>438</v>
      </c>
      <c r="G21" t="s">
        <v>358</v>
      </c>
      <c r="H21" s="27">
        <v>46039</v>
      </c>
      <c r="I21" t="s">
        <v>3442</v>
      </c>
      <c r="J21" t="s">
        <v>3443</v>
      </c>
    </row>
    <row r="22" spans="1:10" x14ac:dyDescent="0.25">
      <c r="A22" t="s">
        <v>3444</v>
      </c>
      <c r="B22" t="s">
        <v>2801</v>
      </c>
      <c r="C22" t="s">
        <v>363</v>
      </c>
      <c r="D22" t="s">
        <v>257</v>
      </c>
      <c r="E22">
        <v>191</v>
      </c>
      <c r="F22" t="s">
        <v>438</v>
      </c>
      <c r="G22" t="s">
        <v>358</v>
      </c>
      <c r="H22" s="27">
        <v>46039</v>
      </c>
      <c r="I22" t="s">
        <v>3445</v>
      </c>
      <c r="J22" t="s">
        <v>3446</v>
      </c>
    </row>
    <row r="23" spans="1:10" x14ac:dyDescent="0.25">
      <c r="A23" t="s">
        <v>3447</v>
      </c>
      <c r="B23" t="s">
        <v>40</v>
      </c>
      <c r="C23" t="s">
        <v>257</v>
      </c>
      <c r="D23" t="s">
        <v>257</v>
      </c>
      <c r="E23">
        <v>118</v>
      </c>
      <c r="F23" t="s">
        <v>438</v>
      </c>
      <c r="G23" t="s">
        <v>358</v>
      </c>
      <c r="H23" s="27">
        <v>46039</v>
      </c>
      <c r="I23" t="s">
        <v>3448</v>
      </c>
      <c r="J23" t="s">
        <v>383</v>
      </c>
    </row>
    <row r="24" spans="1:10" x14ac:dyDescent="0.25">
      <c r="A24" t="s">
        <v>3449</v>
      </c>
      <c r="B24" t="s">
        <v>40</v>
      </c>
      <c r="C24" t="s">
        <v>257</v>
      </c>
      <c r="D24" t="s">
        <v>257</v>
      </c>
      <c r="E24">
        <v>118</v>
      </c>
      <c r="F24" t="s">
        <v>438</v>
      </c>
      <c r="G24" t="s">
        <v>358</v>
      </c>
      <c r="H24" s="27">
        <v>46039</v>
      </c>
      <c r="I24" t="s">
        <v>3450</v>
      </c>
      <c r="J24" t="s">
        <v>383</v>
      </c>
    </row>
    <row r="25" spans="1:10" x14ac:dyDescent="0.25">
      <c r="A25" t="s">
        <v>3451</v>
      </c>
      <c r="B25" t="s">
        <v>40</v>
      </c>
      <c r="C25" t="s">
        <v>257</v>
      </c>
      <c r="D25" t="s">
        <v>257</v>
      </c>
      <c r="E25">
        <v>118</v>
      </c>
      <c r="F25" t="s">
        <v>438</v>
      </c>
      <c r="G25" t="s">
        <v>358</v>
      </c>
      <c r="H25" s="27">
        <v>46039</v>
      </c>
      <c r="I25" t="s">
        <v>3452</v>
      </c>
      <c r="J25" t="s">
        <v>383</v>
      </c>
    </row>
    <row r="26" spans="1:10" x14ac:dyDescent="0.25">
      <c r="A26" t="s">
        <v>3453</v>
      </c>
      <c r="B26" t="s">
        <v>40</v>
      </c>
      <c r="C26" t="s">
        <v>363</v>
      </c>
      <c r="D26" t="s">
        <v>257</v>
      </c>
      <c r="E26">
        <v>118</v>
      </c>
      <c r="F26" t="s">
        <v>438</v>
      </c>
      <c r="G26" t="s">
        <v>358</v>
      </c>
      <c r="H26" s="27">
        <v>46039</v>
      </c>
      <c r="I26" t="s">
        <v>3454</v>
      </c>
      <c r="J26" t="s">
        <v>383</v>
      </c>
    </row>
    <row r="27" spans="1:10" x14ac:dyDescent="0.25">
      <c r="A27" t="s">
        <v>3455</v>
      </c>
      <c r="B27" t="s">
        <v>40</v>
      </c>
      <c r="C27" t="s">
        <v>363</v>
      </c>
      <c r="D27" t="s">
        <v>257</v>
      </c>
      <c r="E27">
        <v>118</v>
      </c>
      <c r="F27" t="s">
        <v>438</v>
      </c>
      <c r="G27" t="s">
        <v>358</v>
      </c>
      <c r="H27" s="27">
        <v>46039</v>
      </c>
      <c r="I27" t="s">
        <v>3456</v>
      </c>
      <c r="J27" t="s">
        <v>383</v>
      </c>
    </row>
    <row r="28" spans="1:10" x14ac:dyDescent="0.25">
      <c r="A28" t="s">
        <v>3457</v>
      </c>
      <c r="B28" t="s">
        <v>40</v>
      </c>
      <c r="C28" t="s">
        <v>363</v>
      </c>
      <c r="D28" t="s">
        <v>257</v>
      </c>
      <c r="E28">
        <v>118</v>
      </c>
      <c r="F28" t="s">
        <v>438</v>
      </c>
      <c r="G28" t="s">
        <v>358</v>
      </c>
      <c r="H28" s="27">
        <v>46039</v>
      </c>
      <c r="I28" t="s">
        <v>3458</v>
      </c>
      <c r="J28" t="s">
        <v>383</v>
      </c>
    </row>
    <row r="29" spans="1:10" x14ac:dyDescent="0.25">
      <c r="A29" t="s">
        <v>3459</v>
      </c>
      <c r="B29" t="s">
        <v>40</v>
      </c>
      <c r="C29" t="s">
        <v>584</v>
      </c>
      <c r="D29" t="s">
        <v>363</v>
      </c>
      <c r="E29">
        <v>66</v>
      </c>
      <c r="F29" t="s">
        <v>438</v>
      </c>
      <c r="G29" t="s">
        <v>358</v>
      </c>
      <c r="H29" s="27">
        <v>46039</v>
      </c>
      <c r="I29" t="s">
        <v>3460</v>
      </c>
      <c r="J29" t="s">
        <v>586</v>
      </c>
    </row>
    <row r="30" spans="1:10" x14ac:dyDescent="0.25">
      <c r="A30" t="s">
        <v>601</v>
      </c>
      <c r="B30" t="s">
        <v>40</v>
      </c>
      <c r="C30" t="s">
        <v>584</v>
      </c>
      <c r="D30" t="s">
        <v>363</v>
      </c>
      <c r="E30">
        <v>137</v>
      </c>
      <c r="F30" t="s">
        <v>438</v>
      </c>
      <c r="G30" t="s">
        <v>358</v>
      </c>
      <c r="H30" s="27">
        <v>46049</v>
      </c>
      <c r="I30" t="s">
        <v>3461</v>
      </c>
      <c r="J30" t="s">
        <v>586</v>
      </c>
    </row>
    <row r="31" spans="1:10" ht="111" customHeight="1" x14ac:dyDescent="0.25">
      <c r="A31" t="s">
        <v>3462</v>
      </c>
      <c r="B31" t="s">
        <v>2801</v>
      </c>
      <c r="C31" t="s">
        <v>3438</v>
      </c>
      <c r="D31" t="s">
        <v>257</v>
      </c>
      <c r="E31">
        <v>3010</v>
      </c>
      <c r="F31" t="s">
        <v>357</v>
      </c>
      <c r="G31" t="s">
        <v>358</v>
      </c>
      <c r="H31" s="27">
        <v>46057</v>
      </c>
      <c r="I31" s="13" t="s">
        <v>3463</v>
      </c>
      <c r="J31" s="101" t="s">
        <v>1230</v>
      </c>
    </row>
    <row r="32" spans="1:10" ht="60" x14ac:dyDescent="0.25">
      <c r="A32" t="s">
        <v>3464</v>
      </c>
      <c r="B32" t="s">
        <v>2801</v>
      </c>
      <c r="C32" t="s">
        <v>3438</v>
      </c>
      <c r="D32" t="s">
        <v>257</v>
      </c>
      <c r="E32">
        <v>3010</v>
      </c>
      <c r="F32" t="s">
        <v>357</v>
      </c>
      <c r="G32" t="s">
        <v>358</v>
      </c>
      <c r="H32" s="27">
        <v>46057</v>
      </c>
      <c r="I32" s="13" t="s">
        <v>3465</v>
      </c>
      <c r="J32" s="101" t="s">
        <v>1230</v>
      </c>
    </row>
    <row r="33" spans="1:10" ht="15" customHeight="1" x14ac:dyDescent="0.25">
      <c r="A33" t="s">
        <v>3466</v>
      </c>
      <c r="B33" t="s">
        <v>40</v>
      </c>
      <c r="C33" t="s">
        <v>245</v>
      </c>
      <c r="D33" t="s">
        <v>363</v>
      </c>
      <c r="E33">
        <v>1382</v>
      </c>
      <c r="F33" t="s">
        <v>438</v>
      </c>
      <c r="G33" t="s">
        <v>358</v>
      </c>
      <c r="H33" s="27">
        <v>46108</v>
      </c>
      <c r="I33" t="s">
        <v>3467</v>
      </c>
      <c r="J33" t="s">
        <v>1230</v>
      </c>
    </row>
    <row r="34" spans="1:10" ht="15" customHeight="1" x14ac:dyDescent="0.25">
      <c r="A34" t="s">
        <v>3468</v>
      </c>
      <c r="B34" t="s">
        <v>40</v>
      </c>
      <c r="C34" t="s">
        <v>245</v>
      </c>
      <c r="D34" t="s">
        <v>363</v>
      </c>
      <c r="E34">
        <v>1382</v>
      </c>
      <c r="F34" t="s">
        <v>438</v>
      </c>
      <c r="G34" t="s">
        <v>358</v>
      </c>
      <c r="H34" s="27">
        <v>46108</v>
      </c>
      <c r="I34" t="s">
        <v>3467</v>
      </c>
      <c r="J34" t="s">
        <v>1230</v>
      </c>
    </row>
    <row r="35" spans="1:10" ht="15" customHeight="1" x14ac:dyDescent="0.25">
      <c r="A35" t="s">
        <v>3469</v>
      </c>
      <c r="B35" t="s">
        <v>40</v>
      </c>
      <c r="C35" t="s">
        <v>378</v>
      </c>
      <c r="E35">
        <v>94</v>
      </c>
      <c r="F35" t="s">
        <v>438</v>
      </c>
      <c r="G35" t="s">
        <v>358</v>
      </c>
      <c r="H35" s="27">
        <v>46139</v>
      </c>
      <c r="I35" t="s">
        <v>3470</v>
      </c>
      <c r="J35" t="s">
        <v>1230</v>
      </c>
    </row>
    <row r="36" spans="1:10" ht="15" customHeight="1" x14ac:dyDescent="0.25">
      <c r="A36" t="s">
        <v>3471</v>
      </c>
      <c r="B36" t="s">
        <v>40</v>
      </c>
      <c r="E36">
        <v>3692</v>
      </c>
      <c r="F36" t="s">
        <v>438</v>
      </c>
      <c r="G36" t="s">
        <v>358</v>
      </c>
      <c r="H36" s="27">
        <v>46042</v>
      </c>
      <c r="I36" t="s">
        <v>3470</v>
      </c>
    </row>
    <row r="37" spans="1:10" ht="15" customHeight="1" x14ac:dyDescent="0.25">
      <c r="A37" t="s">
        <v>3472</v>
      </c>
      <c r="B37" t="s">
        <v>40</v>
      </c>
      <c r="E37">
        <v>3692</v>
      </c>
      <c r="F37" t="s">
        <v>438</v>
      </c>
      <c r="G37" t="s">
        <v>358</v>
      </c>
      <c r="H37" s="27">
        <v>46042</v>
      </c>
      <c r="I37" t="s">
        <v>3473</v>
      </c>
    </row>
    <row r="38" spans="1:10" ht="15" customHeight="1" x14ac:dyDescent="0.25">
      <c r="A38" t="s">
        <v>3474</v>
      </c>
      <c r="B38" t="s">
        <v>40</v>
      </c>
      <c r="E38">
        <v>3692</v>
      </c>
      <c r="F38" t="s">
        <v>438</v>
      </c>
      <c r="G38" t="s">
        <v>358</v>
      </c>
      <c r="H38" s="27">
        <v>46042</v>
      </c>
      <c r="I38" t="s">
        <v>3475</v>
      </c>
    </row>
    <row r="39" spans="1:10" ht="15" customHeight="1" x14ac:dyDescent="0.25">
      <c r="A39" t="s">
        <v>3264</v>
      </c>
      <c r="B39" t="s">
        <v>2801</v>
      </c>
      <c r="C39" t="s">
        <v>257</v>
      </c>
      <c r="D39" t="s">
        <v>414</v>
      </c>
      <c r="E39">
        <v>2360</v>
      </c>
      <c r="F39" t="s">
        <v>603</v>
      </c>
      <c r="G39" t="s">
        <v>358</v>
      </c>
      <c r="H39" s="27">
        <v>46140</v>
      </c>
      <c r="I39" t="s">
        <v>3265</v>
      </c>
      <c r="J39" t="s">
        <v>2797</v>
      </c>
    </row>
    <row r="40" spans="1:10" ht="15" customHeight="1" x14ac:dyDescent="0.25">
      <c r="A40" t="s">
        <v>3266</v>
      </c>
      <c r="B40" t="s">
        <v>2801</v>
      </c>
      <c r="C40" t="s">
        <v>257</v>
      </c>
      <c r="D40" t="s">
        <v>414</v>
      </c>
      <c r="E40">
        <v>2360</v>
      </c>
      <c r="F40" t="s">
        <v>603</v>
      </c>
      <c r="G40" t="s">
        <v>358</v>
      </c>
      <c r="H40" s="27">
        <v>46140</v>
      </c>
      <c r="I40" t="s">
        <v>3267</v>
      </c>
      <c r="J40" t="s">
        <v>2797</v>
      </c>
    </row>
    <row r="41" spans="1:10" ht="15" customHeight="1" x14ac:dyDescent="0.25">
      <c r="A41" t="s">
        <v>1769</v>
      </c>
      <c r="B41" t="s">
        <v>40</v>
      </c>
      <c r="C41" t="s">
        <v>584</v>
      </c>
      <c r="D41" t="s">
        <v>414</v>
      </c>
      <c r="E41">
        <v>2316</v>
      </c>
      <c r="F41" t="s">
        <v>603</v>
      </c>
      <c r="G41" t="s">
        <v>358</v>
      </c>
      <c r="H41" s="27">
        <v>46140</v>
      </c>
      <c r="I41" t="s">
        <v>3476</v>
      </c>
      <c r="J41" t="s">
        <v>1230</v>
      </c>
    </row>
    <row r="42" spans="1:10" ht="15" customHeight="1" x14ac:dyDescent="0.25">
      <c r="A42" t="s">
        <v>1229</v>
      </c>
      <c r="B42" t="s">
        <v>40</v>
      </c>
      <c r="C42" t="s">
        <v>245</v>
      </c>
      <c r="D42" t="s">
        <v>392</v>
      </c>
      <c r="E42">
        <v>1846</v>
      </c>
      <c r="F42" s="23" t="s">
        <v>438</v>
      </c>
      <c r="G42" t="s">
        <v>358</v>
      </c>
      <c r="H42" s="27">
        <v>46147</v>
      </c>
      <c r="J42" t="s">
        <v>1230</v>
      </c>
    </row>
    <row r="43" spans="1:10" ht="15" customHeight="1" x14ac:dyDescent="0.25">
      <c r="A43" t="s">
        <v>3477</v>
      </c>
      <c r="B43" t="s">
        <v>2801</v>
      </c>
      <c r="C43" t="s">
        <v>378</v>
      </c>
      <c r="D43" t="s">
        <v>1232</v>
      </c>
      <c r="E43">
        <v>6922</v>
      </c>
      <c r="F43" t="s">
        <v>357</v>
      </c>
      <c r="G43" t="s">
        <v>358</v>
      </c>
      <c r="H43" s="27">
        <v>46155</v>
      </c>
      <c r="I43" t="s">
        <v>3478</v>
      </c>
      <c r="J43" t="s">
        <v>3479</v>
      </c>
    </row>
    <row r="44" spans="1:10" ht="15" customHeight="1" x14ac:dyDescent="0.25">
      <c r="A44" t="s">
        <v>3480</v>
      </c>
      <c r="B44" t="s">
        <v>2801</v>
      </c>
      <c r="C44" t="s">
        <v>378</v>
      </c>
      <c r="D44" t="s">
        <v>1232</v>
      </c>
      <c r="E44">
        <v>4923</v>
      </c>
      <c r="F44" t="s">
        <v>357</v>
      </c>
      <c r="G44" t="s">
        <v>358</v>
      </c>
      <c r="H44" s="27">
        <v>46155</v>
      </c>
      <c r="I44" t="s">
        <v>3478</v>
      </c>
      <c r="J44" t="s">
        <v>3479</v>
      </c>
    </row>
    <row r="45" spans="1:10" ht="15" customHeight="1" x14ac:dyDescent="0.3">
      <c r="A45" t="s">
        <v>3481</v>
      </c>
      <c r="B45" t="s">
        <v>40</v>
      </c>
      <c r="C45" t="s">
        <v>584</v>
      </c>
      <c r="D45" t="s">
        <v>245</v>
      </c>
      <c r="E45">
        <v>2915</v>
      </c>
      <c r="F45" s="23" t="s">
        <v>438</v>
      </c>
      <c r="G45" t="s">
        <v>358</v>
      </c>
      <c r="H45" s="27">
        <v>46168</v>
      </c>
      <c r="I45" s="109" t="s">
        <v>3482</v>
      </c>
    </row>
    <row r="46" spans="1:10" ht="15" customHeight="1" x14ac:dyDescent="0.25">
      <c r="A46" t="s">
        <v>3483</v>
      </c>
      <c r="B46" t="s">
        <v>40</v>
      </c>
      <c r="C46" t="s">
        <v>584</v>
      </c>
      <c r="D46" t="s">
        <v>245</v>
      </c>
      <c r="E46">
        <v>2915</v>
      </c>
      <c r="F46" s="23" t="s">
        <v>438</v>
      </c>
      <c r="G46" t="s">
        <v>358</v>
      </c>
      <c r="H46" s="27">
        <v>46168</v>
      </c>
      <c r="I46" t="s">
        <v>3484</v>
      </c>
    </row>
    <row r="47" spans="1:10" ht="15" customHeight="1" x14ac:dyDescent="0.25">
      <c r="A47" t="s">
        <v>3485</v>
      </c>
      <c r="B47" t="s">
        <v>40</v>
      </c>
      <c r="C47" t="s">
        <v>584</v>
      </c>
      <c r="D47" t="s">
        <v>245</v>
      </c>
      <c r="E47">
        <v>2915</v>
      </c>
      <c r="F47" s="23" t="s">
        <v>438</v>
      </c>
      <c r="G47" t="s">
        <v>358</v>
      </c>
      <c r="H47" s="27">
        <v>46168</v>
      </c>
      <c r="I47" t="s">
        <v>3486</v>
      </c>
    </row>
    <row r="48" spans="1:10" ht="15" customHeight="1" x14ac:dyDescent="0.25">
      <c r="A48" t="s">
        <v>3487</v>
      </c>
      <c r="B48" t="s">
        <v>40</v>
      </c>
      <c r="C48" t="s">
        <v>378</v>
      </c>
      <c r="D48" t="s">
        <v>1232</v>
      </c>
      <c r="E48">
        <v>1304</v>
      </c>
      <c r="F48" s="23" t="s">
        <v>438</v>
      </c>
      <c r="G48" t="s">
        <v>358</v>
      </c>
      <c r="H48" s="27">
        <v>46205</v>
      </c>
      <c r="J48" t="s">
        <v>2797</v>
      </c>
    </row>
    <row r="49" spans="1:10" ht="15" customHeight="1" x14ac:dyDescent="0.25">
      <c r="A49" t="s">
        <v>3488</v>
      </c>
      <c r="B49" t="s">
        <v>40</v>
      </c>
      <c r="C49" t="s">
        <v>378</v>
      </c>
      <c r="D49" t="s">
        <v>1232</v>
      </c>
      <c r="E49">
        <v>1304</v>
      </c>
      <c r="F49" s="23" t="s">
        <v>438</v>
      </c>
      <c r="G49" t="s">
        <v>358</v>
      </c>
      <c r="H49" s="27">
        <v>46205</v>
      </c>
      <c r="J49" t="s">
        <v>2797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605D8-C459-434C-B4AB-51928EF52672}">
  <dimension ref="A1:K18"/>
  <sheetViews>
    <sheetView workbookViewId="0">
      <selection activeCell="A18" sqref="A18"/>
    </sheetView>
  </sheetViews>
  <sheetFormatPr defaultRowHeight="15" x14ac:dyDescent="0.25"/>
  <cols>
    <col min="1" max="1" width="72.85546875" bestFit="1" customWidth="1"/>
    <col min="2" max="2" width="12.42578125" bestFit="1" customWidth="1"/>
    <col min="3" max="4" width="14.85546875" bestFit="1" customWidth="1"/>
    <col min="5" max="5" width="13" bestFit="1" customWidth="1"/>
    <col min="6" max="6" width="19.5703125" bestFit="1" customWidth="1"/>
    <col min="7" max="8" width="20.42578125" bestFit="1" customWidth="1"/>
    <col min="9" max="9" width="124.5703125" bestFit="1" customWidth="1"/>
    <col min="10" max="10" width="15.5703125" bestFit="1" customWidth="1"/>
  </cols>
  <sheetData>
    <row r="1" spans="1:11" ht="15.75" thickBot="1" x14ac:dyDescent="0.3">
      <c r="A1" s="7" t="s">
        <v>28</v>
      </c>
      <c r="B1" s="7" t="s">
        <v>29</v>
      </c>
      <c r="C1" s="4" t="s">
        <v>30</v>
      </c>
      <c r="D1" s="4" t="s">
        <v>31</v>
      </c>
      <c r="E1" s="7" t="s">
        <v>32</v>
      </c>
      <c r="F1" s="7" t="s">
        <v>33</v>
      </c>
      <c r="G1" s="7" t="s">
        <v>34</v>
      </c>
      <c r="H1" s="5" t="s">
        <v>35</v>
      </c>
      <c r="I1" s="8" t="s">
        <v>36</v>
      </c>
      <c r="J1" s="100" t="s">
        <v>37</v>
      </c>
      <c r="K1" s="5" t="s">
        <v>38</v>
      </c>
    </row>
    <row r="2" spans="1:11" ht="15" customHeight="1" x14ac:dyDescent="0.25">
      <c r="A2" t="s">
        <v>3489</v>
      </c>
      <c r="B2" t="s">
        <v>40</v>
      </c>
      <c r="C2" t="s">
        <v>1234</v>
      </c>
      <c r="D2" t="s">
        <v>392</v>
      </c>
      <c r="E2">
        <v>970</v>
      </c>
      <c r="F2" s="23" t="s">
        <v>438</v>
      </c>
      <c r="G2" t="s">
        <v>358</v>
      </c>
      <c r="H2" s="27">
        <v>46219</v>
      </c>
      <c r="I2" t="s">
        <v>3490</v>
      </c>
      <c r="J2" t="s">
        <v>3491</v>
      </c>
    </row>
    <row r="3" spans="1:11" ht="15" customHeight="1" x14ac:dyDescent="0.25">
      <c r="A3" t="s">
        <v>3492</v>
      </c>
      <c r="B3" t="s">
        <v>40</v>
      </c>
      <c r="C3" t="s">
        <v>1234</v>
      </c>
      <c r="D3" t="s">
        <v>392</v>
      </c>
      <c r="E3">
        <v>970</v>
      </c>
      <c r="F3" s="23" t="s">
        <v>438</v>
      </c>
      <c r="G3" t="s">
        <v>358</v>
      </c>
      <c r="H3" s="27">
        <v>46219</v>
      </c>
      <c r="I3" t="s">
        <v>3490</v>
      </c>
      <c r="J3" t="s">
        <v>3491</v>
      </c>
    </row>
    <row r="4" spans="1:11" ht="15" customHeight="1" x14ac:dyDescent="0.25">
      <c r="A4" t="s">
        <v>3493</v>
      </c>
      <c r="B4" t="s">
        <v>40</v>
      </c>
      <c r="C4" t="s">
        <v>414</v>
      </c>
      <c r="D4" t="s">
        <v>392</v>
      </c>
      <c r="E4">
        <v>973</v>
      </c>
      <c r="F4" s="23" t="s">
        <v>438</v>
      </c>
      <c r="G4" t="s">
        <v>358</v>
      </c>
      <c r="H4" s="27">
        <v>46219</v>
      </c>
      <c r="I4" t="s">
        <v>3494</v>
      </c>
      <c r="J4" t="s">
        <v>3491</v>
      </c>
    </row>
    <row r="5" spans="1:11" ht="15" customHeight="1" x14ac:dyDescent="0.25">
      <c r="A5" t="s">
        <v>3495</v>
      </c>
      <c r="B5" t="s">
        <v>40</v>
      </c>
      <c r="C5" t="s">
        <v>414</v>
      </c>
      <c r="D5" t="s">
        <v>392</v>
      </c>
      <c r="E5">
        <v>973</v>
      </c>
      <c r="F5" s="23" t="s">
        <v>438</v>
      </c>
      <c r="G5" t="s">
        <v>358</v>
      </c>
      <c r="H5" s="27">
        <v>46219</v>
      </c>
      <c r="I5" t="s">
        <v>3494</v>
      </c>
      <c r="J5" t="s">
        <v>3491</v>
      </c>
    </row>
    <row r="6" spans="1:11" ht="15" customHeight="1" x14ac:dyDescent="0.25">
      <c r="A6" t="s">
        <v>3496</v>
      </c>
      <c r="B6" t="s">
        <v>40</v>
      </c>
      <c r="C6" t="s">
        <v>1232</v>
      </c>
      <c r="D6" t="s">
        <v>392</v>
      </c>
      <c r="E6">
        <v>1378</v>
      </c>
      <c r="F6" s="23" t="s">
        <v>438</v>
      </c>
      <c r="G6" t="s">
        <v>358</v>
      </c>
      <c r="H6" s="27">
        <v>46219</v>
      </c>
      <c r="I6" t="s">
        <v>3497</v>
      </c>
      <c r="J6" t="s">
        <v>3491</v>
      </c>
    </row>
    <row r="7" spans="1:11" ht="15" customHeight="1" x14ac:dyDescent="0.25">
      <c r="A7" t="s">
        <v>3498</v>
      </c>
      <c r="B7" t="s">
        <v>40</v>
      </c>
      <c r="C7" t="s">
        <v>1234</v>
      </c>
      <c r="D7" t="s">
        <v>392</v>
      </c>
      <c r="E7">
        <v>1378</v>
      </c>
      <c r="F7" s="23" t="s">
        <v>438</v>
      </c>
      <c r="G7" t="s">
        <v>358</v>
      </c>
      <c r="H7" s="27">
        <v>46219</v>
      </c>
      <c r="I7" t="s">
        <v>3497</v>
      </c>
      <c r="J7" t="s">
        <v>3491</v>
      </c>
    </row>
    <row r="8" spans="1:11" ht="15" customHeight="1" x14ac:dyDescent="0.25">
      <c r="A8" t="s">
        <v>3499</v>
      </c>
      <c r="B8" t="s">
        <v>40</v>
      </c>
      <c r="C8" t="s">
        <v>414</v>
      </c>
      <c r="D8" t="s">
        <v>392</v>
      </c>
      <c r="E8">
        <v>970</v>
      </c>
      <c r="F8" s="23" t="s">
        <v>438</v>
      </c>
      <c r="G8" t="s">
        <v>358</v>
      </c>
      <c r="H8" s="27">
        <v>46219</v>
      </c>
      <c r="I8" t="s">
        <v>3500</v>
      </c>
      <c r="J8" t="s">
        <v>3491</v>
      </c>
    </row>
    <row r="9" spans="1:11" ht="15" customHeight="1" x14ac:dyDescent="0.25">
      <c r="A9" t="s">
        <v>3501</v>
      </c>
      <c r="B9" t="s">
        <v>40</v>
      </c>
      <c r="C9" t="s">
        <v>414</v>
      </c>
      <c r="D9" t="s">
        <v>392</v>
      </c>
      <c r="E9">
        <v>970</v>
      </c>
      <c r="F9" s="23" t="s">
        <v>438</v>
      </c>
      <c r="G9" t="s">
        <v>358</v>
      </c>
      <c r="H9" s="27">
        <v>46219</v>
      </c>
      <c r="I9" t="s">
        <v>3500</v>
      </c>
      <c r="J9" t="s">
        <v>3491</v>
      </c>
    </row>
    <row r="10" spans="1:11" ht="12" customHeight="1" x14ac:dyDescent="0.25">
      <c r="A10" t="s">
        <v>3502</v>
      </c>
      <c r="B10" t="s">
        <v>40</v>
      </c>
      <c r="C10" t="s">
        <v>377</v>
      </c>
      <c r="D10" t="s">
        <v>1234</v>
      </c>
      <c r="E10">
        <v>1232</v>
      </c>
      <c r="F10" s="23" t="s">
        <v>438</v>
      </c>
      <c r="G10" t="s">
        <v>358</v>
      </c>
      <c r="H10" s="27">
        <v>46205</v>
      </c>
      <c r="I10" t="s">
        <v>3503</v>
      </c>
      <c r="J10" t="s">
        <v>2797</v>
      </c>
    </row>
    <row r="11" spans="1:11" ht="15" customHeight="1" x14ac:dyDescent="0.25">
      <c r="A11" t="s">
        <v>3504</v>
      </c>
      <c r="B11" t="s">
        <v>40</v>
      </c>
      <c r="C11" t="s">
        <v>377</v>
      </c>
      <c r="D11" t="s">
        <v>1234</v>
      </c>
      <c r="E11">
        <v>1232</v>
      </c>
      <c r="F11" s="23" t="s">
        <v>438</v>
      </c>
      <c r="G11" t="s">
        <v>358</v>
      </c>
      <c r="H11" s="27">
        <v>46205</v>
      </c>
      <c r="I11" t="s">
        <v>3503</v>
      </c>
      <c r="J11" t="s">
        <v>2797</v>
      </c>
    </row>
    <row r="12" spans="1:11" ht="15" customHeight="1" x14ac:dyDescent="0.25">
      <c r="A12" t="s">
        <v>3505</v>
      </c>
      <c r="B12" t="s">
        <v>40</v>
      </c>
      <c r="C12" t="s">
        <v>377</v>
      </c>
      <c r="D12" t="s">
        <v>1234</v>
      </c>
      <c r="E12">
        <v>1232</v>
      </c>
      <c r="F12" s="23" t="s">
        <v>438</v>
      </c>
      <c r="G12" t="s">
        <v>358</v>
      </c>
      <c r="H12" s="27">
        <v>46205</v>
      </c>
      <c r="I12" t="s">
        <v>3506</v>
      </c>
      <c r="J12" t="s">
        <v>2797</v>
      </c>
    </row>
    <row r="13" spans="1:11" ht="15" customHeight="1" x14ac:dyDescent="0.25">
      <c r="A13" t="s">
        <v>3507</v>
      </c>
      <c r="B13" t="s">
        <v>40</v>
      </c>
      <c r="C13" t="s">
        <v>377</v>
      </c>
      <c r="D13" t="s">
        <v>1234</v>
      </c>
      <c r="E13">
        <v>1232</v>
      </c>
      <c r="F13" s="23" t="s">
        <v>438</v>
      </c>
      <c r="G13" t="s">
        <v>358</v>
      </c>
      <c r="H13" s="27">
        <v>46205</v>
      </c>
      <c r="I13" t="s">
        <v>3506</v>
      </c>
      <c r="J13" t="s">
        <v>2797</v>
      </c>
    </row>
    <row r="14" spans="1:11" x14ac:dyDescent="0.25">
      <c r="A14" t="s">
        <v>3508</v>
      </c>
      <c r="B14" t="s">
        <v>428</v>
      </c>
      <c r="C14" t="s">
        <v>392</v>
      </c>
      <c r="D14" t="s">
        <v>1232</v>
      </c>
      <c r="E14">
        <v>162</v>
      </c>
      <c r="F14" s="23" t="s">
        <v>438</v>
      </c>
      <c r="G14" t="s">
        <v>358</v>
      </c>
      <c r="H14" s="27">
        <v>46238</v>
      </c>
      <c r="I14" t="s">
        <v>3509</v>
      </c>
    </row>
    <row r="15" spans="1:11" x14ac:dyDescent="0.25">
      <c r="A15" t="s">
        <v>3510</v>
      </c>
      <c r="B15" t="s">
        <v>428</v>
      </c>
      <c r="C15" t="s">
        <v>392</v>
      </c>
      <c r="D15" t="s">
        <v>1232</v>
      </c>
      <c r="E15">
        <v>162</v>
      </c>
      <c r="F15" s="23" t="s">
        <v>438</v>
      </c>
      <c r="G15" t="s">
        <v>358</v>
      </c>
      <c r="H15" s="27">
        <v>46238</v>
      </c>
      <c r="I15" t="s">
        <v>3509</v>
      </c>
    </row>
    <row r="16" spans="1:11" x14ac:dyDescent="0.25">
      <c r="A16" t="s">
        <v>3511</v>
      </c>
      <c r="B16" t="s">
        <v>428</v>
      </c>
      <c r="C16" t="s">
        <v>392</v>
      </c>
      <c r="D16" t="s">
        <v>1232</v>
      </c>
      <c r="E16">
        <v>162</v>
      </c>
      <c r="F16" s="23" t="s">
        <v>438</v>
      </c>
      <c r="G16" t="s">
        <v>358</v>
      </c>
      <c r="H16" s="27">
        <v>46238</v>
      </c>
      <c r="I16" t="s">
        <v>3512</v>
      </c>
    </row>
    <row r="17" spans="1:9" x14ac:dyDescent="0.25">
      <c r="A17" t="s">
        <v>3513</v>
      </c>
      <c r="B17" t="s">
        <v>428</v>
      </c>
      <c r="C17" t="s">
        <v>392</v>
      </c>
      <c r="D17" t="s">
        <v>1232</v>
      </c>
      <c r="E17">
        <v>162</v>
      </c>
      <c r="F17" s="23" t="s">
        <v>438</v>
      </c>
      <c r="G17" t="s">
        <v>358</v>
      </c>
      <c r="H17" s="27">
        <v>46238</v>
      </c>
      <c r="I17" t="s">
        <v>3514</v>
      </c>
    </row>
    <row r="18" spans="1:9" x14ac:dyDescent="0.25">
      <c r="A18" t="s">
        <v>3515</v>
      </c>
      <c r="B18" t="s">
        <v>40</v>
      </c>
      <c r="C18" t="s">
        <v>363</v>
      </c>
      <c r="D18" t="s">
        <v>1232</v>
      </c>
      <c r="E18">
        <v>493</v>
      </c>
      <c r="F18" s="23" t="s">
        <v>438</v>
      </c>
      <c r="G18" t="s">
        <v>358</v>
      </c>
      <c r="H18" s="27">
        <v>46238</v>
      </c>
      <c r="I18" t="s">
        <v>3516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3B82-D9EC-4B92-90B6-BE68579A01DD}">
  <dimension ref="A1:K22"/>
  <sheetViews>
    <sheetView topLeftCell="H21" workbookViewId="0">
      <selection activeCell="J28" sqref="J28"/>
    </sheetView>
  </sheetViews>
  <sheetFormatPr defaultRowHeight="15" customHeight="1" x14ac:dyDescent="0.25"/>
  <cols>
    <col min="1" max="1" width="82.28515625" customWidth="1"/>
    <col min="3" max="3" width="12.42578125" bestFit="1" customWidth="1"/>
    <col min="4" max="4" width="14.7109375" bestFit="1" customWidth="1"/>
    <col min="5" max="5" width="13" bestFit="1" customWidth="1"/>
    <col min="6" max="6" width="31.42578125" customWidth="1"/>
    <col min="7" max="7" width="18.5703125" customWidth="1"/>
    <col min="8" max="8" width="11.42578125" bestFit="1" customWidth="1"/>
    <col min="9" max="9" width="111.7109375" bestFit="1" customWidth="1"/>
    <col min="10" max="10" width="35.7109375" customWidth="1"/>
  </cols>
  <sheetData>
    <row r="1" spans="1:11" x14ac:dyDescent="0.25">
      <c r="A1" s="4" t="s">
        <v>28</v>
      </c>
      <c r="B1" s="4" t="s">
        <v>29</v>
      </c>
      <c r="C1" s="4" t="s">
        <v>30</v>
      </c>
      <c r="D1" s="4" t="s">
        <v>31</v>
      </c>
      <c r="E1" s="4" t="s">
        <v>32</v>
      </c>
      <c r="F1" s="4" t="s">
        <v>33</v>
      </c>
      <c r="G1" s="4" t="s">
        <v>34</v>
      </c>
      <c r="H1" s="5" t="s">
        <v>35</v>
      </c>
      <c r="I1" s="5" t="s">
        <v>36</v>
      </c>
      <c r="J1" s="99" t="s">
        <v>37</v>
      </c>
      <c r="K1" s="12" t="s">
        <v>38</v>
      </c>
    </row>
    <row r="2" spans="1:11" x14ac:dyDescent="0.25">
      <c r="A2" t="s">
        <v>3517</v>
      </c>
      <c r="B2" s="18" t="s">
        <v>486</v>
      </c>
      <c r="C2" s="18"/>
      <c r="D2" s="18"/>
      <c r="E2">
        <v>2323</v>
      </c>
      <c r="F2" t="s">
        <v>56</v>
      </c>
      <c r="J2" t="s">
        <v>58</v>
      </c>
      <c r="K2" s="42" t="s">
        <v>3518</v>
      </c>
    </row>
    <row r="3" spans="1:11" x14ac:dyDescent="0.25">
      <c r="A3" t="s">
        <v>3519</v>
      </c>
      <c r="B3" t="s">
        <v>3520</v>
      </c>
      <c r="E3">
        <v>168</v>
      </c>
      <c r="F3" t="s">
        <v>48</v>
      </c>
      <c r="G3" t="s">
        <v>2142</v>
      </c>
      <c r="H3" t="s">
        <v>42</v>
      </c>
      <c r="K3" s="42" t="s">
        <v>3521</v>
      </c>
    </row>
    <row r="4" spans="1:11" x14ac:dyDescent="0.25">
      <c r="A4" t="s">
        <v>3522</v>
      </c>
      <c r="B4" t="s">
        <v>3520</v>
      </c>
      <c r="E4">
        <v>168</v>
      </c>
      <c r="F4" t="s">
        <v>48</v>
      </c>
      <c r="G4" t="s">
        <v>2142</v>
      </c>
      <c r="H4" t="s">
        <v>42</v>
      </c>
      <c r="K4" s="42" t="s">
        <v>3523</v>
      </c>
    </row>
    <row r="5" spans="1:11" x14ac:dyDescent="0.25">
      <c r="A5" t="s">
        <v>3524</v>
      </c>
      <c r="B5" t="s">
        <v>3520</v>
      </c>
      <c r="E5">
        <v>168</v>
      </c>
      <c r="F5" t="s">
        <v>48</v>
      </c>
      <c r="G5" t="s">
        <v>2142</v>
      </c>
      <c r="I5" t="s">
        <v>3525</v>
      </c>
      <c r="K5" s="42" t="s">
        <v>3526</v>
      </c>
    </row>
    <row r="6" spans="1:11" x14ac:dyDescent="0.25">
      <c r="A6" t="s">
        <v>3527</v>
      </c>
      <c r="B6" t="s">
        <v>3520</v>
      </c>
      <c r="E6">
        <v>168</v>
      </c>
      <c r="F6" t="s">
        <v>48</v>
      </c>
      <c r="G6" t="s">
        <v>2142</v>
      </c>
      <c r="H6" t="s">
        <v>42</v>
      </c>
      <c r="K6" s="42" t="s">
        <v>3528</v>
      </c>
    </row>
    <row r="7" spans="1:11" x14ac:dyDescent="0.25">
      <c r="A7" s="13" t="s">
        <v>2313</v>
      </c>
      <c r="B7" t="s">
        <v>3529</v>
      </c>
      <c r="C7" t="s">
        <v>178</v>
      </c>
      <c r="E7">
        <v>168</v>
      </c>
      <c r="F7" t="s">
        <v>3089</v>
      </c>
      <c r="G7" t="s">
        <v>2142</v>
      </c>
      <c r="H7" s="10">
        <v>45770</v>
      </c>
      <c r="I7" s="41" t="s">
        <v>2314</v>
      </c>
      <c r="J7" s="41"/>
      <c r="K7" s="42" t="s">
        <v>2315</v>
      </c>
    </row>
    <row r="8" spans="1:11" x14ac:dyDescent="0.25">
      <c r="A8" s="13" t="s">
        <v>2316</v>
      </c>
      <c r="B8" t="s">
        <v>3529</v>
      </c>
      <c r="C8" t="s">
        <v>178</v>
      </c>
      <c r="E8">
        <v>168</v>
      </c>
      <c r="F8" t="s">
        <v>3114</v>
      </c>
      <c r="G8" t="s">
        <v>2142</v>
      </c>
      <c r="H8" s="10">
        <v>45771</v>
      </c>
      <c r="I8" s="41" t="s">
        <v>2314</v>
      </c>
      <c r="J8" s="41"/>
      <c r="K8" s="42" t="s">
        <v>2317</v>
      </c>
    </row>
    <row r="9" spans="1:11" x14ac:dyDescent="0.25">
      <c r="A9" t="s">
        <v>3530</v>
      </c>
      <c r="B9" t="s">
        <v>3531</v>
      </c>
      <c r="C9" t="s">
        <v>521</v>
      </c>
      <c r="D9" t="s">
        <v>178</v>
      </c>
      <c r="E9">
        <v>168</v>
      </c>
      <c r="F9" t="s">
        <v>48</v>
      </c>
      <c r="G9" t="s">
        <v>246</v>
      </c>
      <c r="H9" s="27">
        <v>45777</v>
      </c>
      <c r="I9" t="s">
        <v>3532</v>
      </c>
      <c r="K9" s="42" t="s">
        <v>3533</v>
      </c>
    </row>
    <row r="10" spans="1:11" x14ac:dyDescent="0.25">
      <c r="A10" t="s">
        <v>3534</v>
      </c>
      <c r="B10" t="s">
        <v>3531</v>
      </c>
      <c r="C10" t="s">
        <v>521</v>
      </c>
      <c r="D10" t="s">
        <v>178</v>
      </c>
      <c r="E10">
        <v>168</v>
      </c>
      <c r="F10" t="s">
        <v>48</v>
      </c>
      <c r="G10" t="s">
        <v>246</v>
      </c>
      <c r="H10" s="27">
        <v>45777</v>
      </c>
      <c r="I10" t="s">
        <v>3532</v>
      </c>
      <c r="J10" t="s">
        <v>2960</v>
      </c>
      <c r="K10" s="42" t="s">
        <v>3535</v>
      </c>
    </row>
    <row r="11" spans="1:11" x14ac:dyDescent="0.25">
      <c r="A11" t="s">
        <v>3536</v>
      </c>
      <c r="B11" t="s">
        <v>3529</v>
      </c>
      <c r="C11" t="s">
        <v>178</v>
      </c>
      <c r="D11" t="s">
        <v>257</v>
      </c>
      <c r="E11">
        <v>168</v>
      </c>
      <c r="F11" t="s">
        <v>271</v>
      </c>
      <c r="G11" t="s">
        <v>246</v>
      </c>
      <c r="H11" s="10">
        <v>45782</v>
      </c>
      <c r="K11" s="42" t="s">
        <v>3537</v>
      </c>
    </row>
    <row r="12" spans="1:11" x14ac:dyDescent="0.25">
      <c r="A12" t="s">
        <v>3538</v>
      </c>
      <c r="B12" t="s">
        <v>3529</v>
      </c>
      <c r="C12" t="s">
        <v>245</v>
      </c>
      <c r="D12" t="s">
        <v>257</v>
      </c>
      <c r="E12">
        <v>168</v>
      </c>
      <c r="F12" t="s">
        <v>271</v>
      </c>
      <c r="G12" t="s">
        <v>246</v>
      </c>
      <c r="H12" s="10">
        <v>45782</v>
      </c>
      <c r="K12" s="42" t="s">
        <v>3539</v>
      </c>
    </row>
    <row r="13" spans="1:11" x14ac:dyDescent="0.25">
      <c r="A13" t="s">
        <v>3540</v>
      </c>
      <c r="B13" t="s">
        <v>1916</v>
      </c>
      <c r="C13" t="s">
        <v>1916</v>
      </c>
      <c r="D13" t="s">
        <v>363</v>
      </c>
      <c r="H13" s="10">
        <v>45982</v>
      </c>
      <c r="I13" t="s">
        <v>3541</v>
      </c>
      <c r="J13" t="s">
        <v>380</v>
      </c>
    </row>
    <row r="14" spans="1:11" x14ac:dyDescent="0.25">
      <c r="A14" t="s">
        <v>3542</v>
      </c>
      <c r="B14" t="s">
        <v>257</v>
      </c>
      <c r="C14" t="s">
        <v>257</v>
      </c>
      <c r="D14" t="s">
        <v>378</v>
      </c>
      <c r="E14">
        <v>168</v>
      </c>
      <c r="F14" t="s">
        <v>271</v>
      </c>
      <c r="G14" t="s">
        <v>246</v>
      </c>
      <c r="H14" s="10">
        <v>46003</v>
      </c>
      <c r="I14" t="s">
        <v>3543</v>
      </c>
      <c r="J14" t="s">
        <v>2788</v>
      </c>
    </row>
    <row r="15" spans="1:11" x14ac:dyDescent="0.25">
      <c r="A15" s="13" t="s">
        <v>3544</v>
      </c>
      <c r="B15" t="s">
        <v>257</v>
      </c>
      <c r="C15" t="s">
        <v>257</v>
      </c>
      <c r="D15" t="s">
        <v>257</v>
      </c>
      <c r="E15">
        <v>168</v>
      </c>
      <c r="F15" t="s">
        <v>271</v>
      </c>
      <c r="G15" t="s">
        <v>246</v>
      </c>
      <c r="H15" s="10">
        <v>46003</v>
      </c>
      <c r="I15" t="s">
        <v>3545</v>
      </c>
      <c r="J15" t="s">
        <v>2788</v>
      </c>
    </row>
    <row r="16" spans="1:11" x14ac:dyDescent="0.25">
      <c r="A16" s="13" t="s">
        <v>3546</v>
      </c>
      <c r="B16" t="s">
        <v>257</v>
      </c>
      <c r="C16" t="s">
        <v>257</v>
      </c>
      <c r="D16" t="s">
        <v>257</v>
      </c>
      <c r="E16">
        <v>168</v>
      </c>
      <c r="F16" t="s">
        <v>271</v>
      </c>
      <c r="G16" t="s">
        <v>246</v>
      </c>
      <c r="H16" s="10">
        <v>46003</v>
      </c>
      <c r="I16" t="s">
        <v>3545</v>
      </c>
      <c r="J16" t="s">
        <v>2788</v>
      </c>
    </row>
    <row r="17" spans="1:10" x14ac:dyDescent="0.25">
      <c r="A17" s="13" t="s">
        <v>3547</v>
      </c>
      <c r="B17" t="s">
        <v>257</v>
      </c>
      <c r="C17" t="s">
        <v>257</v>
      </c>
      <c r="D17" t="s">
        <v>257</v>
      </c>
      <c r="E17">
        <v>168</v>
      </c>
      <c r="F17" t="s">
        <v>271</v>
      </c>
      <c r="G17" t="s">
        <v>246</v>
      </c>
      <c r="H17" s="10">
        <v>46003</v>
      </c>
      <c r="I17" t="s">
        <v>3545</v>
      </c>
      <c r="J17" t="s">
        <v>2788</v>
      </c>
    </row>
    <row r="18" spans="1:10" x14ac:dyDescent="0.25">
      <c r="A18" s="13" t="s">
        <v>3548</v>
      </c>
      <c r="B18" t="s">
        <v>257</v>
      </c>
      <c r="C18" t="s">
        <v>257</v>
      </c>
      <c r="D18" t="s">
        <v>257</v>
      </c>
      <c r="E18">
        <v>168</v>
      </c>
      <c r="F18" t="s">
        <v>271</v>
      </c>
      <c r="G18" t="s">
        <v>246</v>
      </c>
      <c r="H18" s="10">
        <v>46003</v>
      </c>
      <c r="I18" t="s">
        <v>3543</v>
      </c>
      <c r="J18" t="s">
        <v>2788</v>
      </c>
    </row>
    <row r="19" spans="1:10" x14ac:dyDescent="0.25">
      <c r="A19" t="s">
        <v>3549</v>
      </c>
      <c r="B19" t="s">
        <v>257</v>
      </c>
      <c r="C19" t="s">
        <v>257</v>
      </c>
      <c r="D19" t="s">
        <v>257</v>
      </c>
      <c r="E19">
        <v>168</v>
      </c>
      <c r="F19" t="s">
        <v>271</v>
      </c>
      <c r="G19" t="s">
        <v>246</v>
      </c>
      <c r="H19" s="10">
        <v>46003</v>
      </c>
      <c r="I19" t="s">
        <v>3543</v>
      </c>
      <c r="J19" t="s">
        <v>2788</v>
      </c>
    </row>
    <row r="20" spans="1:10" x14ac:dyDescent="0.25">
      <c r="A20" t="s">
        <v>3550</v>
      </c>
      <c r="B20" t="s">
        <v>566</v>
      </c>
      <c r="D20" t="s">
        <v>363</v>
      </c>
      <c r="E20">
        <v>19</v>
      </c>
      <c r="F20" t="s">
        <v>3551</v>
      </c>
      <c r="G20" t="s">
        <v>246</v>
      </c>
      <c r="H20" s="10">
        <v>46105</v>
      </c>
      <c r="I20" t="s">
        <v>3552</v>
      </c>
      <c r="J20" t="s">
        <v>388</v>
      </c>
    </row>
    <row r="21" spans="1:10" ht="15" customHeight="1" x14ac:dyDescent="0.25">
      <c r="A21" t="s">
        <v>3553</v>
      </c>
      <c r="B21" t="s">
        <v>602</v>
      </c>
      <c r="C21" t="s">
        <v>414</v>
      </c>
      <c r="D21" t="s">
        <v>363</v>
      </c>
      <c r="E21">
        <v>377</v>
      </c>
      <c r="F21" t="s">
        <v>3554</v>
      </c>
      <c r="G21" t="s">
        <v>246</v>
      </c>
      <c r="H21" s="10">
        <v>46199</v>
      </c>
      <c r="I21" t="s">
        <v>3555</v>
      </c>
      <c r="J21" t="s">
        <v>1824</v>
      </c>
    </row>
    <row r="22" spans="1:10" ht="15" customHeight="1" x14ac:dyDescent="0.25">
      <c r="A22" t="s">
        <v>3556</v>
      </c>
      <c r="B22" t="s">
        <v>602</v>
      </c>
      <c r="C22" t="s">
        <v>414</v>
      </c>
      <c r="D22" t="s">
        <v>363</v>
      </c>
      <c r="E22">
        <v>377</v>
      </c>
      <c r="F22" t="s">
        <v>3554</v>
      </c>
      <c r="G22" t="s">
        <v>246</v>
      </c>
      <c r="H22" s="10">
        <v>46199</v>
      </c>
      <c r="I22" s="110" t="s">
        <v>3557</v>
      </c>
      <c r="J22" t="s">
        <v>1824</v>
      </c>
    </row>
  </sheetData>
  <hyperlinks>
    <hyperlink ref="K6" r:id="rId1" xr:uid="{2218F765-8A2D-4FF0-A765-6E43503D54C0}"/>
    <hyperlink ref="K4" r:id="rId2" xr:uid="{5E639E32-3898-42E9-9793-825EA9FE912A}"/>
    <hyperlink ref="K5" r:id="rId3" xr:uid="{BB40CE7A-0FED-4A28-835E-A2A1517315B4}"/>
    <hyperlink ref="K3" r:id="rId4" xr:uid="{35E630F3-2255-4C26-B60A-9F549204B046}"/>
    <hyperlink ref="K2" r:id="rId5" xr:uid="{B2A83F1C-1733-4E48-B2D1-2217D5BB6971}"/>
    <hyperlink ref="K7" r:id="rId6" xr:uid="{771B4AEE-753B-4086-AFC6-8606AE429576}"/>
    <hyperlink ref="K8" r:id="rId7" xr:uid="{5884E914-969E-4AE7-9736-E0B8492679AA}"/>
    <hyperlink ref="K10" r:id="rId8" xr:uid="{DDF74185-77A0-4BD2-9651-F1893977DD90}"/>
    <hyperlink ref="K9" r:id="rId9" xr:uid="{E40C63F0-3D09-4FC2-B2A3-7E4649E67DA8}"/>
    <hyperlink ref="K11" r:id="rId10" xr:uid="{678AA6DA-D3A4-4382-9DBA-0DCFE0257D5F}"/>
    <hyperlink ref="K12" r:id="rId11" xr:uid="{6ECAE33A-D842-4BBF-8EF0-582782AD4AE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igrationWizIdVersion xmlns="1865e7f1-b0f4-461f-bd23-e8d5b6692e52" xsi:nil="true"/>
    <lcf76f155ced4ddcb4097134ff3c332f xmlns="1865e7f1-b0f4-461f-bd23-e8d5b6692e52">
      <Terms xmlns="http://schemas.microsoft.com/office/infopath/2007/PartnerControls"/>
    </lcf76f155ced4ddcb4097134ff3c332f>
    <MigrationWizId xmlns="1865e7f1-b0f4-461f-bd23-e8d5b6692e52" xsi:nil="true"/>
    <TaxCatchAll xmlns="10ae87f9-6a18-4e46-aee5-87e3cf467f6e" xsi:nil="true"/>
    <lcf76f155ced4ddcb4097134ff3c332f0 xmlns="1865e7f1-b0f4-461f-bd23-e8d5b6692e52" xsi:nil="true"/>
    <MigrationWizIdPermissions xmlns="1865e7f1-b0f4-461f-bd23-e8d5b6692e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0B7169E98E5041B6DB237CF3381447" ma:contentTypeVersion="20" ma:contentTypeDescription="Create a new document." ma:contentTypeScope="" ma:versionID="bd26a47e57be36b5142f6f55b22894ac">
  <xsd:schema xmlns:xsd="http://www.w3.org/2001/XMLSchema" xmlns:xs="http://www.w3.org/2001/XMLSchema" xmlns:p="http://schemas.microsoft.com/office/2006/metadata/properties" xmlns:ns2="1865e7f1-b0f4-461f-bd23-e8d5b6692e52" xmlns:ns3="10ae87f9-6a18-4e46-aee5-87e3cf467f6e" targetNamespace="http://schemas.microsoft.com/office/2006/metadata/properties" ma:root="true" ma:fieldsID="aa176d0b93275a37607f841fcbfe3c53" ns2:_="" ns3:_="">
    <xsd:import namespace="1865e7f1-b0f4-461f-bd23-e8d5b6692e52"/>
    <xsd:import namespace="10ae87f9-6a18-4e46-aee5-87e3cf467f6e"/>
    <xsd:element name="properties">
      <xsd:complexType>
        <xsd:sequence>
          <xsd:element name="documentManagement">
            <xsd:complexType>
              <xsd:all>
                <xsd:element ref="ns2:MigrationWizId" minOccurs="0"/>
                <xsd:element ref="ns2:MigrationWizIdPermissions" minOccurs="0"/>
                <xsd:element ref="ns2:MigrationWizIdVersion" minOccurs="0"/>
                <xsd:element ref="ns2:lcf76f155ced4ddcb4097134ff3c332f0" minOccurs="0"/>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65e7f1-b0f4-461f-bd23-e8d5b6692e52"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lcf76f155ced4ddcb4097134ff3c332f0" ma:index="11" nillable="true" ma:displayName="Image Tags_0" ma:hidden="true" ma:internalName="lcf76f155ced4ddcb4097134ff3c332f0" ma:readOnly="fals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269fab1-e72c-48ff-88b7-6329738e100b" ma:termSetId="09814cd3-568e-fe90-9814-8d621ff8fb84" ma:anchorId="fba54fb3-c3e1-fe81-a776-ca4b69148c4d" ma:open="true" ma:isKeyword="false">
      <xsd:complexType>
        <xsd:sequence>
          <xsd:element ref="pc:Terms" minOccurs="0" maxOccurs="1"/>
        </xsd:sequence>
      </xsd:complexType>
    </xsd:element>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ae87f9-6a18-4e46-aee5-87e3cf467f6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2160e36-75ea-4142-ba62-6a69d5d59f24}" ma:internalName="TaxCatchAll" ma:showField="CatchAllData" ma:web="10ae87f9-6a18-4e46-aee5-87e3cf467f6e">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C19397-7C9C-461F-A761-A0B5624BEE71}">
  <ds:schemaRefs>
    <ds:schemaRef ds:uri="http://schemas.microsoft.com/sharepoint/v3/contenttype/forms"/>
  </ds:schemaRefs>
</ds:datastoreItem>
</file>

<file path=customXml/itemProps2.xml><?xml version="1.0" encoding="utf-8"?>
<ds:datastoreItem xmlns:ds="http://schemas.openxmlformats.org/officeDocument/2006/customXml" ds:itemID="{768C864C-ED3C-4FA9-88FC-77E587182335}">
  <ds:schemaRefs>
    <ds:schemaRef ds:uri="http://schemas.microsoft.com/office/2006/metadata/properties"/>
    <ds:schemaRef ds:uri="http://schemas.microsoft.com/office/infopath/2007/PartnerControls"/>
    <ds:schemaRef ds:uri="1865e7f1-b0f4-461f-bd23-e8d5b6692e52"/>
    <ds:schemaRef ds:uri="10ae87f9-6a18-4e46-aee5-87e3cf467f6e"/>
  </ds:schemaRefs>
</ds:datastoreItem>
</file>

<file path=customXml/itemProps3.xml><?xml version="1.0" encoding="utf-8"?>
<ds:datastoreItem xmlns:ds="http://schemas.openxmlformats.org/officeDocument/2006/customXml" ds:itemID="{AB4E043C-0E6D-45AD-8A4E-582DF736C7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65e7f1-b0f4-461f-bd23-e8d5b6692e52"/>
    <ds:schemaRef ds:uri="10ae87f9-6a18-4e46-aee5-87e3cf467f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1. Summary</vt:lpstr>
      <vt:lpstr>Gen2-Gen2</vt:lpstr>
      <vt:lpstr>Gen3-Gen3 </vt:lpstr>
      <vt:lpstr>Gen2-Gen3Ano</vt:lpstr>
      <vt:lpstr>Gen3Cat-Gen2</vt:lpstr>
      <vt:lpstr>Gen4Cat-Gen2</vt:lpstr>
      <vt:lpstr>Accelerated</vt:lpstr>
      <vt:lpstr>H2-FOAM</vt:lpstr>
      <vt:lpstr>LC-H2</vt:lpstr>
      <vt:lpstr>H2-Electrode</vt:lpstr>
      <vt:lpstr>H2-SAF</vt:lpstr>
      <vt:lpstr>H2-Giga</vt:lpstr>
      <vt:lpstr>MLF</vt:lpstr>
      <vt:lpstr>Sulfidized</vt:lpstr>
      <vt:lpstr>Substrate tests</vt:lpstr>
      <vt:lpstr>External | Meshes</vt:lpstr>
      <vt:lpstr>Production R&amp;D</vt:lpstr>
      <vt:lpstr>Long term testing</vt:lpstr>
      <vt:lpstr>Iron tests</vt:lpstr>
      <vt:lpstr>Other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Balázs Izbéki</dc:creator>
  <cp:keywords/>
  <dc:description/>
  <cp:lastModifiedBy>Csenger Molnár</cp:lastModifiedBy>
  <cp:revision/>
  <dcterms:created xsi:type="dcterms:W3CDTF">2015-06-05T18:19:34Z</dcterms:created>
  <dcterms:modified xsi:type="dcterms:W3CDTF">2026-08-14T10:58:49Z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0x010100A40B7169E98E5041B6DB237CF3381447</vt:lpwstr>
  </property>
  <property fmtid="{D5CDD505-2E9C-101B-9397-08002B2CF9AE}" pid="3" name="MediaServiceImageTags">
    <vt:lpwstr/>
  </property>
</Properties>
</file>